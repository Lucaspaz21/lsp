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L da S Paz\Loja\Venda diarias v3.1\"/>
    </mc:Choice>
  </mc:AlternateContent>
  <xr:revisionPtr revIDLastSave="0" documentId="13_ncr:1_{EDE324C9-772E-4051-9603-6C747438B4D6}" xr6:coauthVersionLast="47" xr6:coauthVersionMax="47" xr10:uidLastSave="{00000000-0000-0000-0000-000000000000}"/>
  <bookViews>
    <workbookView xWindow="-120" yWindow="-120" windowWidth="20730" windowHeight="11160" xr2:uid="{4BEC08E6-7004-4FAB-9F91-534FCE169EC4}"/>
  </bookViews>
  <sheets>
    <sheet name="Inicio" sheetId="1" r:id="rId1"/>
    <sheet name="Despesas" sheetId="3" r:id="rId2"/>
    <sheet name="Dados" sheetId="10" r:id="rId3"/>
    <sheet name="A Pagar" sheetId="4" r:id="rId4"/>
    <sheet name="Custos" sheetId="6" r:id="rId5"/>
    <sheet name="Tuts" sheetId="7" r:id="rId6"/>
    <sheet name="Dados mensais" sheetId="8" r:id="rId7"/>
    <sheet name="Planilha1" sheetId="9" r:id="rId8"/>
    <sheet name="Planilha2" sheetId="11" state="hidden" r:id="rId9"/>
  </sheets>
  <externalReferences>
    <externalReference r:id="rId10"/>
  </externalReferences>
  <definedNames>
    <definedName name="_xlnm._FilterDatabase" localSheetId="3" hidden="1">'A Pagar'!$A$1:$G$139</definedName>
    <definedName name="_xlnm._FilterDatabase" localSheetId="4" hidden="1">Custos!$B$2:$E$2589</definedName>
    <definedName name="_xlnm._FilterDatabase" localSheetId="1" hidden="1">Despesas!$A$1:$H$1</definedName>
    <definedName name="_xlnm._FilterDatabase" localSheetId="0" hidden="1">Inicio!$A$3:$E$333</definedName>
    <definedName name="_xlnm._FilterDatabase" localSheetId="5" hidden="1">Tuts!$A$1:$E$1994</definedName>
    <definedName name="DATA">Inicio!$A:$A</definedName>
    <definedName name="status">'A Pagar'!$G:$G</definedName>
    <definedName name="valor">'A Pagar'!$B:$B</definedName>
    <definedName name="VALORES">Inicio!$E$3:$E$1048576</definedName>
    <definedName name="VALORVENDA">Inicio!$E:$E</definedName>
    <definedName name="vencimento">'A Pagar'!$E:$E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03" i="7" l="1"/>
  <c r="G2003" i="7"/>
  <c r="H2003" i="7" s="1"/>
  <c r="J2002" i="7"/>
  <c r="H2002" i="7"/>
  <c r="G2002" i="7"/>
  <c r="J2001" i="7"/>
  <c r="H2001" i="7"/>
  <c r="G2001" i="7"/>
  <c r="J2000" i="7"/>
  <c r="G2000" i="7"/>
  <c r="H2000" i="7" s="1"/>
  <c r="J1999" i="7"/>
  <c r="G1999" i="7"/>
  <c r="H1999" i="7" s="1"/>
  <c r="J1998" i="7"/>
  <c r="H1998" i="7"/>
  <c r="G1998" i="7"/>
  <c r="J1997" i="7"/>
  <c r="H1997" i="7"/>
  <c r="G1997" i="7"/>
  <c r="J1996" i="7"/>
  <c r="G1996" i="7"/>
  <c r="H1996" i="7" s="1"/>
  <c r="J1995" i="7"/>
  <c r="G1995" i="7"/>
  <c r="H1995" i="7" s="1"/>
  <c r="J1994" i="7"/>
  <c r="G1994" i="7"/>
  <c r="H1994" i="7" s="1"/>
  <c r="J1993" i="7"/>
  <c r="D1996" i="6" s="1"/>
  <c r="G1993" i="7"/>
  <c r="H1993" i="7" s="1"/>
  <c r="J1992" i="7"/>
  <c r="D1995" i="6" s="1"/>
  <c r="G1992" i="7"/>
  <c r="H1992" i="7" s="1"/>
  <c r="B4" i="6"/>
  <c r="C4" i="6"/>
  <c r="E4" i="6"/>
  <c r="B5" i="6"/>
  <c r="C5" i="6"/>
  <c r="E5" i="6"/>
  <c r="B6" i="6"/>
  <c r="C6" i="6"/>
  <c r="E6" i="6"/>
  <c r="B7" i="6"/>
  <c r="C7" i="6"/>
  <c r="E7" i="6"/>
  <c r="B8" i="6"/>
  <c r="C8" i="6"/>
  <c r="E8" i="6"/>
  <c r="B9" i="6"/>
  <c r="C9" i="6"/>
  <c r="E9" i="6"/>
  <c r="B10" i="6"/>
  <c r="C10" i="6"/>
  <c r="E10" i="6"/>
  <c r="B11" i="6"/>
  <c r="C11" i="6"/>
  <c r="E11" i="6"/>
  <c r="B12" i="6"/>
  <c r="C12" i="6"/>
  <c r="E12" i="6"/>
  <c r="B13" i="6"/>
  <c r="C13" i="6"/>
  <c r="E13" i="6"/>
  <c r="B14" i="6"/>
  <c r="C14" i="6"/>
  <c r="E14" i="6"/>
  <c r="B15" i="6"/>
  <c r="C15" i="6"/>
  <c r="E15" i="6"/>
  <c r="B16" i="6"/>
  <c r="C16" i="6"/>
  <c r="E16" i="6"/>
  <c r="B17" i="6"/>
  <c r="C17" i="6"/>
  <c r="E17" i="6"/>
  <c r="B18" i="6"/>
  <c r="C18" i="6"/>
  <c r="E18" i="6"/>
  <c r="B19" i="6"/>
  <c r="C19" i="6"/>
  <c r="E19" i="6"/>
  <c r="B20" i="6"/>
  <c r="C20" i="6"/>
  <c r="E20" i="6"/>
  <c r="B21" i="6"/>
  <c r="C21" i="6"/>
  <c r="E21" i="6"/>
  <c r="B22" i="6"/>
  <c r="C22" i="6"/>
  <c r="E22" i="6"/>
  <c r="B23" i="6"/>
  <c r="C23" i="6"/>
  <c r="E23" i="6"/>
  <c r="B24" i="6"/>
  <c r="C24" i="6"/>
  <c r="E24" i="6"/>
  <c r="B25" i="6"/>
  <c r="C25" i="6"/>
  <c r="E25" i="6"/>
  <c r="B26" i="6"/>
  <c r="C26" i="6"/>
  <c r="E26" i="6"/>
  <c r="B27" i="6"/>
  <c r="C27" i="6"/>
  <c r="E27" i="6"/>
  <c r="B28" i="6"/>
  <c r="C28" i="6"/>
  <c r="E28" i="6"/>
  <c r="B29" i="6"/>
  <c r="C29" i="6"/>
  <c r="E29" i="6"/>
  <c r="B30" i="6"/>
  <c r="C30" i="6"/>
  <c r="E30" i="6"/>
  <c r="B31" i="6"/>
  <c r="C31" i="6"/>
  <c r="E31" i="6"/>
  <c r="B32" i="6"/>
  <c r="C32" i="6"/>
  <c r="E32" i="6"/>
  <c r="B33" i="6"/>
  <c r="C33" i="6"/>
  <c r="E33" i="6"/>
  <c r="B34" i="6"/>
  <c r="C34" i="6"/>
  <c r="E34" i="6"/>
  <c r="B35" i="6"/>
  <c r="C35" i="6"/>
  <c r="E35" i="6"/>
  <c r="B36" i="6"/>
  <c r="C36" i="6"/>
  <c r="E36" i="6"/>
  <c r="B37" i="6"/>
  <c r="C37" i="6"/>
  <c r="E37" i="6"/>
  <c r="B38" i="6"/>
  <c r="C38" i="6"/>
  <c r="E38" i="6"/>
  <c r="B39" i="6"/>
  <c r="C39" i="6"/>
  <c r="E39" i="6"/>
  <c r="B40" i="6"/>
  <c r="C40" i="6"/>
  <c r="E40" i="6"/>
  <c r="B41" i="6"/>
  <c r="C41" i="6"/>
  <c r="E41" i="6"/>
  <c r="B42" i="6"/>
  <c r="C42" i="6"/>
  <c r="E42" i="6"/>
  <c r="B43" i="6"/>
  <c r="C43" i="6"/>
  <c r="E43" i="6"/>
  <c r="B44" i="6"/>
  <c r="C44" i="6"/>
  <c r="E44" i="6"/>
  <c r="B45" i="6"/>
  <c r="C45" i="6"/>
  <c r="E45" i="6"/>
  <c r="B46" i="6"/>
  <c r="C46" i="6"/>
  <c r="E46" i="6"/>
  <c r="B47" i="6"/>
  <c r="C47" i="6"/>
  <c r="E47" i="6"/>
  <c r="B48" i="6"/>
  <c r="C48" i="6"/>
  <c r="E48" i="6"/>
  <c r="B49" i="6"/>
  <c r="C49" i="6"/>
  <c r="E49" i="6"/>
  <c r="B50" i="6"/>
  <c r="C50" i="6"/>
  <c r="E50" i="6"/>
  <c r="B51" i="6"/>
  <c r="C51" i="6"/>
  <c r="E51" i="6"/>
  <c r="B52" i="6"/>
  <c r="C52" i="6"/>
  <c r="E52" i="6"/>
  <c r="B53" i="6"/>
  <c r="C53" i="6"/>
  <c r="E53" i="6"/>
  <c r="B54" i="6"/>
  <c r="C54" i="6"/>
  <c r="E54" i="6"/>
  <c r="B55" i="6"/>
  <c r="C55" i="6"/>
  <c r="E55" i="6"/>
  <c r="B56" i="6"/>
  <c r="C56" i="6"/>
  <c r="E56" i="6"/>
  <c r="B57" i="6"/>
  <c r="C57" i="6"/>
  <c r="E57" i="6"/>
  <c r="B58" i="6"/>
  <c r="C58" i="6"/>
  <c r="E58" i="6"/>
  <c r="B59" i="6"/>
  <c r="C59" i="6"/>
  <c r="E59" i="6"/>
  <c r="B60" i="6"/>
  <c r="C60" i="6"/>
  <c r="E60" i="6"/>
  <c r="B61" i="6"/>
  <c r="C61" i="6"/>
  <c r="E61" i="6"/>
  <c r="B62" i="6"/>
  <c r="C62" i="6"/>
  <c r="E62" i="6"/>
  <c r="B63" i="6"/>
  <c r="C63" i="6"/>
  <c r="E63" i="6"/>
  <c r="B64" i="6"/>
  <c r="C64" i="6"/>
  <c r="E64" i="6"/>
  <c r="B65" i="6"/>
  <c r="C65" i="6"/>
  <c r="E65" i="6"/>
  <c r="B66" i="6"/>
  <c r="C66" i="6"/>
  <c r="E66" i="6"/>
  <c r="B67" i="6"/>
  <c r="C67" i="6"/>
  <c r="E67" i="6"/>
  <c r="B68" i="6"/>
  <c r="C68" i="6"/>
  <c r="E68" i="6"/>
  <c r="B69" i="6"/>
  <c r="C69" i="6"/>
  <c r="E69" i="6"/>
  <c r="B70" i="6"/>
  <c r="C70" i="6"/>
  <c r="E70" i="6"/>
  <c r="B71" i="6"/>
  <c r="C71" i="6"/>
  <c r="E71" i="6"/>
  <c r="B72" i="6"/>
  <c r="C72" i="6"/>
  <c r="E72" i="6"/>
  <c r="B73" i="6"/>
  <c r="C73" i="6"/>
  <c r="E73" i="6"/>
  <c r="B74" i="6"/>
  <c r="C74" i="6"/>
  <c r="E74" i="6"/>
  <c r="B75" i="6"/>
  <c r="C75" i="6"/>
  <c r="E75" i="6"/>
  <c r="B76" i="6"/>
  <c r="C76" i="6"/>
  <c r="E76" i="6"/>
  <c r="B77" i="6"/>
  <c r="C77" i="6"/>
  <c r="E77" i="6"/>
  <c r="B78" i="6"/>
  <c r="C78" i="6"/>
  <c r="E78" i="6"/>
  <c r="B79" i="6"/>
  <c r="C79" i="6"/>
  <c r="E79" i="6"/>
  <c r="B80" i="6"/>
  <c r="C80" i="6"/>
  <c r="E80" i="6"/>
  <c r="B81" i="6"/>
  <c r="C81" i="6"/>
  <c r="E81" i="6"/>
  <c r="B82" i="6"/>
  <c r="C82" i="6"/>
  <c r="E82" i="6"/>
  <c r="B83" i="6"/>
  <c r="C83" i="6"/>
  <c r="E83" i="6"/>
  <c r="B84" i="6"/>
  <c r="C84" i="6"/>
  <c r="E84" i="6"/>
  <c r="B85" i="6"/>
  <c r="C85" i="6"/>
  <c r="E85" i="6"/>
  <c r="B86" i="6"/>
  <c r="C86" i="6"/>
  <c r="E86" i="6"/>
  <c r="B87" i="6"/>
  <c r="C87" i="6"/>
  <c r="E87" i="6"/>
  <c r="B88" i="6"/>
  <c r="C88" i="6"/>
  <c r="E88" i="6"/>
  <c r="B89" i="6"/>
  <c r="C89" i="6"/>
  <c r="E89" i="6"/>
  <c r="B90" i="6"/>
  <c r="C90" i="6"/>
  <c r="E90" i="6"/>
  <c r="B91" i="6"/>
  <c r="C91" i="6"/>
  <c r="E91" i="6"/>
  <c r="B92" i="6"/>
  <c r="C92" i="6"/>
  <c r="E92" i="6"/>
  <c r="B93" i="6"/>
  <c r="C93" i="6"/>
  <c r="E93" i="6"/>
  <c r="B94" i="6"/>
  <c r="C94" i="6"/>
  <c r="E94" i="6"/>
  <c r="B95" i="6"/>
  <c r="C95" i="6"/>
  <c r="E95" i="6"/>
  <c r="B96" i="6"/>
  <c r="C96" i="6"/>
  <c r="E96" i="6"/>
  <c r="B97" i="6"/>
  <c r="C97" i="6"/>
  <c r="E97" i="6"/>
  <c r="B98" i="6"/>
  <c r="C98" i="6"/>
  <c r="E98" i="6"/>
  <c r="B99" i="6"/>
  <c r="C99" i="6"/>
  <c r="E99" i="6"/>
  <c r="B100" i="6"/>
  <c r="C100" i="6"/>
  <c r="E100" i="6"/>
  <c r="B101" i="6"/>
  <c r="C101" i="6"/>
  <c r="E101" i="6"/>
  <c r="B102" i="6"/>
  <c r="C102" i="6"/>
  <c r="E102" i="6"/>
  <c r="B103" i="6"/>
  <c r="C103" i="6"/>
  <c r="E103" i="6"/>
  <c r="B104" i="6"/>
  <c r="C104" i="6"/>
  <c r="E104" i="6"/>
  <c r="B105" i="6"/>
  <c r="C105" i="6"/>
  <c r="E105" i="6"/>
  <c r="B106" i="6"/>
  <c r="C106" i="6"/>
  <c r="E106" i="6"/>
  <c r="B107" i="6"/>
  <c r="C107" i="6"/>
  <c r="E107" i="6"/>
  <c r="B108" i="6"/>
  <c r="C108" i="6"/>
  <c r="E108" i="6"/>
  <c r="B109" i="6"/>
  <c r="C109" i="6"/>
  <c r="E109" i="6"/>
  <c r="B110" i="6"/>
  <c r="C110" i="6"/>
  <c r="E110" i="6"/>
  <c r="B111" i="6"/>
  <c r="C111" i="6"/>
  <c r="E111" i="6"/>
  <c r="B112" i="6"/>
  <c r="C112" i="6"/>
  <c r="E112" i="6"/>
  <c r="B113" i="6"/>
  <c r="C113" i="6"/>
  <c r="E113" i="6"/>
  <c r="B114" i="6"/>
  <c r="C114" i="6"/>
  <c r="E114" i="6"/>
  <c r="B115" i="6"/>
  <c r="C115" i="6"/>
  <c r="E115" i="6"/>
  <c r="B116" i="6"/>
  <c r="C116" i="6"/>
  <c r="E116" i="6"/>
  <c r="B117" i="6"/>
  <c r="C117" i="6"/>
  <c r="E117" i="6"/>
  <c r="B118" i="6"/>
  <c r="C118" i="6"/>
  <c r="E118" i="6"/>
  <c r="B119" i="6"/>
  <c r="C119" i="6"/>
  <c r="E119" i="6"/>
  <c r="B120" i="6"/>
  <c r="C120" i="6"/>
  <c r="E120" i="6"/>
  <c r="B121" i="6"/>
  <c r="C121" i="6"/>
  <c r="E121" i="6"/>
  <c r="B122" i="6"/>
  <c r="C122" i="6"/>
  <c r="E122" i="6"/>
  <c r="B123" i="6"/>
  <c r="C123" i="6"/>
  <c r="E123" i="6"/>
  <c r="B124" i="6"/>
  <c r="C124" i="6"/>
  <c r="E124" i="6"/>
  <c r="B125" i="6"/>
  <c r="C125" i="6"/>
  <c r="E125" i="6"/>
  <c r="B126" i="6"/>
  <c r="C126" i="6"/>
  <c r="E126" i="6"/>
  <c r="B127" i="6"/>
  <c r="C127" i="6"/>
  <c r="E127" i="6"/>
  <c r="B128" i="6"/>
  <c r="C128" i="6"/>
  <c r="E128" i="6"/>
  <c r="B129" i="6"/>
  <c r="C129" i="6"/>
  <c r="E129" i="6"/>
  <c r="B130" i="6"/>
  <c r="C130" i="6"/>
  <c r="E130" i="6"/>
  <c r="B131" i="6"/>
  <c r="C131" i="6"/>
  <c r="E131" i="6"/>
  <c r="B132" i="6"/>
  <c r="C132" i="6"/>
  <c r="E132" i="6"/>
  <c r="B133" i="6"/>
  <c r="C133" i="6"/>
  <c r="E133" i="6"/>
  <c r="B134" i="6"/>
  <c r="C134" i="6"/>
  <c r="E134" i="6"/>
  <c r="B135" i="6"/>
  <c r="C135" i="6"/>
  <c r="E135" i="6"/>
  <c r="B136" i="6"/>
  <c r="C136" i="6"/>
  <c r="E136" i="6"/>
  <c r="B137" i="6"/>
  <c r="C137" i="6"/>
  <c r="E137" i="6"/>
  <c r="B138" i="6"/>
  <c r="C138" i="6"/>
  <c r="E138" i="6"/>
  <c r="B139" i="6"/>
  <c r="C139" i="6"/>
  <c r="E139" i="6"/>
  <c r="B140" i="6"/>
  <c r="C140" i="6"/>
  <c r="E140" i="6"/>
  <c r="B141" i="6"/>
  <c r="C141" i="6"/>
  <c r="E141" i="6"/>
  <c r="B142" i="6"/>
  <c r="C142" i="6"/>
  <c r="E142" i="6"/>
  <c r="B143" i="6"/>
  <c r="C143" i="6"/>
  <c r="E143" i="6"/>
  <c r="B144" i="6"/>
  <c r="C144" i="6"/>
  <c r="E144" i="6"/>
  <c r="B145" i="6"/>
  <c r="C145" i="6"/>
  <c r="E145" i="6"/>
  <c r="B146" i="6"/>
  <c r="C146" i="6"/>
  <c r="E146" i="6"/>
  <c r="B147" i="6"/>
  <c r="C147" i="6"/>
  <c r="E147" i="6"/>
  <c r="B148" i="6"/>
  <c r="C148" i="6"/>
  <c r="E148" i="6"/>
  <c r="B149" i="6"/>
  <c r="C149" i="6"/>
  <c r="E149" i="6"/>
  <c r="B150" i="6"/>
  <c r="C150" i="6"/>
  <c r="E150" i="6"/>
  <c r="B151" i="6"/>
  <c r="C151" i="6"/>
  <c r="E151" i="6"/>
  <c r="B152" i="6"/>
  <c r="C152" i="6"/>
  <c r="E152" i="6"/>
  <c r="B153" i="6"/>
  <c r="C153" i="6"/>
  <c r="E153" i="6"/>
  <c r="B154" i="6"/>
  <c r="C154" i="6"/>
  <c r="E154" i="6"/>
  <c r="B155" i="6"/>
  <c r="C155" i="6"/>
  <c r="E155" i="6"/>
  <c r="B156" i="6"/>
  <c r="C156" i="6"/>
  <c r="E156" i="6"/>
  <c r="B157" i="6"/>
  <c r="C157" i="6"/>
  <c r="E157" i="6"/>
  <c r="B158" i="6"/>
  <c r="C158" i="6"/>
  <c r="E158" i="6"/>
  <c r="B159" i="6"/>
  <c r="C159" i="6"/>
  <c r="E159" i="6"/>
  <c r="B160" i="6"/>
  <c r="C160" i="6"/>
  <c r="E160" i="6"/>
  <c r="B161" i="6"/>
  <c r="C161" i="6"/>
  <c r="E161" i="6"/>
  <c r="B162" i="6"/>
  <c r="C162" i="6"/>
  <c r="E162" i="6"/>
  <c r="B163" i="6"/>
  <c r="C163" i="6"/>
  <c r="E163" i="6"/>
  <c r="B164" i="6"/>
  <c r="C164" i="6"/>
  <c r="E164" i="6"/>
  <c r="B165" i="6"/>
  <c r="C165" i="6"/>
  <c r="E165" i="6"/>
  <c r="B166" i="6"/>
  <c r="C166" i="6"/>
  <c r="E166" i="6"/>
  <c r="B167" i="6"/>
  <c r="C167" i="6"/>
  <c r="E167" i="6"/>
  <c r="B168" i="6"/>
  <c r="C168" i="6"/>
  <c r="E168" i="6"/>
  <c r="B169" i="6"/>
  <c r="C169" i="6"/>
  <c r="E169" i="6"/>
  <c r="B170" i="6"/>
  <c r="C170" i="6"/>
  <c r="E170" i="6"/>
  <c r="B171" i="6"/>
  <c r="C171" i="6"/>
  <c r="E171" i="6"/>
  <c r="B172" i="6"/>
  <c r="C172" i="6"/>
  <c r="E172" i="6"/>
  <c r="B173" i="6"/>
  <c r="C173" i="6"/>
  <c r="E173" i="6"/>
  <c r="B174" i="6"/>
  <c r="C174" i="6"/>
  <c r="E174" i="6"/>
  <c r="B175" i="6"/>
  <c r="C175" i="6"/>
  <c r="E175" i="6"/>
  <c r="B176" i="6"/>
  <c r="C176" i="6"/>
  <c r="E176" i="6"/>
  <c r="B177" i="6"/>
  <c r="C177" i="6"/>
  <c r="E177" i="6"/>
  <c r="B178" i="6"/>
  <c r="C178" i="6"/>
  <c r="E178" i="6"/>
  <c r="B179" i="6"/>
  <c r="C179" i="6"/>
  <c r="E179" i="6"/>
  <c r="B180" i="6"/>
  <c r="C180" i="6"/>
  <c r="E180" i="6"/>
  <c r="B181" i="6"/>
  <c r="C181" i="6"/>
  <c r="E181" i="6"/>
  <c r="B182" i="6"/>
  <c r="C182" i="6"/>
  <c r="E182" i="6"/>
  <c r="B183" i="6"/>
  <c r="C183" i="6"/>
  <c r="E183" i="6"/>
  <c r="B184" i="6"/>
  <c r="C184" i="6"/>
  <c r="E184" i="6"/>
  <c r="B185" i="6"/>
  <c r="C185" i="6"/>
  <c r="E185" i="6"/>
  <c r="B186" i="6"/>
  <c r="C186" i="6"/>
  <c r="E186" i="6"/>
  <c r="B187" i="6"/>
  <c r="C187" i="6"/>
  <c r="E187" i="6"/>
  <c r="B188" i="6"/>
  <c r="C188" i="6"/>
  <c r="E188" i="6"/>
  <c r="B189" i="6"/>
  <c r="C189" i="6"/>
  <c r="E189" i="6"/>
  <c r="B190" i="6"/>
  <c r="C190" i="6"/>
  <c r="E190" i="6"/>
  <c r="B191" i="6"/>
  <c r="C191" i="6"/>
  <c r="E191" i="6"/>
  <c r="B192" i="6"/>
  <c r="C192" i="6"/>
  <c r="E192" i="6"/>
  <c r="B193" i="6"/>
  <c r="C193" i="6"/>
  <c r="E193" i="6"/>
  <c r="B194" i="6"/>
  <c r="C194" i="6"/>
  <c r="E194" i="6"/>
  <c r="B195" i="6"/>
  <c r="C195" i="6"/>
  <c r="E195" i="6"/>
  <c r="B196" i="6"/>
  <c r="C196" i="6"/>
  <c r="E196" i="6"/>
  <c r="B197" i="6"/>
  <c r="C197" i="6"/>
  <c r="E197" i="6"/>
  <c r="B198" i="6"/>
  <c r="C198" i="6"/>
  <c r="E198" i="6"/>
  <c r="B199" i="6"/>
  <c r="C199" i="6"/>
  <c r="E199" i="6"/>
  <c r="B200" i="6"/>
  <c r="C200" i="6"/>
  <c r="E200" i="6"/>
  <c r="B201" i="6"/>
  <c r="C201" i="6"/>
  <c r="E201" i="6"/>
  <c r="B202" i="6"/>
  <c r="C202" i="6"/>
  <c r="E202" i="6"/>
  <c r="B203" i="6"/>
  <c r="C203" i="6"/>
  <c r="E203" i="6"/>
  <c r="B204" i="6"/>
  <c r="C204" i="6"/>
  <c r="E204" i="6"/>
  <c r="B205" i="6"/>
  <c r="C205" i="6"/>
  <c r="E205" i="6"/>
  <c r="B206" i="6"/>
  <c r="C206" i="6"/>
  <c r="E206" i="6"/>
  <c r="B207" i="6"/>
  <c r="C207" i="6"/>
  <c r="E207" i="6"/>
  <c r="B208" i="6"/>
  <c r="C208" i="6"/>
  <c r="E208" i="6"/>
  <c r="B209" i="6"/>
  <c r="C209" i="6"/>
  <c r="E209" i="6"/>
  <c r="B210" i="6"/>
  <c r="C210" i="6"/>
  <c r="E210" i="6"/>
  <c r="B211" i="6"/>
  <c r="C211" i="6"/>
  <c r="E211" i="6"/>
  <c r="B212" i="6"/>
  <c r="C212" i="6"/>
  <c r="E212" i="6"/>
  <c r="B213" i="6"/>
  <c r="C213" i="6"/>
  <c r="E213" i="6"/>
  <c r="B214" i="6"/>
  <c r="C214" i="6"/>
  <c r="E214" i="6"/>
  <c r="B215" i="6"/>
  <c r="C215" i="6"/>
  <c r="E215" i="6"/>
  <c r="B216" i="6"/>
  <c r="C216" i="6"/>
  <c r="E216" i="6"/>
  <c r="B217" i="6"/>
  <c r="C217" i="6"/>
  <c r="E217" i="6"/>
  <c r="B218" i="6"/>
  <c r="C218" i="6"/>
  <c r="E218" i="6"/>
  <c r="B219" i="6"/>
  <c r="C219" i="6"/>
  <c r="E219" i="6"/>
  <c r="B220" i="6"/>
  <c r="C220" i="6"/>
  <c r="E220" i="6"/>
  <c r="B221" i="6"/>
  <c r="C221" i="6"/>
  <c r="E221" i="6"/>
  <c r="B222" i="6"/>
  <c r="C222" i="6"/>
  <c r="E222" i="6"/>
  <c r="B223" i="6"/>
  <c r="C223" i="6"/>
  <c r="E223" i="6"/>
  <c r="B224" i="6"/>
  <c r="C224" i="6"/>
  <c r="E224" i="6"/>
  <c r="B225" i="6"/>
  <c r="C225" i="6"/>
  <c r="E225" i="6"/>
  <c r="B226" i="6"/>
  <c r="C226" i="6"/>
  <c r="E226" i="6"/>
  <c r="B227" i="6"/>
  <c r="C227" i="6"/>
  <c r="E227" i="6"/>
  <c r="B228" i="6"/>
  <c r="C228" i="6"/>
  <c r="E228" i="6"/>
  <c r="B229" i="6"/>
  <c r="C229" i="6"/>
  <c r="E229" i="6"/>
  <c r="B230" i="6"/>
  <c r="C230" i="6"/>
  <c r="E230" i="6"/>
  <c r="B231" i="6"/>
  <c r="C231" i="6"/>
  <c r="E231" i="6"/>
  <c r="B232" i="6"/>
  <c r="C232" i="6"/>
  <c r="E232" i="6"/>
  <c r="B233" i="6"/>
  <c r="C233" i="6"/>
  <c r="E233" i="6"/>
  <c r="B234" i="6"/>
  <c r="C234" i="6"/>
  <c r="E234" i="6"/>
  <c r="B235" i="6"/>
  <c r="C235" i="6"/>
  <c r="E235" i="6"/>
  <c r="B236" i="6"/>
  <c r="C236" i="6"/>
  <c r="E236" i="6"/>
  <c r="B237" i="6"/>
  <c r="C237" i="6"/>
  <c r="E237" i="6"/>
  <c r="B238" i="6"/>
  <c r="C238" i="6"/>
  <c r="E238" i="6"/>
  <c r="B239" i="6"/>
  <c r="C239" i="6"/>
  <c r="E239" i="6"/>
  <c r="B240" i="6"/>
  <c r="C240" i="6"/>
  <c r="E240" i="6"/>
  <c r="B241" i="6"/>
  <c r="C241" i="6"/>
  <c r="E241" i="6"/>
  <c r="B242" i="6"/>
  <c r="C242" i="6"/>
  <c r="E242" i="6"/>
  <c r="B243" i="6"/>
  <c r="C243" i="6"/>
  <c r="E243" i="6"/>
  <c r="B244" i="6"/>
  <c r="C244" i="6"/>
  <c r="E244" i="6"/>
  <c r="B245" i="6"/>
  <c r="C245" i="6"/>
  <c r="E245" i="6"/>
  <c r="B246" i="6"/>
  <c r="C246" i="6"/>
  <c r="E246" i="6"/>
  <c r="B247" i="6"/>
  <c r="C247" i="6"/>
  <c r="E247" i="6"/>
  <c r="B248" i="6"/>
  <c r="C248" i="6"/>
  <c r="E248" i="6"/>
  <c r="B249" i="6"/>
  <c r="C249" i="6"/>
  <c r="E249" i="6"/>
  <c r="B250" i="6"/>
  <c r="C250" i="6"/>
  <c r="E250" i="6"/>
  <c r="B251" i="6"/>
  <c r="C251" i="6"/>
  <c r="E251" i="6"/>
  <c r="B252" i="6"/>
  <c r="C252" i="6"/>
  <c r="E252" i="6"/>
  <c r="B253" i="6"/>
  <c r="C253" i="6"/>
  <c r="E253" i="6"/>
  <c r="B254" i="6"/>
  <c r="C254" i="6"/>
  <c r="E254" i="6"/>
  <c r="B255" i="6"/>
  <c r="C255" i="6"/>
  <c r="E255" i="6"/>
  <c r="B256" i="6"/>
  <c r="C256" i="6"/>
  <c r="E256" i="6"/>
  <c r="B257" i="6"/>
  <c r="C257" i="6"/>
  <c r="E257" i="6"/>
  <c r="B258" i="6"/>
  <c r="C258" i="6"/>
  <c r="E258" i="6"/>
  <c r="B259" i="6"/>
  <c r="C259" i="6"/>
  <c r="E259" i="6"/>
  <c r="B260" i="6"/>
  <c r="C260" i="6"/>
  <c r="E260" i="6"/>
  <c r="B261" i="6"/>
  <c r="C261" i="6"/>
  <c r="E261" i="6"/>
  <c r="B262" i="6"/>
  <c r="C262" i="6"/>
  <c r="E262" i="6"/>
  <c r="B263" i="6"/>
  <c r="C263" i="6"/>
  <c r="E263" i="6"/>
  <c r="B264" i="6"/>
  <c r="C264" i="6"/>
  <c r="E264" i="6"/>
  <c r="B265" i="6"/>
  <c r="C265" i="6"/>
  <c r="E265" i="6"/>
  <c r="B266" i="6"/>
  <c r="C266" i="6"/>
  <c r="E266" i="6"/>
  <c r="B267" i="6"/>
  <c r="C267" i="6"/>
  <c r="E267" i="6"/>
  <c r="B268" i="6"/>
  <c r="C268" i="6"/>
  <c r="E268" i="6"/>
  <c r="B269" i="6"/>
  <c r="C269" i="6"/>
  <c r="E269" i="6"/>
  <c r="B270" i="6"/>
  <c r="C270" i="6"/>
  <c r="E270" i="6"/>
  <c r="B271" i="6"/>
  <c r="C271" i="6"/>
  <c r="E271" i="6"/>
  <c r="B272" i="6"/>
  <c r="C272" i="6"/>
  <c r="E272" i="6"/>
  <c r="B273" i="6"/>
  <c r="C273" i="6"/>
  <c r="E273" i="6"/>
  <c r="B274" i="6"/>
  <c r="C274" i="6"/>
  <c r="E274" i="6"/>
  <c r="B275" i="6"/>
  <c r="C275" i="6"/>
  <c r="E275" i="6"/>
  <c r="B276" i="6"/>
  <c r="C276" i="6"/>
  <c r="E276" i="6"/>
  <c r="B277" i="6"/>
  <c r="C277" i="6"/>
  <c r="E277" i="6"/>
  <c r="B278" i="6"/>
  <c r="C278" i="6"/>
  <c r="E278" i="6"/>
  <c r="B279" i="6"/>
  <c r="C279" i="6"/>
  <c r="E279" i="6"/>
  <c r="B280" i="6"/>
  <c r="C280" i="6"/>
  <c r="E280" i="6"/>
  <c r="B281" i="6"/>
  <c r="C281" i="6"/>
  <c r="E281" i="6"/>
  <c r="B282" i="6"/>
  <c r="C282" i="6"/>
  <c r="E282" i="6"/>
  <c r="B283" i="6"/>
  <c r="C283" i="6"/>
  <c r="E283" i="6"/>
  <c r="B284" i="6"/>
  <c r="C284" i="6"/>
  <c r="E284" i="6"/>
  <c r="B285" i="6"/>
  <c r="C285" i="6"/>
  <c r="E285" i="6"/>
  <c r="B286" i="6"/>
  <c r="C286" i="6"/>
  <c r="E286" i="6"/>
  <c r="B287" i="6"/>
  <c r="C287" i="6"/>
  <c r="E287" i="6"/>
  <c r="B288" i="6"/>
  <c r="C288" i="6"/>
  <c r="E288" i="6"/>
  <c r="B289" i="6"/>
  <c r="C289" i="6"/>
  <c r="E289" i="6"/>
  <c r="B290" i="6"/>
  <c r="C290" i="6"/>
  <c r="E290" i="6"/>
  <c r="B291" i="6"/>
  <c r="C291" i="6"/>
  <c r="E291" i="6"/>
  <c r="B292" i="6"/>
  <c r="C292" i="6"/>
  <c r="E292" i="6"/>
  <c r="B293" i="6"/>
  <c r="C293" i="6"/>
  <c r="E293" i="6"/>
  <c r="B294" i="6"/>
  <c r="C294" i="6"/>
  <c r="E294" i="6"/>
  <c r="B295" i="6"/>
  <c r="C295" i="6"/>
  <c r="E295" i="6"/>
  <c r="B296" i="6"/>
  <c r="C296" i="6"/>
  <c r="E296" i="6"/>
  <c r="B297" i="6"/>
  <c r="C297" i="6"/>
  <c r="E297" i="6"/>
  <c r="B298" i="6"/>
  <c r="C298" i="6"/>
  <c r="E298" i="6"/>
  <c r="B299" i="6"/>
  <c r="C299" i="6"/>
  <c r="E299" i="6"/>
  <c r="B300" i="6"/>
  <c r="C300" i="6"/>
  <c r="E300" i="6"/>
  <c r="B301" i="6"/>
  <c r="C301" i="6"/>
  <c r="E301" i="6"/>
  <c r="B302" i="6"/>
  <c r="C302" i="6"/>
  <c r="E302" i="6"/>
  <c r="B303" i="6"/>
  <c r="C303" i="6"/>
  <c r="E303" i="6"/>
  <c r="B304" i="6"/>
  <c r="C304" i="6"/>
  <c r="E304" i="6"/>
  <c r="B305" i="6"/>
  <c r="C305" i="6"/>
  <c r="E305" i="6"/>
  <c r="B306" i="6"/>
  <c r="C306" i="6"/>
  <c r="E306" i="6"/>
  <c r="B307" i="6"/>
  <c r="C307" i="6"/>
  <c r="E307" i="6"/>
  <c r="B308" i="6"/>
  <c r="C308" i="6"/>
  <c r="E308" i="6"/>
  <c r="B309" i="6"/>
  <c r="C309" i="6"/>
  <c r="E309" i="6"/>
  <c r="B310" i="6"/>
  <c r="C310" i="6"/>
  <c r="E310" i="6"/>
  <c r="B311" i="6"/>
  <c r="C311" i="6"/>
  <c r="E311" i="6"/>
  <c r="B312" i="6"/>
  <c r="C312" i="6"/>
  <c r="E312" i="6"/>
  <c r="B313" i="6"/>
  <c r="C313" i="6"/>
  <c r="E313" i="6"/>
  <c r="B314" i="6"/>
  <c r="C314" i="6"/>
  <c r="E314" i="6"/>
  <c r="B315" i="6"/>
  <c r="C315" i="6"/>
  <c r="E315" i="6"/>
  <c r="B316" i="6"/>
  <c r="C316" i="6"/>
  <c r="E316" i="6"/>
  <c r="B317" i="6"/>
  <c r="C317" i="6"/>
  <c r="E317" i="6"/>
  <c r="B318" i="6"/>
  <c r="C318" i="6"/>
  <c r="E318" i="6"/>
  <c r="B319" i="6"/>
  <c r="C319" i="6"/>
  <c r="E319" i="6"/>
  <c r="B320" i="6"/>
  <c r="C320" i="6"/>
  <c r="E320" i="6"/>
  <c r="B321" i="6"/>
  <c r="C321" i="6"/>
  <c r="E321" i="6"/>
  <c r="B322" i="6"/>
  <c r="C322" i="6"/>
  <c r="E322" i="6"/>
  <c r="B323" i="6"/>
  <c r="C323" i="6"/>
  <c r="E323" i="6"/>
  <c r="B324" i="6"/>
  <c r="C324" i="6"/>
  <c r="E324" i="6"/>
  <c r="B325" i="6"/>
  <c r="C325" i="6"/>
  <c r="E325" i="6"/>
  <c r="B326" i="6"/>
  <c r="C326" i="6"/>
  <c r="E326" i="6"/>
  <c r="B327" i="6"/>
  <c r="C327" i="6"/>
  <c r="E327" i="6"/>
  <c r="B328" i="6"/>
  <c r="C328" i="6"/>
  <c r="E328" i="6"/>
  <c r="B329" i="6"/>
  <c r="C329" i="6"/>
  <c r="E329" i="6"/>
  <c r="B330" i="6"/>
  <c r="C330" i="6"/>
  <c r="E330" i="6"/>
  <c r="B331" i="6"/>
  <c r="C331" i="6"/>
  <c r="E331" i="6"/>
  <c r="B332" i="6"/>
  <c r="C332" i="6"/>
  <c r="E332" i="6"/>
  <c r="B333" i="6"/>
  <c r="C333" i="6"/>
  <c r="E333" i="6"/>
  <c r="B334" i="6"/>
  <c r="C334" i="6"/>
  <c r="E334" i="6"/>
  <c r="B335" i="6"/>
  <c r="C335" i="6"/>
  <c r="E335" i="6"/>
  <c r="B336" i="6"/>
  <c r="C336" i="6"/>
  <c r="E336" i="6"/>
  <c r="B337" i="6"/>
  <c r="C337" i="6"/>
  <c r="E337" i="6"/>
  <c r="B338" i="6"/>
  <c r="C338" i="6"/>
  <c r="E338" i="6"/>
  <c r="B339" i="6"/>
  <c r="C339" i="6"/>
  <c r="E339" i="6"/>
  <c r="B340" i="6"/>
  <c r="C340" i="6"/>
  <c r="E340" i="6"/>
  <c r="B341" i="6"/>
  <c r="C341" i="6"/>
  <c r="E341" i="6"/>
  <c r="B342" i="6"/>
  <c r="C342" i="6"/>
  <c r="E342" i="6"/>
  <c r="B343" i="6"/>
  <c r="C343" i="6"/>
  <c r="E343" i="6"/>
  <c r="B344" i="6"/>
  <c r="C344" i="6"/>
  <c r="E344" i="6"/>
  <c r="B345" i="6"/>
  <c r="C345" i="6"/>
  <c r="E345" i="6"/>
  <c r="B346" i="6"/>
  <c r="C346" i="6"/>
  <c r="E346" i="6"/>
  <c r="B347" i="6"/>
  <c r="C347" i="6"/>
  <c r="E347" i="6"/>
  <c r="B348" i="6"/>
  <c r="C348" i="6"/>
  <c r="E348" i="6"/>
  <c r="B349" i="6"/>
  <c r="C349" i="6"/>
  <c r="E349" i="6"/>
  <c r="B350" i="6"/>
  <c r="C350" i="6"/>
  <c r="E350" i="6"/>
  <c r="B351" i="6"/>
  <c r="C351" i="6"/>
  <c r="E351" i="6"/>
  <c r="B352" i="6"/>
  <c r="C352" i="6"/>
  <c r="E352" i="6"/>
  <c r="B353" i="6"/>
  <c r="C353" i="6"/>
  <c r="E353" i="6"/>
  <c r="B354" i="6"/>
  <c r="C354" i="6"/>
  <c r="E354" i="6"/>
  <c r="B355" i="6"/>
  <c r="C355" i="6"/>
  <c r="E355" i="6"/>
  <c r="B356" i="6"/>
  <c r="C356" i="6"/>
  <c r="E356" i="6"/>
  <c r="B357" i="6"/>
  <c r="C357" i="6"/>
  <c r="E357" i="6"/>
  <c r="B358" i="6"/>
  <c r="C358" i="6"/>
  <c r="E358" i="6"/>
  <c r="B359" i="6"/>
  <c r="C359" i="6"/>
  <c r="E359" i="6"/>
  <c r="B360" i="6"/>
  <c r="C360" i="6"/>
  <c r="E360" i="6"/>
  <c r="B361" i="6"/>
  <c r="C361" i="6"/>
  <c r="E361" i="6"/>
  <c r="B362" i="6"/>
  <c r="C362" i="6"/>
  <c r="E362" i="6"/>
  <c r="B363" i="6"/>
  <c r="C363" i="6"/>
  <c r="E363" i="6"/>
  <c r="B364" i="6"/>
  <c r="C364" i="6"/>
  <c r="E364" i="6"/>
  <c r="B365" i="6"/>
  <c r="C365" i="6"/>
  <c r="E365" i="6"/>
  <c r="B366" i="6"/>
  <c r="C366" i="6"/>
  <c r="E366" i="6"/>
  <c r="B367" i="6"/>
  <c r="C367" i="6"/>
  <c r="E367" i="6"/>
  <c r="B368" i="6"/>
  <c r="C368" i="6"/>
  <c r="E368" i="6"/>
  <c r="B369" i="6"/>
  <c r="C369" i="6"/>
  <c r="E369" i="6"/>
  <c r="B370" i="6"/>
  <c r="C370" i="6"/>
  <c r="E370" i="6"/>
  <c r="B371" i="6"/>
  <c r="C371" i="6"/>
  <c r="E371" i="6"/>
  <c r="B372" i="6"/>
  <c r="C372" i="6"/>
  <c r="E372" i="6"/>
  <c r="B373" i="6"/>
  <c r="C373" i="6"/>
  <c r="E373" i="6"/>
  <c r="B374" i="6"/>
  <c r="C374" i="6"/>
  <c r="E374" i="6"/>
  <c r="B375" i="6"/>
  <c r="C375" i="6"/>
  <c r="E375" i="6"/>
  <c r="B376" i="6"/>
  <c r="C376" i="6"/>
  <c r="E376" i="6"/>
  <c r="B377" i="6"/>
  <c r="C377" i="6"/>
  <c r="E377" i="6"/>
  <c r="B378" i="6"/>
  <c r="C378" i="6"/>
  <c r="E378" i="6"/>
  <c r="B379" i="6"/>
  <c r="C379" i="6"/>
  <c r="E379" i="6"/>
  <c r="B380" i="6"/>
  <c r="C380" i="6"/>
  <c r="E380" i="6"/>
  <c r="B381" i="6"/>
  <c r="C381" i="6"/>
  <c r="E381" i="6"/>
  <c r="B382" i="6"/>
  <c r="C382" i="6"/>
  <c r="E382" i="6"/>
  <c r="B383" i="6"/>
  <c r="C383" i="6"/>
  <c r="E383" i="6"/>
  <c r="B384" i="6"/>
  <c r="C384" i="6"/>
  <c r="E384" i="6"/>
  <c r="B385" i="6"/>
  <c r="C385" i="6"/>
  <c r="E385" i="6"/>
  <c r="B386" i="6"/>
  <c r="C386" i="6"/>
  <c r="E386" i="6"/>
  <c r="B387" i="6"/>
  <c r="C387" i="6"/>
  <c r="E387" i="6"/>
  <c r="B388" i="6"/>
  <c r="C388" i="6"/>
  <c r="E388" i="6"/>
  <c r="B389" i="6"/>
  <c r="C389" i="6"/>
  <c r="E389" i="6"/>
  <c r="B390" i="6"/>
  <c r="C390" i="6"/>
  <c r="E390" i="6"/>
  <c r="B391" i="6"/>
  <c r="C391" i="6"/>
  <c r="E391" i="6"/>
  <c r="B392" i="6"/>
  <c r="C392" i="6"/>
  <c r="E392" i="6"/>
  <c r="B393" i="6"/>
  <c r="C393" i="6"/>
  <c r="E393" i="6"/>
  <c r="B394" i="6"/>
  <c r="C394" i="6"/>
  <c r="E394" i="6"/>
  <c r="B395" i="6"/>
  <c r="C395" i="6"/>
  <c r="E395" i="6"/>
  <c r="B396" i="6"/>
  <c r="C396" i="6"/>
  <c r="E396" i="6"/>
  <c r="B397" i="6"/>
  <c r="C397" i="6"/>
  <c r="E397" i="6"/>
  <c r="B398" i="6"/>
  <c r="C398" i="6"/>
  <c r="E398" i="6"/>
  <c r="B399" i="6"/>
  <c r="C399" i="6"/>
  <c r="E399" i="6"/>
  <c r="B400" i="6"/>
  <c r="C400" i="6"/>
  <c r="E400" i="6"/>
  <c r="B401" i="6"/>
  <c r="C401" i="6"/>
  <c r="E401" i="6"/>
  <c r="B402" i="6"/>
  <c r="C402" i="6"/>
  <c r="E402" i="6"/>
  <c r="B403" i="6"/>
  <c r="C403" i="6"/>
  <c r="E403" i="6"/>
  <c r="B404" i="6"/>
  <c r="C404" i="6"/>
  <c r="E404" i="6"/>
  <c r="B405" i="6"/>
  <c r="C405" i="6"/>
  <c r="E405" i="6"/>
  <c r="B406" i="6"/>
  <c r="C406" i="6"/>
  <c r="E406" i="6"/>
  <c r="B407" i="6"/>
  <c r="C407" i="6"/>
  <c r="E407" i="6"/>
  <c r="B408" i="6"/>
  <c r="C408" i="6"/>
  <c r="E408" i="6"/>
  <c r="B409" i="6"/>
  <c r="C409" i="6"/>
  <c r="E409" i="6"/>
  <c r="B410" i="6"/>
  <c r="C410" i="6"/>
  <c r="E410" i="6"/>
  <c r="B411" i="6"/>
  <c r="C411" i="6"/>
  <c r="E411" i="6"/>
  <c r="B412" i="6"/>
  <c r="C412" i="6"/>
  <c r="E412" i="6"/>
  <c r="B413" i="6"/>
  <c r="C413" i="6"/>
  <c r="E413" i="6"/>
  <c r="B414" i="6"/>
  <c r="C414" i="6"/>
  <c r="E414" i="6"/>
  <c r="B415" i="6"/>
  <c r="C415" i="6"/>
  <c r="E415" i="6"/>
  <c r="B416" i="6"/>
  <c r="C416" i="6"/>
  <c r="E416" i="6"/>
  <c r="B417" i="6"/>
  <c r="C417" i="6"/>
  <c r="E417" i="6"/>
  <c r="B418" i="6"/>
  <c r="C418" i="6"/>
  <c r="E418" i="6"/>
  <c r="B419" i="6"/>
  <c r="C419" i="6"/>
  <c r="E419" i="6"/>
  <c r="B420" i="6"/>
  <c r="C420" i="6"/>
  <c r="E420" i="6"/>
  <c r="B421" i="6"/>
  <c r="C421" i="6"/>
  <c r="E421" i="6"/>
  <c r="B422" i="6"/>
  <c r="C422" i="6"/>
  <c r="E422" i="6"/>
  <c r="B423" i="6"/>
  <c r="C423" i="6"/>
  <c r="E423" i="6"/>
  <c r="B424" i="6"/>
  <c r="C424" i="6"/>
  <c r="E424" i="6"/>
  <c r="B425" i="6"/>
  <c r="C425" i="6"/>
  <c r="E425" i="6"/>
  <c r="B426" i="6"/>
  <c r="C426" i="6"/>
  <c r="E426" i="6"/>
  <c r="B427" i="6"/>
  <c r="C427" i="6"/>
  <c r="E427" i="6"/>
  <c r="B428" i="6"/>
  <c r="C428" i="6"/>
  <c r="E428" i="6"/>
  <c r="B429" i="6"/>
  <c r="C429" i="6"/>
  <c r="E429" i="6"/>
  <c r="B430" i="6"/>
  <c r="C430" i="6"/>
  <c r="E430" i="6"/>
  <c r="B431" i="6"/>
  <c r="C431" i="6"/>
  <c r="E431" i="6"/>
  <c r="B432" i="6"/>
  <c r="C432" i="6"/>
  <c r="E432" i="6"/>
  <c r="B433" i="6"/>
  <c r="C433" i="6"/>
  <c r="E433" i="6"/>
  <c r="B434" i="6"/>
  <c r="C434" i="6"/>
  <c r="E434" i="6"/>
  <c r="B435" i="6"/>
  <c r="C435" i="6"/>
  <c r="E435" i="6"/>
  <c r="B436" i="6"/>
  <c r="C436" i="6"/>
  <c r="E436" i="6"/>
  <c r="B437" i="6"/>
  <c r="C437" i="6"/>
  <c r="E437" i="6"/>
  <c r="B438" i="6"/>
  <c r="C438" i="6"/>
  <c r="E438" i="6"/>
  <c r="B439" i="6"/>
  <c r="C439" i="6"/>
  <c r="E439" i="6"/>
  <c r="B440" i="6"/>
  <c r="C440" i="6"/>
  <c r="E440" i="6"/>
  <c r="B441" i="6"/>
  <c r="C441" i="6"/>
  <c r="E441" i="6"/>
  <c r="B442" i="6"/>
  <c r="C442" i="6"/>
  <c r="E442" i="6"/>
  <c r="B443" i="6"/>
  <c r="C443" i="6"/>
  <c r="E443" i="6"/>
  <c r="B444" i="6"/>
  <c r="C444" i="6"/>
  <c r="E444" i="6"/>
  <c r="B445" i="6"/>
  <c r="C445" i="6"/>
  <c r="E445" i="6"/>
  <c r="B446" i="6"/>
  <c r="C446" i="6"/>
  <c r="E446" i="6"/>
  <c r="B447" i="6"/>
  <c r="C447" i="6"/>
  <c r="E447" i="6"/>
  <c r="B448" i="6"/>
  <c r="C448" i="6"/>
  <c r="E448" i="6"/>
  <c r="B449" i="6"/>
  <c r="C449" i="6"/>
  <c r="E449" i="6"/>
  <c r="B450" i="6"/>
  <c r="C450" i="6"/>
  <c r="E450" i="6"/>
  <c r="B451" i="6"/>
  <c r="C451" i="6"/>
  <c r="E451" i="6"/>
  <c r="B452" i="6"/>
  <c r="C452" i="6"/>
  <c r="E452" i="6"/>
  <c r="B453" i="6"/>
  <c r="C453" i="6"/>
  <c r="E453" i="6"/>
  <c r="B454" i="6"/>
  <c r="C454" i="6"/>
  <c r="E454" i="6"/>
  <c r="B455" i="6"/>
  <c r="C455" i="6"/>
  <c r="E455" i="6"/>
  <c r="B456" i="6"/>
  <c r="C456" i="6"/>
  <c r="E456" i="6"/>
  <c r="B457" i="6"/>
  <c r="C457" i="6"/>
  <c r="E457" i="6"/>
  <c r="B458" i="6"/>
  <c r="C458" i="6"/>
  <c r="E458" i="6"/>
  <c r="B459" i="6"/>
  <c r="C459" i="6"/>
  <c r="E459" i="6"/>
  <c r="B460" i="6"/>
  <c r="C460" i="6"/>
  <c r="E460" i="6"/>
  <c r="B461" i="6"/>
  <c r="C461" i="6"/>
  <c r="E461" i="6"/>
  <c r="B462" i="6"/>
  <c r="C462" i="6"/>
  <c r="E462" i="6"/>
  <c r="B463" i="6"/>
  <c r="C463" i="6"/>
  <c r="E463" i="6"/>
  <c r="B464" i="6"/>
  <c r="C464" i="6"/>
  <c r="E464" i="6"/>
  <c r="B465" i="6"/>
  <c r="C465" i="6"/>
  <c r="E465" i="6"/>
  <c r="B466" i="6"/>
  <c r="C466" i="6"/>
  <c r="E466" i="6"/>
  <c r="B467" i="6"/>
  <c r="C467" i="6"/>
  <c r="E467" i="6"/>
  <c r="B468" i="6"/>
  <c r="C468" i="6"/>
  <c r="E468" i="6"/>
  <c r="B469" i="6"/>
  <c r="C469" i="6"/>
  <c r="E469" i="6"/>
  <c r="B470" i="6"/>
  <c r="C470" i="6"/>
  <c r="E470" i="6"/>
  <c r="B471" i="6"/>
  <c r="C471" i="6"/>
  <c r="E471" i="6"/>
  <c r="B472" i="6"/>
  <c r="C472" i="6"/>
  <c r="E472" i="6"/>
  <c r="B473" i="6"/>
  <c r="C473" i="6"/>
  <c r="E473" i="6"/>
  <c r="B474" i="6"/>
  <c r="C474" i="6"/>
  <c r="E474" i="6"/>
  <c r="B475" i="6"/>
  <c r="C475" i="6"/>
  <c r="E475" i="6"/>
  <c r="B476" i="6"/>
  <c r="C476" i="6"/>
  <c r="E476" i="6"/>
  <c r="B477" i="6"/>
  <c r="C477" i="6"/>
  <c r="E477" i="6"/>
  <c r="B478" i="6"/>
  <c r="C478" i="6"/>
  <c r="E478" i="6"/>
  <c r="B479" i="6"/>
  <c r="C479" i="6"/>
  <c r="E479" i="6"/>
  <c r="B480" i="6"/>
  <c r="C480" i="6"/>
  <c r="E480" i="6"/>
  <c r="B481" i="6"/>
  <c r="C481" i="6"/>
  <c r="E481" i="6"/>
  <c r="B482" i="6"/>
  <c r="C482" i="6"/>
  <c r="E482" i="6"/>
  <c r="B483" i="6"/>
  <c r="C483" i="6"/>
  <c r="E483" i="6"/>
  <c r="B484" i="6"/>
  <c r="C484" i="6"/>
  <c r="E484" i="6"/>
  <c r="B485" i="6"/>
  <c r="C485" i="6"/>
  <c r="E485" i="6"/>
  <c r="B486" i="6"/>
  <c r="C486" i="6"/>
  <c r="E486" i="6"/>
  <c r="B487" i="6"/>
  <c r="C487" i="6"/>
  <c r="E487" i="6"/>
  <c r="B488" i="6"/>
  <c r="C488" i="6"/>
  <c r="E488" i="6"/>
  <c r="B489" i="6"/>
  <c r="C489" i="6"/>
  <c r="E489" i="6"/>
  <c r="B490" i="6"/>
  <c r="C490" i="6"/>
  <c r="E490" i="6"/>
  <c r="B491" i="6"/>
  <c r="C491" i="6"/>
  <c r="E491" i="6"/>
  <c r="B492" i="6"/>
  <c r="C492" i="6"/>
  <c r="E492" i="6"/>
  <c r="B493" i="6"/>
  <c r="C493" i="6"/>
  <c r="E493" i="6"/>
  <c r="B494" i="6"/>
  <c r="C494" i="6"/>
  <c r="E494" i="6"/>
  <c r="B495" i="6"/>
  <c r="C495" i="6"/>
  <c r="E495" i="6"/>
  <c r="B496" i="6"/>
  <c r="C496" i="6"/>
  <c r="E496" i="6"/>
  <c r="B497" i="6"/>
  <c r="C497" i="6"/>
  <c r="E497" i="6"/>
  <c r="B498" i="6"/>
  <c r="C498" i="6"/>
  <c r="E498" i="6"/>
  <c r="B499" i="6"/>
  <c r="C499" i="6"/>
  <c r="E499" i="6"/>
  <c r="B500" i="6"/>
  <c r="C500" i="6"/>
  <c r="E500" i="6"/>
  <c r="B501" i="6"/>
  <c r="C501" i="6"/>
  <c r="E501" i="6"/>
  <c r="B502" i="6"/>
  <c r="C502" i="6"/>
  <c r="E502" i="6"/>
  <c r="B503" i="6"/>
  <c r="C503" i="6"/>
  <c r="E503" i="6"/>
  <c r="B504" i="6"/>
  <c r="C504" i="6"/>
  <c r="E504" i="6"/>
  <c r="B505" i="6"/>
  <c r="C505" i="6"/>
  <c r="E505" i="6"/>
  <c r="B506" i="6"/>
  <c r="C506" i="6"/>
  <c r="E506" i="6"/>
  <c r="B507" i="6"/>
  <c r="C507" i="6"/>
  <c r="E507" i="6"/>
  <c r="B508" i="6"/>
  <c r="C508" i="6"/>
  <c r="E508" i="6"/>
  <c r="B509" i="6"/>
  <c r="C509" i="6"/>
  <c r="E509" i="6"/>
  <c r="B510" i="6"/>
  <c r="C510" i="6"/>
  <c r="E510" i="6"/>
  <c r="B511" i="6"/>
  <c r="C511" i="6"/>
  <c r="E511" i="6"/>
  <c r="B512" i="6"/>
  <c r="C512" i="6"/>
  <c r="E512" i="6"/>
  <c r="B513" i="6"/>
  <c r="C513" i="6"/>
  <c r="E513" i="6"/>
  <c r="B514" i="6"/>
  <c r="C514" i="6"/>
  <c r="E514" i="6"/>
  <c r="B515" i="6"/>
  <c r="C515" i="6"/>
  <c r="E515" i="6"/>
  <c r="B516" i="6"/>
  <c r="C516" i="6"/>
  <c r="E516" i="6"/>
  <c r="B517" i="6"/>
  <c r="C517" i="6"/>
  <c r="E517" i="6"/>
  <c r="B518" i="6"/>
  <c r="C518" i="6"/>
  <c r="E518" i="6"/>
  <c r="B519" i="6"/>
  <c r="C519" i="6"/>
  <c r="E519" i="6"/>
  <c r="B520" i="6"/>
  <c r="C520" i="6"/>
  <c r="E520" i="6"/>
  <c r="B521" i="6"/>
  <c r="C521" i="6"/>
  <c r="E521" i="6"/>
  <c r="B522" i="6"/>
  <c r="C522" i="6"/>
  <c r="E522" i="6"/>
  <c r="B523" i="6"/>
  <c r="C523" i="6"/>
  <c r="E523" i="6"/>
  <c r="B524" i="6"/>
  <c r="C524" i="6"/>
  <c r="E524" i="6"/>
  <c r="B525" i="6"/>
  <c r="C525" i="6"/>
  <c r="E525" i="6"/>
  <c r="B526" i="6"/>
  <c r="C526" i="6"/>
  <c r="E526" i="6"/>
  <c r="B527" i="6"/>
  <c r="C527" i="6"/>
  <c r="E527" i="6"/>
  <c r="B528" i="6"/>
  <c r="C528" i="6"/>
  <c r="E528" i="6"/>
  <c r="B529" i="6"/>
  <c r="C529" i="6"/>
  <c r="E529" i="6"/>
  <c r="B530" i="6"/>
  <c r="C530" i="6"/>
  <c r="E530" i="6"/>
  <c r="B531" i="6"/>
  <c r="C531" i="6"/>
  <c r="E531" i="6"/>
  <c r="B532" i="6"/>
  <c r="C532" i="6"/>
  <c r="E532" i="6"/>
  <c r="B533" i="6"/>
  <c r="C533" i="6"/>
  <c r="E533" i="6"/>
  <c r="B534" i="6"/>
  <c r="C534" i="6"/>
  <c r="E534" i="6"/>
  <c r="B535" i="6"/>
  <c r="C535" i="6"/>
  <c r="E535" i="6"/>
  <c r="B536" i="6"/>
  <c r="C536" i="6"/>
  <c r="E536" i="6"/>
  <c r="B537" i="6"/>
  <c r="C537" i="6"/>
  <c r="E537" i="6"/>
  <c r="B538" i="6"/>
  <c r="C538" i="6"/>
  <c r="E538" i="6"/>
  <c r="B539" i="6"/>
  <c r="C539" i="6"/>
  <c r="E539" i="6"/>
  <c r="B540" i="6"/>
  <c r="C540" i="6"/>
  <c r="E540" i="6"/>
  <c r="B541" i="6"/>
  <c r="C541" i="6"/>
  <c r="E541" i="6"/>
  <c r="B542" i="6"/>
  <c r="C542" i="6"/>
  <c r="E542" i="6"/>
  <c r="B543" i="6"/>
  <c r="C543" i="6"/>
  <c r="E543" i="6"/>
  <c r="B544" i="6"/>
  <c r="C544" i="6"/>
  <c r="E544" i="6"/>
  <c r="B545" i="6"/>
  <c r="C545" i="6"/>
  <c r="E545" i="6"/>
  <c r="B546" i="6"/>
  <c r="C546" i="6"/>
  <c r="E546" i="6"/>
  <c r="B547" i="6"/>
  <c r="C547" i="6"/>
  <c r="E547" i="6"/>
  <c r="B548" i="6"/>
  <c r="C548" i="6"/>
  <c r="E548" i="6"/>
  <c r="B549" i="6"/>
  <c r="C549" i="6"/>
  <c r="E549" i="6"/>
  <c r="B550" i="6"/>
  <c r="C550" i="6"/>
  <c r="E550" i="6"/>
  <c r="B551" i="6"/>
  <c r="C551" i="6"/>
  <c r="E551" i="6"/>
  <c r="B552" i="6"/>
  <c r="C552" i="6"/>
  <c r="E552" i="6"/>
  <c r="B553" i="6"/>
  <c r="C553" i="6"/>
  <c r="E553" i="6"/>
  <c r="B554" i="6"/>
  <c r="C554" i="6"/>
  <c r="E554" i="6"/>
  <c r="B555" i="6"/>
  <c r="C555" i="6"/>
  <c r="E555" i="6"/>
  <c r="B556" i="6"/>
  <c r="C556" i="6"/>
  <c r="E556" i="6"/>
  <c r="B557" i="6"/>
  <c r="C557" i="6"/>
  <c r="E557" i="6"/>
  <c r="B558" i="6"/>
  <c r="C558" i="6"/>
  <c r="E558" i="6"/>
  <c r="B559" i="6"/>
  <c r="C559" i="6"/>
  <c r="E559" i="6"/>
  <c r="B560" i="6"/>
  <c r="C560" i="6"/>
  <c r="E560" i="6"/>
  <c r="B561" i="6"/>
  <c r="C561" i="6"/>
  <c r="E561" i="6"/>
  <c r="B562" i="6"/>
  <c r="C562" i="6"/>
  <c r="E562" i="6"/>
  <c r="B563" i="6"/>
  <c r="C563" i="6"/>
  <c r="E563" i="6"/>
  <c r="B564" i="6"/>
  <c r="C564" i="6"/>
  <c r="E564" i="6"/>
  <c r="B565" i="6"/>
  <c r="C565" i="6"/>
  <c r="E565" i="6"/>
  <c r="B566" i="6"/>
  <c r="C566" i="6"/>
  <c r="E566" i="6"/>
  <c r="B567" i="6"/>
  <c r="C567" i="6"/>
  <c r="E567" i="6"/>
  <c r="B568" i="6"/>
  <c r="C568" i="6"/>
  <c r="E568" i="6"/>
  <c r="B569" i="6"/>
  <c r="C569" i="6"/>
  <c r="E569" i="6"/>
  <c r="B570" i="6"/>
  <c r="C570" i="6"/>
  <c r="E570" i="6"/>
  <c r="B571" i="6"/>
  <c r="C571" i="6"/>
  <c r="E571" i="6"/>
  <c r="B572" i="6"/>
  <c r="C572" i="6"/>
  <c r="E572" i="6"/>
  <c r="B573" i="6"/>
  <c r="C573" i="6"/>
  <c r="E573" i="6"/>
  <c r="B574" i="6"/>
  <c r="C574" i="6"/>
  <c r="E574" i="6"/>
  <c r="B575" i="6"/>
  <c r="C575" i="6"/>
  <c r="E575" i="6"/>
  <c r="B576" i="6"/>
  <c r="C576" i="6"/>
  <c r="E576" i="6"/>
  <c r="B577" i="6"/>
  <c r="C577" i="6"/>
  <c r="E577" i="6"/>
  <c r="B578" i="6"/>
  <c r="C578" i="6"/>
  <c r="E578" i="6"/>
  <c r="B579" i="6"/>
  <c r="C579" i="6"/>
  <c r="E579" i="6"/>
  <c r="B580" i="6"/>
  <c r="C580" i="6"/>
  <c r="E580" i="6"/>
  <c r="B581" i="6"/>
  <c r="C581" i="6"/>
  <c r="E581" i="6"/>
  <c r="B582" i="6"/>
  <c r="C582" i="6"/>
  <c r="E582" i="6"/>
  <c r="B583" i="6"/>
  <c r="C583" i="6"/>
  <c r="E583" i="6"/>
  <c r="B584" i="6"/>
  <c r="C584" i="6"/>
  <c r="E584" i="6"/>
  <c r="B585" i="6"/>
  <c r="C585" i="6"/>
  <c r="E585" i="6"/>
  <c r="B586" i="6"/>
  <c r="C586" i="6"/>
  <c r="E586" i="6"/>
  <c r="B587" i="6"/>
  <c r="C587" i="6"/>
  <c r="E587" i="6"/>
  <c r="B588" i="6"/>
  <c r="C588" i="6"/>
  <c r="E588" i="6"/>
  <c r="B589" i="6"/>
  <c r="C589" i="6"/>
  <c r="E589" i="6"/>
  <c r="B590" i="6"/>
  <c r="C590" i="6"/>
  <c r="E590" i="6"/>
  <c r="B591" i="6"/>
  <c r="C591" i="6"/>
  <c r="E591" i="6"/>
  <c r="B592" i="6"/>
  <c r="C592" i="6"/>
  <c r="E592" i="6"/>
  <c r="B593" i="6"/>
  <c r="C593" i="6"/>
  <c r="E593" i="6"/>
  <c r="B594" i="6"/>
  <c r="C594" i="6"/>
  <c r="E594" i="6"/>
  <c r="B595" i="6"/>
  <c r="C595" i="6"/>
  <c r="E595" i="6"/>
  <c r="B596" i="6"/>
  <c r="C596" i="6"/>
  <c r="E596" i="6"/>
  <c r="B597" i="6"/>
  <c r="C597" i="6"/>
  <c r="E597" i="6"/>
  <c r="B598" i="6"/>
  <c r="C598" i="6"/>
  <c r="E598" i="6"/>
  <c r="B599" i="6"/>
  <c r="C599" i="6"/>
  <c r="E599" i="6"/>
  <c r="B600" i="6"/>
  <c r="C600" i="6"/>
  <c r="E600" i="6"/>
  <c r="B601" i="6"/>
  <c r="C601" i="6"/>
  <c r="E601" i="6"/>
  <c r="B602" i="6"/>
  <c r="C602" i="6"/>
  <c r="E602" i="6"/>
  <c r="B603" i="6"/>
  <c r="C603" i="6"/>
  <c r="E603" i="6"/>
  <c r="B604" i="6"/>
  <c r="C604" i="6"/>
  <c r="E604" i="6"/>
  <c r="B605" i="6"/>
  <c r="C605" i="6"/>
  <c r="E605" i="6"/>
  <c r="B606" i="6"/>
  <c r="C606" i="6"/>
  <c r="E606" i="6"/>
  <c r="B607" i="6"/>
  <c r="C607" i="6"/>
  <c r="E607" i="6"/>
  <c r="B608" i="6"/>
  <c r="C608" i="6"/>
  <c r="E608" i="6"/>
  <c r="B609" i="6"/>
  <c r="C609" i="6"/>
  <c r="E609" i="6"/>
  <c r="B610" i="6"/>
  <c r="C610" i="6"/>
  <c r="E610" i="6"/>
  <c r="B611" i="6"/>
  <c r="C611" i="6"/>
  <c r="E611" i="6"/>
  <c r="B612" i="6"/>
  <c r="C612" i="6"/>
  <c r="E612" i="6"/>
  <c r="B613" i="6"/>
  <c r="C613" i="6"/>
  <c r="E613" i="6"/>
  <c r="B614" i="6"/>
  <c r="C614" i="6"/>
  <c r="E614" i="6"/>
  <c r="B615" i="6"/>
  <c r="C615" i="6"/>
  <c r="E615" i="6"/>
  <c r="B616" i="6"/>
  <c r="C616" i="6"/>
  <c r="E616" i="6"/>
  <c r="B617" i="6"/>
  <c r="C617" i="6"/>
  <c r="E617" i="6"/>
  <c r="B618" i="6"/>
  <c r="C618" i="6"/>
  <c r="E618" i="6"/>
  <c r="B619" i="6"/>
  <c r="C619" i="6"/>
  <c r="E619" i="6"/>
  <c r="B620" i="6"/>
  <c r="C620" i="6"/>
  <c r="E620" i="6"/>
  <c r="B621" i="6"/>
  <c r="C621" i="6"/>
  <c r="E621" i="6"/>
  <c r="B622" i="6"/>
  <c r="C622" i="6"/>
  <c r="E622" i="6"/>
  <c r="B623" i="6"/>
  <c r="C623" i="6"/>
  <c r="E623" i="6"/>
  <c r="B624" i="6"/>
  <c r="C624" i="6"/>
  <c r="E624" i="6"/>
  <c r="B625" i="6"/>
  <c r="C625" i="6"/>
  <c r="E625" i="6"/>
  <c r="B626" i="6"/>
  <c r="C626" i="6"/>
  <c r="E626" i="6"/>
  <c r="B627" i="6"/>
  <c r="C627" i="6"/>
  <c r="E627" i="6"/>
  <c r="B628" i="6"/>
  <c r="C628" i="6"/>
  <c r="E628" i="6"/>
  <c r="B629" i="6"/>
  <c r="C629" i="6"/>
  <c r="E629" i="6"/>
  <c r="B630" i="6"/>
  <c r="C630" i="6"/>
  <c r="E630" i="6"/>
  <c r="B631" i="6"/>
  <c r="C631" i="6"/>
  <c r="E631" i="6"/>
  <c r="B632" i="6"/>
  <c r="C632" i="6"/>
  <c r="E632" i="6"/>
  <c r="B633" i="6"/>
  <c r="C633" i="6"/>
  <c r="E633" i="6"/>
  <c r="B634" i="6"/>
  <c r="C634" i="6"/>
  <c r="E634" i="6"/>
  <c r="B635" i="6"/>
  <c r="C635" i="6"/>
  <c r="E635" i="6"/>
  <c r="B636" i="6"/>
  <c r="C636" i="6"/>
  <c r="E636" i="6"/>
  <c r="B637" i="6"/>
  <c r="C637" i="6"/>
  <c r="E637" i="6"/>
  <c r="B638" i="6"/>
  <c r="C638" i="6"/>
  <c r="E638" i="6"/>
  <c r="B639" i="6"/>
  <c r="C639" i="6"/>
  <c r="E639" i="6"/>
  <c r="B640" i="6"/>
  <c r="C640" i="6"/>
  <c r="E640" i="6"/>
  <c r="B641" i="6"/>
  <c r="C641" i="6"/>
  <c r="E641" i="6"/>
  <c r="B642" i="6"/>
  <c r="C642" i="6"/>
  <c r="E642" i="6"/>
  <c r="B643" i="6"/>
  <c r="C643" i="6"/>
  <c r="E643" i="6"/>
  <c r="B644" i="6"/>
  <c r="C644" i="6"/>
  <c r="E644" i="6"/>
  <c r="B645" i="6"/>
  <c r="C645" i="6"/>
  <c r="E645" i="6"/>
  <c r="B646" i="6"/>
  <c r="C646" i="6"/>
  <c r="E646" i="6"/>
  <c r="B647" i="6"/>
  <c r="C647" i="6"/>
  <c r="E647" i="6"/>
  <c r="B648" i="6"/>
  <c r="C648" i="6"/>
  <c r="E648" i="6"/>
  <c r="B649" i="6"/>
  <c r="C649" i="6"/>
  <c r="E649" i="6"/>
  <c r="B650" i="6"/>
  <c r="C650" i="6"/>
  <c r="E650" i="6"/>
  <c r="B651" i="6"/>
  <c r="C651" i="6"/>
  <c r="E651" i="6"/>
  <c r="B652" i="6"/>
  <c r="C652" i="6"/>
  <c r="E652" i="6"/>
  <c r="B653" i="6"/>
  <c r="C653" i="6"/>
  <c r="E653" i="6"/>
  <c r="B654" i="6"/>
  <c r="C654" i="6"/>
  <c r="E654" i="6"/>
  <c r="B655" i="6"/>
  <c r="C655" i="6"/>
  <c r="E655" i="6"/>
  <c r="B656" i="6"/>
  <c r="C656" i="6"/>
  <c r="E656" i="6"/>
  <c r="B657" i="6"/>
  <c r="C657" i="6"/>
  <c r="E657" i="6"/>
  <c r="B658" i="6"/>
  <c r="C658" i="6"/>
  <c r="E658" i="6"/>
  <c r="B659" i="6"/>
  <c r="C659" i="6"/>
  <c r="E659" i="6"/>
  <c r="B660" i="6"/>
  <c r="C660" i="6"/>
  <c r="E660" i="6"/>
  <c r="B661" i="6"/>
  <c r="C661" i="6"/>
  <c r="E661" i="6"/>
  <c r="B662" i="6"/>
  <c r="C662" i="6"/>
  <c r="E662" i="6"/>
  <c r="B663" i="6"/>
  <c r="C663" i="6"/>
  <c r="E663" i="6"/>
  <c r="B664" i="6"/>
  <c r="C664" i="6"/>
  <c r="E664" i="6"/>
  <c r="B665" i="6"/>
  <c r="C665" i="6"/>
  <c r="E665" i="6"/>
  <c r="B666" i="6"/>
  <c r="C666" i="6"/>
  <c r="E666" i="6"/>
  <c r="B667" i="6"/>
  <c r="C667" i="6"/>
  <c r="E667" i="6"/>
  <c r="B668" i="6"/>
  <c r="C668" i="6"/>
  <c r="E668" i="6"/>
  <c r="B669" i="6"/>
  <c r="C669" i="6"/>
  <c r="E669" i="6"/>
  <c r="B670" i="6"/>
  <c r="C670" i="6"/>
  <c r="E670" i="6"/>
  <c r="B671" i="6"/>
  <c r="C671" i="6"/>
  <c r="E671" i="6"/>
  <c r="B672" i="6"/>
  <c r="C672" i="6"/>
  <c r="E672" i="6"/>
  <c r="B673" i="6"/>
  <c r="C673" i="6"/>
  <c r="E673" i="6"/>
  <c r="B674" i="6"/>
  <c r="C674" i="6"/>
  <c r="E674" i="6"/>
  <c r="B675" i="6"/>
  <c r="C675" i="6"/>
  <c r="E675" i="6"/>
  <c r="B676" i="6"/>
  <c r="C676" i="6"/>
  <c r="E676" i="6"/>
  <c r="B677" i="6"/>
  <c r="C677" i="6"/>
  <c r="E677" i="6"/>
  <c r="B678" i="6"/>
  <c r="C678" i="6"/>
  <c r="E678" i="6"/>
  <c r="B679" i="6"/>
  <c r="C679" i="6"/>
  <c r="E679" i="6"/>
  <c r="B680" i="6"/>
  <c r="C680" i="6"/>
  <c r="E680" i="6"/>
  <c r="B681" i="6"/>
  <c r="C681" i="6"/>
  <c r="E681" i="6"/>
  <c r="B682" i="6"/>
  <c r="C682" i="6"/>
  <c r="E682" i="6"/>
  <c r="B683" i="6"/>
  <c r="C683" i="6"/>
  <c r="E683" i="6"/>
  <c r="B684" i="6"/>
  <c r="C684" i="6"/>
  <c r="E684" i="6"/>
  <c r="B685" i="6"/>
  <c r="C685" i="6"/>
  <c r="E685" i="6"/>
  <c r="B686" i="6"/>
  <c r="C686" i="6"/>
  <c r="E686" i="6"/>
  <c r="B687" i="6"/>
  <c r="C687" i="6"/>
  <c r="E687" i="6"/>
  <c r="B688" i="6"/>
  <c r="C688" i="6"/>
  <c r="E688" i="6"/>
  <c r="B689" i="6"/>
  <c r="C689" i="6"/>
  <c r="E689" i="6"/>
  <c r="B690" i="6"/>
  <c r="C690" i="6"/>
  <c r="E690" i="6"/>
  <c r="B691" i="6"/>
  <c r="C691" i="6"/>
  <c r="E691" i="6"/>
  <c r="B692" i="6"/>
  <c r="C692" i="6"/>
  <c r="E692" i="6"/>
  <c r="B693" i="6"/>
  <c r="C693" i="6"/>
  <c r="E693" i="6"/>
  <c r="B694" i="6"/>
  <c r="C694" i="6"/>
  <c r="E694" i="6"/>
  <c r="B695" i="6"/>
  <c r="C695" i="6"/>
  <c r="E695" i="6"/>
  <c r="B696" i="6"/>
  <c r="C696" i="6"/>
  <c r="E696" i="6"/>
  <c r="B697" i="6"/>
  <c r="C697" i="6"/>
  <c r="E697" i="6"/>
  <c r="B698" i="6"/>
  <c r="C698" i="6"/>
  <c r="E698" i="6"/>
  <c r="B699" i="6"/>
  <c r="C699" i="6"/>
  <c r="E699" i="6"/>
  <c r="B700" i="6"/>
  <c r="C700" i="6"/>
  <c r="E700" i="6"/>
  <c r="B701" i="6"/>
  <c r="C701" i="6"/>
  <c r="E701" i="6"/>
  <c r="B702" i="6"/>
  <c r="C702" i="6"/>
  <c r="E702" i="6"/>
  <c r="B703" i="6"/>
  <c r="C703" i="6"/>
  <c r="E703" i="6"/>
  <c r="B704" i="6"/>
  <c r="C704" i="6"/>
  <c r="E704" i="6"/>
  <c r="B705" i="6"/>
  <c r="C705" i="6"/>
  <c r="E705" i="6"/>
  <c r="B706" i="6"/>
  <c r="C706" i="6"/>
  <c r="E706" i="6"/>
  <c r="B707" i="6"/>
  <c r="C707" i="6"/>
  <c r="E707" i="6"/>
  <c r="B708" i="6"/>
  <c r="C708" i="6"/>
  <c r="E708" i="6"/>
  <c r="B709" i="6"/>
  <c r="C709" i="6"/>
  <c r="E709" i="6"/>
  <c r="B710" i="6"/>
  <c r="C710" i="6"/>
  <c r="E710" i="6"/>
  <c r="B711" i="6"/>
  <c r="C711" i="6"/>
  <c r="E711" i="6"/>
  <c r="B712" i="6"/>
  <c r="C712" i="6"/>
  <c r="E712" i="6"/>
  <c r="B713" i="6"/>
  <c r="C713" i="6"/>
  <c r="E713" i="6"/>
  <c r="B714" i="6"/>
  <c r="C714" i="6"/>
  <c r="E714" i="6"/>
  <c r="B715" i="6"/>
  <c r="C715" i="6"/>
  <c r="E715" i="6"/>
  <c r="B716" i="6"/>
  <c r="C716" i="6"/>
  <c r="E716" i="6"/>
  <c r="B717" i="6"/>
  <c r="C717" i="6"/>
  <c r="E717" i="6"/>
  <c r="B718" i="6"/>
  <c r="C718" i="6"/>
  <c r="E718" i="6"/>
  <c r="B719" i="6"/>
  <c r="C719" i="6"/>
  <c r="E719" i="6"/>
  <c r="B720" i="6"/>
  <c r="C720" i="6"/>
  <c r="E720" i="6"/>
  <c r="B721" i="6"/>
  <c r="C721" i="6"/>
  <c r="E721" i="6"/>
  <c r="B722" i="6"/>
  <c r="C722" i="6"/>
  <c r="E722" i="6"/>
  <c r="B723" i="6"/>
  <c r="C723" i="6"/>
  <c r="E723" i="6"/>
  <c r="B724" i="6"/>
  <c r="C724" i="6"/>
  <c r="E724" i="6"/>
  <c r="B725" i="6"/>
  <c r="C725" i="6"/>
  <c r="E725" i="6"/>
  <c r="B726" i="6"/>
  <c r="C726" i="6"/>
  <c r="E726" i="6"/>
  <c r="B727" i="6"/>
  <c r="C727" i="6"/>
  <c r="E727" i="6"/>
  <c r="B728" i="6"/>
  <c r="C728" i="6"/>
  <c r="E728" i="6"/>
  <c r="B729" i="6"/>
  <c r="C729" i="6"/>
  <c r="E729" i="6"/>
  <c r="B730" i="6"/>
  <c r="C730" i="6"/>
  <c r="E730" i="6"/>
  <c r="B731" i="6"/>
  <c r="C731" i="6"/>
  <c r="E731" i="6"/>
  <c r="B732" i="6"/>
  <c r="C732" i="6"/>
  <c r="E732" i="6"/>
  <c r="B733" i="6"/>
  <c r="C733" i="6"/>
  <c r="E733" i="6"/>
  <c r="B734" i="6"/>
  <c r="C734" i="6"/>
  <c r="E734" i="6"/>
  <c r="B735" i="6"/>
  <c r="C735" i="6"/>
  <c r="E735" i="6"/>
  <c r="B736" i="6"/>
  <c r="C736" i="6"/>
  <c r="E736" i="6"/>
  <c r="B737" i="6"/>
  <c r="C737" i="6"/>
  <c r="E737" i="6"/>
  <c r="B738" i="6"/>
  <c r="C738" i="6"/>
  <c r="E738" i="6"/>
  <c r="B739" i="6"/>
  <c r="C739" i="6"/>
  <c r="E739" i="6"/>
  <c r="B740" i="6"/>
  <c r="C740" i="6"/>
  <c r="E740" i="6"/>
  <c r="B741" i="6"/>
  <c r="C741" i="6"/>
  <c r="E741" i="6"/>
  <c r="B742" i="6"/>
  <c r="C742" i="6"/>
  <c r="E742" i="6"/>
  <c r="B743" i="6"/>
  <c r="C743" i="6"/>
  <c r="E743" i="6"/>
  <c r="B744" i="6"/>
  <c r="C744" i="6"/>
  <c r="E744" i="6"/>
  <c r="B745" i="6"/>
  <c r="C745" i="6"/>
  <c r="E745" i="6"/>
  <c r="B746" i="6"/>
  <c r="C746" i="6"/>
  <c r="E746" i="6"/>
  <c r="B747" i="6"/>
  <c r="C747" i="6"/>
  <c r="E747" i="6"/>
  <c r="B748" i="6"/>
  <c r="C748" i="6"/>
  <c r="E748" i="6"/>
  <c r="B749" i="6"/>
  <c r="C749" i="6"/>
  <c r="E749" i="6"/>
  <c r="B750" i="6"/>
  <c r="C750" i="6"/>
  <c r="E750" i="6"/>
  <c r="B751" i="6"/>
  <c r="C751" i="6"/>
  <c r="E751" i="6"/>
  <c r="B752" i="6"/>
  <c r="C752" i="6"/>
  <c r="E752" i="6"/>
  <c r="B753" i="6"/>
  <c r="C753" i="6"/>
  <c r="E753" i="6"/>
  <c r="B754" i="6"/>
  <c r="C754" i="6"/>
  <c r="E754" i="6"/>
  <c r="B755" i="6"/>
  <c r="C755" i="6"/>
  <c r="E755" i="6"/>
  <c r="B756" i="6"/>
  <c r="C756" i="6"/>
  <c r="E756" i="6"/>
  <c r="B757" i="6"/>
  <c r="C757" i="6"/>
  <c r="E757" i="6"/>
  <c r="B758" i="6"/>
  <c r="C758" i="6"/>
  <c r="E758" i="6"/>
  <c r="B759" i="6"/>
  <c r="C759" i="6"/>
  <c r="E759" i="6"/>
  <c r="B760" i="6"/>
  <c r="C760" i="6"/>
  <c r="E760" i="6"/>
  <c r="B761" i="6"/>
  <c r="C761" i="6"/>
  <c r="E761" i="6"/>
  <c r="B762" i="6"/>
  <c r="C762" i="6"/>
  <c r="E762" i="6"/>
  <c r="B763" i="6"/>
  <c r="C763" i="6"/>
  <c r="E763" i="6"/>
  <c r="B764" i="6"/>
  <c r="C764" i="6"/>
  <c r="E764" i="6"/>
  <c r="B765" i="6"/>
  <c r="C765" i="6"/>
  <c r="E765" i="6"/>
  <c r="B766" i="6"/>
  <c r="C766" i="6"/>
  <c r="E766" i="6"/>
  <c r="B767" i="6"/>
  <c r="C767" i="6"/>
  <c r="E767" i="6"/>
  <c r="B768" i="6"/>
  <c r="C768" i="6"/>
  <c r="E768" i="6"/>
  <c r="B769" i="6"/>
  <c r="C769" i="6"/>
  <c r="E769" i="6"/>
  <c r="B770" i="6"/>
  <c r="C770" i="6"/>
  <c r="E770" i="6"/>
  <c r="B771" i="6"/>
  <c r="C771" i="6"/>
  <c r="E771" i="6"/>
  <c r="B772" i="6"/>
  <c r="C772" i="6"/>
  <c r="E772" i="6"/>
  <c r="B773" i="6"/>
  <c r="C773" i="6"/>
  <c r="E773" i="6"/>
  <c r="B774" i="6"/>
  <c r="C774" i="6"/>
  <c r="E774" i="6"/>
  <c r="B775" i="6"/>
  <c r="C775" i="6"/>
  <c r="E775" i="6"/>
  <c r="B776" i="6"/>
  <c r="C776" i="6"/>
  <c r="E776" i="6"/>
  <c r="B777" i="6"/>
  <c r="C777" i="6"/>
  <c r="E777" i="6"/>
  <c r="B778" i="6"/>
  <c r="C778" i="6"/>
  <c r="E778" i="6"/>
  <c r="B779" i="6"/>
  <c r="C779" i="6"/>
  <c r="E779" i="6"/>
  <c r="B780" i="6"/>
  <c r="C780" i="6"/>
  <c r="E780" i="6"/>
  <c r="B781" i="6"/>
  <c r="C781" i="6"/>
  <c r="E781" i="6"/>
  <c r="B782" i="6"/>
  <c r="C782" i="6"/>
  <c r="E782" i="6"/>
  <c r="B783" i="6"/>
  <c r="C783" i="6"/>
  <c r="E783" i="6"/>
  <c r="B784" i="6"/>
  <c r="C784" i="6"/>
  <c r="E784" i="6"/>
  <c r="B785" i="6"/>
  <c r="C785" i="6"/>
  <c r="E785" i="6"/>
  <c r="B786" i="6"/>
  <c r="C786" i="6"/>
  <c r="E786" i="6"/>
  <c r="B787" i="6"/>
  <c r="C787" i="6"/>
  <c r="E787" i="6"/>
  <c r="B788" i="6"/>
  <c r="C788" i="6"/>
  <c r="E788" i="6"/>
  <c r="B789" i="6"/>
  <c r="C789" i="6"/>
  <c r="E789" i="6"/>
  <c r="B790" i="6"/>
  <c r="C790" i="6"/>
  <c r="E790" i="6"/>
  <c r="B791" i="6"/>
  <c r="C791" i="6"/>
  <c r="E791" i="6"/>
  <c r="B792" i="6"/>
  <c r="C792" i="6"/>
  <c r="E792" i="6"/>
  <c r="B793" i="6"/>
  <c r="C793" i="6"/>
  <c r="E793" i="6"/>
  <c r="B794" i="6"/>
  <c r="C794" i="6"/>
  <c r="E794" i="6"/>
  <c r="B795" i="6"/>
  <c r="C795" i="6"/>
  <c r="E795" i="6"/>
  <c r="B796" i="6"/>
  <c r="C796" i="6"/>
  <c r="E796" i="6"/>
  <c r="B797" i="6"/>
  <c r="C797" i="6"/>
  <c r="E797" i="6"/>
  <c r="B798" i="6"/>
  <c r="C798" i="6"/>
  <c r="E798" i="6"/>
  <c r="B799" i="6"/>
  <c r="C799" i="6"/>
  <c r="E799" i="6"/>
  <c r="B800" i="6"/>
  <c r="C800" i="6"/>
  <c r="E800" i="6"/>
  <c r="B801" i="6"/>
  <c r="C801" i="6"/>
  <c r="E801" i="6"/>
  <c r="B802" i="6"/>
  <c r="C802" i="6"/>
  <c r="E802" i="6"/>
  <c r="B803" i="6"/>
  <c r="C803" i="6"/>
  <c r="E803" i="6"/>
  <c r="B804" i="6"/>
  <c r="C804" i="6"/>
  <c r="E804" i="6"/>
  <c r="B805" i="6"/>
  <c r="C805" i="6"/>
  <c r="E805" i="6"/>
  <c r="B806" i="6"/>
  <c r="C806" i="6"/>
  <c r="E806" i="6"/>
  <c r="B807" i="6"/>
  <c r="C807" i="6"/>
  <c r="E807" i="6"/>
  <c r="B808" i="6"/>
  <c r="C808" i="6"/>
  <c r="E808" i="6"/>
  <c r="B809" i="6"/>
  <c r="C809" i="6"/>
  <c r="E809" i="6"/>
  <c r="B810" i="6"/>
  <c r="C810" i="6"/>
  <c r="E810" i="6"/>
  <c r="B811" i="6"/>
  <c r="C811" i="6"/>
  <c r="E811" i="6"/>
  <c r="B812" i="6"/>
  <c r="C812" i="6"/>
  <c r="E812" i="6"/>
  <c r="B813" i="6"/>
  <c r="C813" i="6"/>
  <c r="E813" i="6"/>
  <c r="B814" i="6"/>
  <c r="C814" i="6"/>
  <c r="E814" i="6"/>
  <c r="B815" i="6"/>
  <c r="C815" i="6"/>
  <c r="E815" i="6"/>
  <c r="B816" i="6"/>
  <c r="C816" i="6"/>
  <c r="E816" i="6"/>
  <c r="B817" i="6"/>
  <c r="C817" i="6"/>
  <c r="E817" i="6"/>
  <c r="B818" i="6"/>
  <c r="C818" i="6"/>
  <c r="E818" i="6"/>
  <c r="B819" i="6"/>
  <c r="C819" i="6"/>
  <c r="E819" i="6"/>
  <c r="B820" i="6"/>
  <c r="C820" i="6"/>
  <c r="E820" i="6"/>
  <c r="B821" i="6"/>
  <c r="C821" i="6"/>
  <c r="E821" i="6"/>
  <c r="B822" i="6"/>
  <c r="C822" i="6"/>
  <c r="E822" i="6"/>
  <c r="B823" i="6"/>
  <c r="C823" i="6"/>
  <c r="E823" i="6"/>
  <c r="B824" i="6"/>
  <c r="C824" i="6"/>
  <c r="E824" i="6"/>
  <c r="B825" i="6"/>
  <c r="C825" i="6"/>
  <c r="E825" i="6"/>
  <c r="B826" i="6"/>
  <c r="C826" i="6"/>
  <c r="E826" i="6"/>
  <c r="B827" i="6"/>
  <c r="C827" i="6"/>
  <c r="E827" i="6"/>
  <c r="B828" i="6"/>
  <c r="C828" i="6"/>
  <c r="E828" i="6"/>
  <c r="B829" i="6"/>
  <c r="C829" i="6"/>
  <c r="E829" i="6"/>
  <c r="B830" i="6"/>
  <c r="C830" i="6"/>
  <c r="E830" i="6"/>
  <c r="B831" i="6"/>
  <c r="C831" i="6"/>
  <c r="E831" i="6"/>
  <c r="B832" i="6"/>
  <c r="C832" i="6"/>
  <c r="E832" i="6"/>
  <c r="B833" i="6"/>
  <c r="C833" i="6"/>
  <c r="E833" i="6"/>
  <c r="B834" i="6"/>
  <c r="C834" i="6"/>
  <c r="E834" i="6"/>
  <c r="B835" i="6"/>
  <c r="C835" i="6"/>
  <c r="E835" i="6"/>
  <c r="B836" i="6"/>
  <c r="C836" i="6"/>
  <c r="E836" i="6"/>
  <c r="B837" i="6"/>
  <c r="C837" i="6"/>
  <c r="E837" i="6"/>
  <c r="B838" i="6"/>
  <c r="C838" i="6"/>
  <c r="E838" i="6"/>
  <c r="B839" i="6"/>
  <c r="C839" i="6"/>
  <c r="E839" i="6"/>
  <c r="B840" i="6"/>
  <c r="C840" i="6"/>
  <c r="E840" i="6"/>
  <c r="B841" i="6"/>
  <c r="C841" i="6"/>
  <c r="E841" i="6"/>
  <c r="B842" i="6"/>
  <c r="C842" i="6"/>
  <c r="E842" i="6"/>
  <c r="B843" i="6"/>
  <c r="C843" i="6"/>
  <c r="E843" i="6"/>
  <c r="B844" i="6"/>
  <c r="C844" i="6"/>
  <c r="E844" i="6"/>
  <c r="B845" i="6"/>
  <c r="C845" i="6"/>
  <c r="E845" i="6"/>
  <c r="B846" i="6"/>
  <c r="C846" i="6"/>
  <c r="E846" i="6"/>
  <c r="B847" i="6"/>
  <c r="C847" i="6"/>
  <c r="E847" i="6"/>
  <c r="B848" i="6"/>
  <c r="C848" i="6"/>
  <c r="E848" i="6"/>
  <c r="B849" i="6"/>
  <c r="C849" i="6"/>
  <c r="E849" i="6"/>
  <c r="B850" i="6"/>
  <c r="C850" i="6"/>
  <c r="E850" i="6"/>
  <c r="B851" i="6"/>
  <c r="C851" i="6"/>
  <c r="E851" i="6"/>
  <c r="B852" i="6"/>
  <c r="C852" i="6"/>
  <c r="E852" i="6"/>
  <c r="B853" i="6"/>
  <c r="C853" i="6"/>
  <c r="E853" i="6"/>
  <c r="B854" i="6"/>
  <c r="C854" i="6"/>
  <c r="E854" i="6"/>
  <c r="B855" i="6"/>
  <c r="C855" i="6"/>
  <c r="E855" i="6"/>
  <c r="B856" i="6"/>
  <c r="C856" i="6"/>
  <c r="E856" i="6"/>
  <c r="B857" i="6"/>
  <c r="C857" i="6"/>
  <c r="E857" i="6"/>
  <c r="B858" i="6"/>
  <c r="C858" i="6"/>
  <c r="E858" i="6"/>
  <c r="B859" i="6"/>
  <c r="C859" i="6"/>
  <c r="E859" i="6"/>
  <c r="B860" i="6"/>
  <c r="C860" i="6"/>
  <c r="E860" i="6"/>
  <c r="B861" i="6"/>
  <c r="C861" i="6"/>
  <c r="E861" i="6"/>
  <c r="B862" i="6"/>
  <c r="C862" i="6"/>
  <c r="E862" i="6"/>
  <c r="B863" i="6"/>
  <c r="C863" i="6"/>
  <c r="E863" i="6"/>
  <c r="B864" i="6"/>
  <c r="C864" i="6"/>
  <c r="E864" i="6"/>
  <c r="B865" i="6"/>
  <c r="C865" i="6"/>
  <c r="E865" i="6"/>
  <c r="B866" i="6"/>
  <c r="C866" i="6"/>
  <c r="E866" i="6"/>
  <c r="B867" i="6"/>
  <c r="C867" i="6"/>
  <c r="E867" i="6"/>
  <c r="B868" i="6"/>
  <c r="C868" i="6"/>
  <c r="E868" i="6"/>
  <c r="B869" i="6"/>
  <c r="C869" i="6"/>
  <c r="E869" i="6"/>
  <c r="B870" i="6"/>
  <c r="C870" i="6"/>
  <c r="E870" i="6"/>
  <c r="B871" i="6"/>
  <c r="C871" i="6"/>
  <c r="E871" i="6"/>
  <c r="B872" i="6"/>
  <c r="C872" i="6"/>
  <c r="E872" i="6"/>
  <c r="B873" i="6"/>
  <c r="C873" i="6"/>
  <c r="E873" i="6"/>
  <c r="B874" i="6"/>
  <c r="C874" i="6"/>
  <c r="E874" i="6"/>
  <c r="B875" i="6"/>
  <c r="C875" i="6"/>
  <c r="E875" i="6"/>
  <c r="B876" i="6"/>
  <c r="C876" i="6"/>
  <c r="E876" i="6"/>
  <c r="B877" i="6"/>
  <c r="C877" i="6"/>
  <c r="E877" i="6"/>
  <c r="B878" i="6"/>
  <c r="C878" i="6"/>
  <c r="E878" i="6"/>
  <c r="B879" i="6"/>
  <c r="C879" i="6"/>
  <c r="E879" i="6"/>
  <c r="B880" i="6"/>
  <c r="C880" i="6"/>
  <c r="E880" i="6"/>
  <c r="B881" i="6"/>
  <c r="C881" i="6"/>
  <c r="E881" i="6"/>
  <c r="B882" i="6"/>
  <c r="C882" i="6"/>
  <c r="E882" i="6"/>
  <c r="B883" i="6"/>
  <c r="C883" i="6"/>
  <c r="E883" i="6"/>
  <c r="B884" i="6"/>
  <c r="C884" i="6"/>
  <c r="E884" i="6"/>
  <c r="B885" i="6"/>
  <c r="C885" i="6"/>
  <c r="E885" i="6"/>
  <c r="B886" i="6"/>
  <c r="C886" i="6"/>
  <c r="E886" i="6"/>
  <c r="B887" i="6"/>
  <c r="C887" i="6"/>
  <c r="E887" i="6"/>
  <c r="B888" i="6"/>
  <c r="C888" i="6"/>
  <c r="E888" i="6"/>
  <c r="B889" i="6"/>
  <c r="C889" i="6"/>
  <c r="E889" i="6"/>
  <c r="B890" i="6"/>
  <c r="C890" i="6"/>
  <c r="E890" i="6"/>
  <c r="B891" i="6"/>
  <c r="C891" i="6"/>
  <c r="E891" i="6"/>
  <c r="B892" i="6"/>
  <c r="C892" i="6"/>
  <c r="E892" i="6"/>
  <c r="B893" i="6"/>
  <c r="C893" i="6"/>
  <c r="E893" i="6"/>
  <c r="B894" i="6"/>
  <c r="C894" i="6"/>
  <c r="E894" i="6"/>
  <c r="B895" i="6"/>
  <c r="C895" i="6"/>
  <c r="E895" i="6"/>
  <c r="B896" i="6"/>
  <c r="C896" i="6"/>
  <c r="E896" i="6"/>
  <c r="B897" i="6"/>
  <c r="C897" i="6"/>
  <c r="E897" i="6"/>
  <c r="B898" i="6"/>
  <c r="C898" i="6"/>
  <c r="E898" i="6"/>
  <c r="B899" i="6"/>
  <c r="C899" i="6"/>
  <c r="E899" i="6"/>
  <c r="B900" i="6"/>
  <c r="C900" i="6"/>
  <c r="E900" i="6"/>
  <c r="B901" i="6"/>
  <c r="C901" i="6"/>
  <c r="E901" i="6"/>
  <c r="B902" i="6"/>
  <c r="C902" i="6"/>
  <c r="E902" i="6"/>
  <c r="B903" i="6"/>
  <c r="C903" i="6"/>
  <c r="E903" i="6"/>
  <c r="B904" i="6"/>
  <c r="C904" i="6"/>
  <c r="E904" i="6"/>
  <c r="B905" i="6"/>
  <c r="C905" i="6"/>
  <c r="E905" i="6"/>
  <c r="B906" i="6"/>
  <c r="C906" i="6"/>
  <c r="E906" i="6"/>
  <c r="B907" i="6"/>
  <c r="C907" i="6"/>
  <c r="E907" i="6"/>
  <c r="B908" i="6"/>
  <c r="C908" i="6"/>
  <c r="E908" i="6"/>
  <c r="B909" i="6"/>
  <c r="C909" i="6"/>
  <c r="E909" i="6"/>
  <c r="B910" i="6"/>
  <c r="C910" i="6"/>
  <c r="E910" i="6"/>
  <c r="B911" i="6"/>
  <c r="C911" i="6"/>
  <c r="E911" i="6"/>
  <c r="B912" i="6"/>
  <c r="C912" i="6"/>
  <c r="E912" i="6"/>
  <c r="B913" i="6"/>
  <c r="C913" i="6"/>
  <c r="E913" i="6"/>
  <c r="B914" i="6"/>
  <c r="C914" i="6"/>
  <c r="E914" i="6"/>
  <c r="B915" i="6"/>
  <c r="C915" i="6"/>
  <c r="E915" i="6"/>
  <c r="B916" i="6"/>
  <c r="C916" i="6"/>
  <c r="E916" i="6"/>
  <c r="B917" i="6"/>
  <c r="C917" i="6"/>
  <c r="E917" i="6"/>
  <c r="B918" i="6"/>
  <c r="C918" i="6"/>
  <c r="E918" i="6"/>
  <c r="B919" i="6"/>
  <c r="C919" i="6"/>
  <c r="E919" i="6"/>
  <c r="B920" i="6"/>
  <c r="C920" i="6"/>
  <c r="E920" i="6"/>
  <c r="B921" i="6"/>
  <c r="C921" i="6"/>
  <c r="E921" i="6"/>
  <c r="B922" i="6"/>
  <c r="C922" i="6"/>
  <c r="E922" i="6"/>
  <c r="B923" i="6"/>
  <c r="C923" i="6"/>
  <c r="E923" i="6"/>
  <c r="B924" i="6"/>
  <c r="C924" i="6"/>
  <c r="E924" i="6"/>
  <c r="B925" i="6"/>
  <c r="C925" i="6"/>
  <c r="E925" i="6"/>
  <c r="B926" i="6"/>
  <c r="C926" i="6"/>
  <c r="E926" i="6"/>
  <c r="B927" i="6"/>
  <c r="C927" i="6"/>
  <c r="E927" i="6"/>
  <c r="B928" i="6"/>
  <c r="C928" i="6"/>
  <c r="E928" i="6"/>
  <c r="B929" i="6"/>
  <c r="C929" i="6"/>
  <c r="E929" i="6"/>
  <c r="B930" i="6"/>
  <c r="C930" i="6"/>
  <c r="E930" i="6"/>
  <c r="B931" i="6"/>
  <c r="C931" i="6"/>
  <c r="E931" i="6"/>
  <c r="B932" i="6"/>
  <c r="C932" i="6"/>
  <c r="E932" i="6"/>
  <c r="B933" i="6"/>
  <c r="C933" i="6"/>
  <c r="E933" i="6"/>
  <c r="B934" i="6"/>
  <c r="C934" i="6"/>
  <c r="E934" i="6"/>
  <c r="B935" i="6"/>
  <c r="C935" i="6"/>
  <c r="E935" i="6"/>
  <c r="B936" i="6"/>
  <c r="C936" i="6"/>
  <c r="E936" i="6"/>
  <c r="B937" i="6"/>
  <c r="C937" i="6"/>
  <c r="E937" i="6"/>
  <c r="B938" i="6"/>
  <c r="C938" i="6"/>
  <c r="E938" i="6"/>
  <c r="B939" i="6"/>
  <c r="C939" i="6"/>
  <c r="E939" i="6"/>
  <c r="B940" i="6"/>
  <c r="C940" i="6"/>
  <c r="E940" i="6"/>
  <c r="B941" i="6"/>
  <c r="C941" i="6"/>
  <c r="E941" i="6"/>
  <c r="B942" i="6"/>
  <c r="C942" i="6"/>
  <c r="E942" i="6"/>
  <c r="B943" i="6"/>
  <c r="C943" i="6"/>
  <c r="E943" i="6"/>
  <c r="B944" i="6"/>
  <c r="C944" i="6"/>
  <c r="E944" i="6"/>
  <c r="B945" i="6"/>
  <c r="C945" i="6"/>
  <c r="E945" i="6"/>
  <c r="B946" i="6"/>
  <c r="C946" i="6"/>
  <c r="E946" i="6"/>
  <c r="B947" i="6"/>
  <c r="C947" i="6"/>
  <c r="E947" i="6"/>
  <c r="B948" i="6"/>
  <c r="C948" i="6"/>
  <c r="E948" i="6"/>
  <c r="B949" i="6"/>
  <c r="C949" i="6"/>
  <c r="E949" i="6"/>
  <c r="B950" i="6"/>
  <c r="C950" i="6"/>
  <c r="E950" i="6"/>
  <c r="B951" i="6"/>
  <c r="C951" i="6"/>
  <c r="E951" i="6"/>
  <c r="B952" i="6"/>
  <c r="C952" i="6"/>
  <c r="E952" i="6"/>
  <c r="B953" i="6"/>
  <c r="C953" i="6"/>
  <c r="E953" i="6"/>
  <c r="B954" i="6"/>
  <c r="C954" i="6"/>
  <c r="E954" i="6"/>
  <c r="B955" i="6"/>
  <c r="C955" i="6"/>
  <c r="E955" i="6"/>
  <c r="B956" i="6"/>
  <c r="C956" i="6"/>
  <c r="E956" i="6"/>
  <c r="B957" i="6"/>
  <c r="C957" i="6"/>
  <c r="E957" i="6"/>
  <c r="B958" i="6"/>
  <c r="C958" i="6"/>
  <c r="E958" i="6"/>
  <c r="B959" i="6"/>
  <c r="C959" i="6"/>
  <c r="E959" i="6"/>
  <c r="B960" i="6"/>
  <c r="C960" i="6"/>
  <c r="E960" i="6"/>
  <c r="B961" i="6"/>
  <c r="C961" i="6"/>
  <c r="E961" i="6"/>
  <c r="B962" i="6"/>
  <c r="C962" i="6"/>
  <c r="E962" i="6"/>
  <c r="B963" i="6"/>
  <c r="C963" i="6"/>
  <c r="E963" i="6"/>
  <c r="B964" i="6"/>
  <c r="C964" i="6"/>
  <c r="E964" i="6"/>
  <c r="B965" i="6"/>
  <c r="C965" i="6"/>
  <c r="E965" i="6"/>
  <c r="B966" i="6"/>
  <c r="C966" i="6"/>
  <c r="E966" i="6"/>
  <c r="B967" i="6"/>
  <c r="C967" i="6"/>
  <c r="E967" i="6"/>
  <c r="B968" i="6"/>
  <c r="C968" i="6"/>
  <c r="E968" i="6"/>
  <c r="B969" i="6"/>
  <c r="C969" i="6"/>
  <c r="E969" i="6"/>
  <c r="B970" i="6"/>
  <c r="C970" i="6"/>
  <c r="E970" i="6"/>
  <c r="B971" i="6"/>
  <c r="C971" i="6"/>
  <c r="E971" i="6"/>
  <c r="B972" i="6"/>
  <c r="C972" i="6"/>
  <c r="E972" i="6"/>
  <c r="B973" i="6"/>
  <c r="C973" i="6"/>
  <c r="E973" i="6"/>
  <c r="B974" i="6"/>
  <c r="C974" i="6"/>
  <c r="E974" i="6"/>
  <c r="B975" i="6"/>
  <c r="C975" i="6"/>
  <c r="E975" i="6"/>
  <c r="B976" i="6"/>
  <c r="C976" i="6"/>
  <c r="E976" i="6"/>
  <c r="B977" i="6"/>
  <c r="C977" i="6"/>
  <c r="E977" i="6"/>
  <c r="B978" i="6"/>
  <c r="C978" i="6"/>
  <c r="E978" i="6"/>
  <c r="B979" i="6"/>
  <c r="C979" i="6"/>
  <c r="E979" i="6"/>
  <c r="B980" i="6"/>
  <c r="C980" i="6"/>
  <c r="E980" i="6"/>
  <c r="B981" i="6"/>
  <c r="C981" i="6"/>
  <c r="E981" i="6"/>
  <c r="B982" i="6"/>
  <c r="C982" i="6"/>
  <c r="E982" i="6"/>
  <c r="B983" i="6"/>
  <c r="C983" i="6"/>
  <c r="E983" i="6"/>
  <c r="B984" i="6"/>
  <c r="C984" i="6"/>
  <c r="E984" i="6"/>
  <c r="B985" i="6"/>
  <c r="C985" i="6"/>
  <c r="E985" i="6"/>
  <c r="B986" i="6"/>
  <c r="C986" i="6"/>
  <c r="E986" i="6"/>
  <c r="B987" i="6"/>
  <c r="C987" i="6"/>
  <c r="E987" i="6"/>
  <c r="B988" i="6"/>
  <c r="C988" i="6"/>
  <c r="E988" i="6"/>
  <c r="B989" i="6"/>
  <c r="C989" i="6"/>
  <c r="E989" i="6"/>
  <c r="B990" i="6"/>
  <c r="C990" i="6"/>
  <c r="E990" i="6"/>
  <c r="B991" i="6"/>
  <c r="C991" i="6"/>
  <c r="E991" i="6"/>
  <c r="B992" i="6"/>
  <c r="C992" i="6"/>
  <c r="E992" i="6"/>
  <c r="B993" i="6"/>
  <c r="C993" i="6"/>
  <c r="E993" i="6"/>
  <c r="B994" i="6"/>
  <c r="C994" i="6"/>
  <c r="E994" i="6"/>
  <c r="B995" i="6"/>
  <c r="C995" i="6"/>
  <c r="E995" i="6"/>
  <c r="B996" i="6"/>
  <c r="C996" i="6"/>
  <c r="E996" i="6"/>
  <c r="B997" i="6"/>
  <c r="C997" i="6"/>
  <c r="E997" i="6"/>
  <c r="B998" i="6"/>
  <c r="C998" i="6"/>
  <c r="E998" i="6"/>
  <c r="B999" i="6"/>
  <c r="C999" i="6"/>
  <c r="E999" i="6"/>
  <c r="B1000" i="6"/>
  <c r="C1000" i="6"/>
  <c r="E1000" i="6"/>
  <c r="B1001" i="6"/>
  <c r="C1001" i="6"/>
  <c r="E1001" i="6"/>
  <c r="B1002" i="6"/>
  <c r="C1002" i="6"/>
  <c r="E1002" i="6"/>
  <c r="B1003" i="6"/>
  <c r="C1003" i="6"/>
  <c r="E1003" i="6"/>
  <c r="B1004" i="6"/>
  <c r="C1004" i="6"/>
  <c r="E1004" i="6"/>
  <c r="B1005" i="6"/>
  <c r="C1005" i="6"/>
  <c r="E1005" i="6"/>
  <c r="B1006" i="6"/>
  <c r="C1006" i="6"/>
  <c r="E1006" i="6"/>
  <c r="B1007" i="6"/>
  <c r="C1007" i="6"/>
  <c r="E1007" i="6"/>
  <c r="B1008" i="6"/>
  <c r="C1008" i="6"/>
  <c r="E1008" i="6"/>
  <c r="B1009" i="6"/>
  <c r="C1009" i="6"/>
  <c r="E1009" i="6"/>
  <c r="B1010" i="6"/>
  <c r="C1010" i="6"/>
  <c r="E1010" i="6"/>
  <c r="B1011" i="6"/>
  <c r="C1011" i="6"/>
  <c r="E1011" i="6"/>
  <c r="B1012" i="6"/>
  <c r="C1012" i="6"/>
  <c r="E1012" i="6"/>
  <c r="B1013" i="6"/>
  <c r="C1013" i="6"/>
  <c r="E1013" i="6"/>
  <c r="B1014" i="6"/>
  <c r="C1014" i="6"/>
  <c r="E1014" i="6"/>
  <c r="B1015" i="6"/>
  <c r="C1015" i="6"/>
  <c r="E1015" i="6"/>
  <c r="B1016" i="6"/>
  <c r="C1016" i="6"/>
  <c r="E1016" i="6"/>
  <c r="B1017" i="6"/>
  <c r="C1017" i="6"/>
  <c r="E1017" i="6"/>
  <c r="B1018" i="6"/>
  <c r="C1018" i="6"/>
  <c r="E1018" i="6"/>
  <c r="B1019" i="6"/>
  <c r="C1019" i="6"/>
  <c r="E1019" i="6"/>
  <c r="B1020" i="6"/>
  <c r="C1020" i="6"/>
  <c r="E1020" i="6"/>
  <c r="B1021" i="6"/>
  <c r="C1021" i="6"/>
  <c r="E1021" i="6"/>
  <c r="B1022" i="6"/>
  <c r="C1022" i="6"/>
  <c r="E1022" i="6"/>
  <c r="B1023" i="6"/>
  <c r="C1023" i="6"/>
  <c r="E1023" i="6"/>
  <c r="B1024" i="6"/>
  <c r="C1024" i="6"/>
  <c r="E1024" i="6"/>
  <c r="B1025" i="6"/>
  <c r="C1025" i="6"/>
  <c r="E1025" i="6"/>
  <c r="B1026" i="6"/>
  <c r="C1026" i="6"/>
  <c r="E1026" i="6"/>
  <c r="B1027" i="6"/>
  <c r="C1027" i="6"/>
  <c r="E1027" i="6"/>
  <c r="B1028" i="6"/>
  <c r="C1028" i="6"/>
  <c r="E1028" i="6"/>
  <c r="B1029" i="6"/>
  <c r="C1029" i="6"/>
  <c r="E1029" i="6"/>
  <c r="B1030" i="6"/>
  <c r="C1030" i="6"/>
  <c r="E1030" i="6"/>
  <c r="B1031" i="6"/>
  <c r="C1031" i="6"/>
  <c r="E1031" i="6"/>
  <c r="B1032" i="6"/>
  <c r="C1032" i="6"/>
  <c r="E1032" i="6"/>
  <c r="B1033" i="6"/>
  <c r="C1033" i="6"/>
  <c r="E1033" i="6"/>
  <c r="B1034" i="6"/>
  <c r="C1034" i="6"/>
  <c r="E1034" i="6"/>
  <c r="B1035" i="6"/>
  <c r="C1035" i="6"/>
  <c r="E1035" i="6"/>
  <c r="B1036" i="6"/>
  <c r="C1036" i="6"/>
  <c r="E1036" i="6"/>
  <c r="B1037" i="6"/>
  <c r="C1037" i="6"/>
  <c r="E1037" i="6"/>
  <c r="B1038" i="6"/>
  <c r="C1038" i="6"/>
  <c r="E1038" i="6"/>
  <c r="B1039" i="6"/>
  <c r="C1039" i="6"/>
  <c r="E1039" i="6"/>
  <c r="B1040" i="6"/>
  <c r="C1040" i="6"/>
  <c r="E1040" i="6"/>
  <c r="B1041" i="6"/>
  <c r="C1041" i="6"/>
  <c r="E1041" i="6"/>
  <c r="B1042" i="6"/>
  <c r="C1042" i="6"/>
  <c r="E1042" i="6"/>
  <c r="B1043" i="6"/>
  <c r="C1043" i="6"/>
  <c r="E1043" i="6"/>
  <c r="B1044" i="6"/>
  <c r="C1044" i="6"/>
  <c r="E1044" i="6"/>
  <c r="B1045" i="6"/>
  <c r="C1045" i="6"/>
  <c r="E1045" i="6"/>
  <c r="B1046" i="6"/>
  <c r="C1046" i="6"/>
  <c r="E1046" i="6"/>
  <c r="B1047" i="6"/>
  <c r="C1047" i="6"/>
  <c r="E1047" i="6"/>
  <c r="B1048" i="6"/>
  <c r="C1048" i="6"/>
  <c r="E1048" i="6"/>
  <c r="B1049" i="6"/>
  <c r="C1049" i="6"/>
  <c r="E1049" i="6"/>
  <c r="B1050" i="6"/>
  <c r="C1050" i="6"/>
  <c r="E1050" i="6"/>
  <c r="B1051" i="6"/>
  <c r="C1051" i="6"/>
  <c r="E1051" i="6"/>
  <c r="B1052" i="6"/>
  <c r="C1052" i="6"/>
  <c r="E1052" i="6"/>
  <c r="B1053" i="6"/>
  <c r="C1053" i="6"/>
  <c r="E1053" i="6"/>
  <c r="B1054" i="6"/>
  <c r="C1054" i="6"/>
  <c r="E1054" i="6"/>
  <c r="B1055" i="6"/>
  <c r="C1055" i="6"/>
  <c r="E1055" i="6"/>
  <c r="B1056" i="6"/>
  <c r="C1056" i="6"/>
  <c r="E1056" i="6"/>
  <c r="B1057" i="6"/>
  <c r="C1057" i="6"/>
  <c r="E1057" i="6"/>
  <c r="B1058" i="6"/>
  <c r="C1058" i="6"/>
  <c r="E1058" i="6"/>
  <c r="B1059" i="6"/>
  <c r="C1059" i="6"/>
  <c r="E1059" i="6"/>
  <c r="B1060" i="6"/>
  <c r="C1060" i="6"/>
  <c r="E1060" i="6"/>
  <c r="B1061" i="6"/>
  <c r="C1061" i="6"/>
  <c r="E1061" i="6"/>
  <c r="B1062" i="6"/>
  <c r="C1062" i="6"/>
  <c r="E1062" i="6"/>
  <c r="B1063" i="6"/>
  <c r="C1063" i="6"/>
  <c r="E1063" i="6"/>
  <c r="B1064" i="6"/>
  <c r="C1064" i="6"/>
  <c r="E1064" i="6"/>
  <c r="B1065" i="6"/>
  <c r="C1065" i="6"/>
  <c r="E1065" i="6"/>
  <c r="B1066" i="6"/>
  <c r="C1066" i="6"/>
  <c r="E1066" i="6"/>
  <c r="B1067" i="6"/>
  <c r="C1067" i="6"/>
  <c r="E1067" i="6"/>
  <c r="B1068" i="6"/>
  <c r="C1068" i="6"/>
  <c r="E1068" i="6"/>
  <c r="B1069" i="6"/>
  <c r="C1069" i="6"/>
  <c r="E1069" i="6"/>
  <c r="B1070" i="6"/>
  <c r="C1070" i="6"/>
  <c r="E1070" i="6"/>
  <c r="B1071" i="6"/>
  <c r="C1071" i="6"/>
  <c r="E1071" i="6"/>
  <c r="B1072" i="6"/>
  <c r="C1072" i="6"/>
  <c r="E1072" i="6"/>
  <c r="B1073" i="6"/>
  <c r="C1073" i="6"/>
  <c r="E1073" i="6"/>
  <c r="B1074" i="6"/>
  <c r="C1074" i="6"/>
  <c r="E1074" i="6"/>
  <c r="B1075" i="6"/>
  <c r="C1075" i="6"/>
  <c r="E1075" i="6"/>
  <c r="B1076" i="6"/>
  <c r="C1076" i="6"/>
  <c r="E1076" i="6"/>
  <c r="B1077" i="6"/>
  <c r="C1077" i="6"/>
  <c r="E1077" i="6"/>
  <c r="B1078" i="6"/>
  <c r="C1078" i="6"/>
  <c r="E1078" i="6"/>
  <c r="B1079" i="6"/>
  <c r="C1079" i="6"/>
  <c r="E1079" i="6"/>
  <c r="B1080" i="6"/>
  <c r="C1080" i="6"/>
  <c r="E1080" i="6"/>
  <c r="B1081" i="6"/>
  <c r="C1081" i="6"/>
  <c r="E1081" i="6"/>
  <c r="B1082" i="6"/>
  <c r="C1082" i="6"/>
  <c r="E1082" i="6"/>
  <c r="B1083" i="6"/>
  <c r="C1083" i="6"/>
  <c r="E1083" i="6"/>
  <c r="B1084" i="6"/>
  <c r="C1084" i="6"/>
  <c r="E1084" i="6"/>
  <c r="B1085" i="6"/>
  <c r="C1085" i="6"/>
  <c r="E1085" i="6"/>
  <c r="B1086" i="6"/>
  <c r="C1086" i="6"/>
  <c r="E1086" i="6"/>
  <c r="B1087" i="6"/>
  <c r="C1087" i="6"/>
  <c r="E1087" i="6"/>
  <c r="B1088" i="6"/>
  <c r="C1088" i="6"/>
  <c r="E1088" i="6"/>
  <c r="B1089" i="6"/>
  <c r="C1089" i="6"/>
  <c r="E1089" i="6"/>
  <c r="B1090" i="6"/>
  <c r="C1090" i="6"/>
  <c r="E1090" i="6"/>
  <c r="B1091" i="6"/>
  <c r="C1091" i="6"/>
  <c r="E1091" i="6"/>
  <c r="B1092" i="6"/>
  <c r="C1092" i="6"/>
  <c r="E1092" i="6"/>
  <c r="B1093" i="6"/>
  <c r="C1093" i="6"/>
  <c r="E1093" i="6"/>
  <c r="B1094" i="6"/>
  <c r="C1094" i="6"/>
  <c r="E1094" i="6"/>
  <c r="B1095" i="6"/>
  <c r="C1095" i="6"/>
  <c r="E1095" i="6"/>
  <c r="B1096" i="6"/>
  <c r="C1096" i="6"/>
  <c r="E1096" i="6"/>
  <c r="B1097" i="6"/>
  <c r="C1097" i="6"/>
  <c r="E1097" i="6"/>
  <c r="B1098" i="6"/>
  <c r="C1098" i="6"/>
  <c r="E1098" i="6"/>
  <c r="B1099" i="6"/>
  <c r="C1099" i="6"/>
  <c r="E1099" i="6"/>
  <c r="B1100" i="6"/>
  <c r="C1100" i="6"/>
  <c r="E1100" i="6"/>
  <c r="B1101" i="6"/>
  <c r="C1101" i="6"/>
  <c r="E1101" i="6"/>
  <c r="B1102" i="6"/>
  <c r="C1102" i="6"/>
  <c r="E1102" i="6"/>
  <c r="B1103" i="6"/>
  <c r="C1103" i="6"/>
  <c r="E1103" i="6"/>
  <c r="B1104" i="6"/>
  <c r="C1104" i="6"/>
  <c r="E1104" i="6"/>
  <c r="B1105" i="6"/>
  <c r="C1105" i="6"/>
  <c r="E1105" i="6"/>
  <c r="B1106" i="6"/>
  <c r="C1106" i="6"/>
  <c r="E1106" i="6"/>
  <c r="B1107" i="6"/>
  <c r="C1107" i="6"/>
  <c r="E1107" i="6"/>
  <c r="B1108" i="6"/>
  <c r="C1108" i="6"/>
  <c r="E1108" i="6"/>
  <c r="B1109" i="6"/>
  <c r="C1109" i="6"/>
  <c r="E1109" i="6"/>
  <c r="B1110" i="6"/>
  <c r="C1110" i="6"/>
  <c r="E1110" i="6"/>
  <c r="B1111" i="6"/>
  <c r="C1111" i="6"/>
  <c r="E1111" i="6"/>
  <c r="B1112" i="6"/>
  <c r="C1112" i="6"/>
  <c r="E1112" i="6"/>
  <c r="B1113" i="6"/>
  <c r="C1113" i="6"/>
  <c r="E1113" i="6"/>
  <c r="B1114" i="6"/>
  <c r="C1114" i="6"/>
  <c r="E1114" i="6"/>
  <c r="B1115" i="6"/>
  <c r="C1115" i="6"/>
  <c r="E1115" i="6"/>
  <c r="B1116" i="6"/>
  <c r="C1116" i="6"/>
  <c r="E1116" i="6"/>
  <c r="B1117" i="6"/>
  <c r="C1117" i="6"/>
  <c r="E1117" i="6"/>
  <c r="B1118" i="6"/>
  <c r="C1118" i="6"/>
  <c r="E1118" i="6"/>
  <c r="B1119" i="6"/>
  <c r="C1119" i="6"/>
  <c r="E1119" i="6"/>
  <c r="B1120" i="6"/>
  <c r="C1120" i="6"/>
  <c r="E1120" i="6"/>
  <c r="B1121" i="6"/>
  <c r="C1121" i="6"/>
  <c r="E1121" i="6"/>
  <c r="B1122" i="6"/>
  <c r="C1122" i="6"/>
  <c r="E1122" i="6"/>
  <c r="B1123" i="6"/>
  <c r="C1123" i="6"/>
  <c r="E1123" i="6"/>
  <c r="B1124" i="6"/>
  <c r="C1124" i="6"/>
  <c r="E1124" i="6"/>
  <c r="B1125" i="6"/>
  <c r="C1125" i="6"/>
  <c r="E1125" i="6"/>
  <c r="B1126" i="6"/>
  <c r="C1126" i="6"/>
  <c r="E1126" i="6"/>
  <c r="B1127" i="6"/>
  <c r="C1127" i="6"/>
  <c r="E1127" i="6"/>
  <c r="B1128" i="6"/>
  <c r="C1128" i="6"/>
  <c r="E1128" i="6"/>
  <c r="B1129" i="6"/>
  <c r="C1129" i="6"/>
  <c r="E1129" i="6"/>
  <c r="B1130" i="6"/>
  <c r="C1130" i="6"/>
  <c r="E1130" i="6"/>
  <c r="B1131" i="6"/>
  <c r="C1131" i="6"/>
  <c r="E1131" i="6"/>
  <c r="B1132" i="6"/>
  <c r="C1132" i="6"/>
  <c r="E1132" i="6"/>
  <c r="B1133" i="6"/>
  <c r="C1133" i="6"/>
  <c r="E1133" i="6"/>
  <c r="B1134" i="6"/>
  <c r="C1134" i="6"/>
  <c r="E1134" i="6"/>
  <c r="B1135" i="6"/>
  <c r="C1135" i="6"/>
  <c r="E1135" i="6"/>
  <c r="B1136" i="6"/>
  <c r="C1136" i="6"/>
  <c r="E1136" i="6"/>
  <c r="B1137" i="6"/>
  <c r="C1137" i="6"/>
  <c r="E1137" i="6"/>
  <c r="B1138" i="6"/>
  <c r="C1138" i="6"/>
  <c r="E1138" i="6"/>
  <c r="B1139" i="6"/>
  <c r="C1139" i="6"/>
  <c r="E1139" i="6"/>
  <c r="B1140" i="6"/>
  <c r="C1140" i="6"/>
  <c r="E1140" i="6"/>
  <c r="B1141" i="6"/>
  <c r="C1141" i="6"/>
  <c r="E1141" i="6"/>
  <c r="B1142" i="6"/>
  <c r="C1142" i="6"/>
  <c r="E1142" i="6"/>
  <c r="B1143" i="6"/>
  <c r="C1143" i="6"/>
  <c r="E1143" i="6"/>
  <c r="B1144" i="6"/>
  <c r="C1144" i="6"/>
  <c r="E1144" i="6"/>
  <c r="B1145" i="6"/>
  <c r="C1145" i="6"/>
  <c r="E1145" i="6"/>
  <c r="B1146" i="6"/>
  <c r="C1146" i="6"/>
  <c r="E1146" i="6"/>
  <c r="B1147" i="6"/>
  <c r="C1147" i="6"/>
  <c r="E1147" i="6"/>
  <c r="B1148" i="6"/>
  <c r="C1148" i="6"/>
  <c r="E1148" i="6"/>
  <c r="B1149" i="6"/>
  <c r="C1149" i="6"/>
  <c r="E1149" i="6"/>
  <c r="B1150" i="6"/>
  <c r="C1150" i="6"/>
  <c r="E1150" i="6"/>
  <c r="B1151" i="6"/>
  <c r="C1151" i="6"/>
  <c r="E1151" i="6"/>
  <c r="B1152" i="6"/>
  <c r="C1152" i="6"/>
  <c r="E1152" i="6"/>
  <c r="B1153" i="6"/>
  <c r="C1153" i="6"/>
  <c r="E1153" i="6"/>
  <c r="B1154" i="6"/>
  <c r="C1154" i="6"/>
  <c r="E1154" i="6"/>
  <c r="B1155" i="6"/>
  <c r="C1155" i="6"/>
  <c r="E1155" i="6"/>
  <c r="B1156" i="6"/>
  <c r="C1156" i="6"/>
  <c r="E1156" i="6"/>
  <c r="B1157" i="6"/>
  <c r="C1157" i="6"/>
  <c r="E1157" i="6"/>
  <c r="B1158" i="6"/>
  <c r="C1158" i="6"/>
  <c r="E1158" i="6"/>
  <c r="B1159" i="6"/>
  <c r="C1159" i="6"/>
  <c r="E1159" i="6"/>
  <c r="B1160" i="6"/>
  <c r="C1160" i="6"/>
  <c r="E1160" i="6"/>
  <c r="B1161" i="6"/>
  <c r="C1161" i="6"/>
  <c r="E1161" i="6"/>
  <c r="B1162" i="6"/>
  <c r="C1162" i="6"/>
  <c r="E1162" i="6"/>
  <c r="B1163" i="6"/>
  <c r="C1163" i="6"/>
  <c r="E1163" i="6"/>
  <c r="B1164" i="6"/>
  <c r="C1164" i="6"/>
  <c r="E1164" i="6"/>
  <c r="B1165" i="6"/>
  <c r="C1165" i="6"/>
  <c r="E1165" i="6"/>
  <c r="B1166" i="6"/>
  <c r="C1166" i="6"/>
  <c r="E1166" i="6"/>
  <c r="B1167" i="6"/>
  <c r="C1167" i="6"/>
  <c r="E1167" i="6"/>
  <c r="B1168" i="6"/>
  <c r="C1168" i="6"/>
  <c r="E1168" i="6"/>
  <c r="B1169" i="6"/>
  <c r="C1169" i="6"/>
  <c r="E1169" i="6"/>
  <c r="B1170" i="6"/>
  <c r="C1170" i="6"/>
  <c r="E1170" i="6"/>
  <c r="B1171" i="6"/>
  <c r="C1171" i="6"/>
  <c r="E1171" i="6"/>
  <c r="B1172" i="6"/>
  <c r="C1172" i="6"/>
  <c r="E1172" i="6"/>
  <c r="B1173" i="6"/>
  <c r="C1173" i="6"/>
  <c r="E1173" i="6"/>
  <c r="B1174" i="6"/>
  <c r="C1174" i="6"/>
  <c r="E1174" i="6"/>
  <c r="B1175" i="6"/>
  <c r="C1175" i="6"/>
  <c r="E1175" i="6"/>
  <c r="B1176" i="6"/>
  <c r="C1176" i="6"/>
  <c r="E1176" i="6"/>
  <c r="B1177" i="6"/>
  <c r="C1177" i="6"/>
  <c r="E1177" i="6"/>
  <c r="B1178" i="6"/>
  <c r="C1178" i="6"/>
  <c r="E1178" i="6"/>
  <c r="B1179" i="6"/>
  <c r="C1179" i="6"/>
  <c r="E1179" i="6"/>
  <c r="B1180" i="6"/>
  <c r="C1180" i="6"/>
  <c r="E1180" i="6"/>
  <c r="B1181" i="6"/>
  <c r="C1181" i="6"/>
  <c r="E1181" i="6"/>
  <c r="B1182" i="6"/>
  <c r="C1182" i="6"/>
  <c r="E1182" i="6"/>
  <c r="B1183" i="6"/>
  <c r="C1183" i="6"/>
  <c r="E1183" i="6"/>
  <c r="B1184" i="6"/>
  <c r="C1184" i="6"/>
  <c r="E1184" i="6"/>
  <c r="B1185" i="6"/>
  <c r="C1185" i="6"/>
  <c r="E1185" i="6"/>
  <c r="B1186" i="6"/>
  <c r="C1186" i="6"/>
  <c r="E1186" i="6"/>
  <c r="B1187" i="6"/>
  <c r="C1187" i="6"/>
  <c r="E1187" i="6"/>
  <c r="B1188" i="6"/>
  <c r="C1188" i="6"/>
  <c r="E1188" i="6"/>
  <c r="B1189" i="6"/>
  <c r="C1189" i="6"/>
  <c r="E1189" i="6"/>
  <c r="B1190" i="6"/>
  <c r="C1190" i="6"/>
  <c r="E1190" i="6"/>
  <c r="B1191" i="6"/>
  <c r="C1191" i="6"/>
  <c r="E1191" i="6"/>
  <c r="B1192" i="6"/>
  <c r="C1192" i="6"/>
  <c r="E1192" i="6"/>
  <c r="B1193" i="6"/>
  <c r="C1193" i="6"/>
  <c r="E1193" i="6"/>
  <c r="B1194" i="6"/>
  <c r="C1194" i="6"/>
  <c r="E1194" i="6"/>
  <c r="B1195" i="6"/>
  <c r="C1195" i="6"/>
  <c r="E1195" i="6"/>
  <c r="B1196" i="6"/>
  <c r="C1196" i="6"/>
  <c r="E1196" i="6"/>
  <c r="B1197" i="6"/>
  <c r="C1197" i="6"/>
  <c r="E1197" i="6"/>
  <c r="B1198" i="6"/>
  <c r="C1198" i="6"/>
  <c r="E1198" i="6"/>
  <c r="B1199" i="6"/>
  <c r="C1199" i="6"/>
  <c r="E1199" i="6"/>
  <c r="B1200" i="6"/>
  <c r="C1200" i="6"/>
  <c r="E1200" i="6"/>
  <c r="B1201" i="6"/>
  <c r="C1201" i="6"/>
  <c r="E1201" i="6"/>
  <c r="B1202" i="6"/>
  <c r="C1202" i="6"/>
  <c r="E1202" i="6"/>
  <c r="B1203" i="6"/>
  <c r="C1203" i="6"/>
  <c r="E1203" i="6"/>
  <c r="B1204" i="6"/>
  <c r="C1204" i="6"/>
  <c r="E1204" i="6"/>
  <c r="B1205" i="6"/>
  <c r="C1205" i="6"/>
  <c r="E1205" i="6"/>
  <c r="B1206" i="6"/>
  <c r="C1206" i="6"/>
  <c r="E1206" i="6"/>
  <c r="B1207" i="6"/>
  <c r="C1207" i="6"/>
  <c r="E1207" i="6"/>
  <c r="B1208" i="6"/>
  <c r="C1208" i="6"/>
  <c r="E1208" i="6"/>
  <c r="B1209" i="6"/>
  <c r="C1209" i="6"/>
  <c r="E1209" i="6"/>
  <c r="B1210" i="6"/>
  <c r="C1210" i="6"/>
  <c r="E1210" i="6"/>
  <c r="B1211" i="6"/>
  <c r="C1211" i="6"/>
  <c r="E1211" i="6"/>
  <c r="B1212" i="6"/>
  <c r="C1212" i="6"/>
  <c r="E1212" i="6"/>
  <c r="B1213" i="6"/>
  <c r="C1213" i="6"/>
  <c r="E1213" i="6"/>
  <c r="B1214" i="6"/>
  <c r="C1214" i="6"/>
  <c r="E1214" i="6"/>
  <c r="B1215" i="6"/>
  <c r="C1215" i="6"/>
  <c r="E1215" i="6"/>
  <c r="B1216" i="6"/>
  <c r="C1216" i="6"/>
  <c r="E1216" i="6"/>
  <c r="B1217" i="6"/>
  <c r="C1217" i="6"/>
  <c r="E1217" i="6"/>
  <c r="B1218" i="6"/>
  <c r="C1218" i="6"/>
  <c r="E1218" i="6"/>
  <c r="B1219" i="6"/>
  <c r="C1219" i="6"/>
  <c r="E1219" i="6"/>
  <c r="B1220" i="6"/>
  <c r="C1220" i="6"/>
  <c r="E1220" i="6"/>
  <c r="B1221" i="6"/>
  <c r="C1221" i="6"/>
  <c r="E1221" i="6"/>
  <c r="B1222" i="6"/>
  <c r="C1222" i="6"/>
  <c r="E1222" i="6"/>
  <c r="B1223" i="6"/>
  <c r="C1223" i="6"/>
  <c r="E1223" i="6"/>
  <c r="B1224" i="6"/>
  <c r="C1224" i="6"/>
  <c r="E1224" i="6"/>
  <c r="B1225" i="6"/>
  <c r="C1225" i="6"/>
  <c r="E1225" i="6"/>
  <c r="B1226" i="6"/>
  <c r="C1226" i="6"/>
  <c r="E1226" i="6"/>
  <c r="B1227" i="6"/>
  <c r="C1227" i="6"/>
  <c r="E1227" i="6"/>
  <c r="B1228" i="6"/>
  <c r="C1228" i="6"/>
  <c r="E1228" i="6"/>
  <c r="B1229" i="6"/>
  <c r="C1229" i="6"/>
  <c r="E1229" i="6"/>
  <c r="B1230" i="6"/>
  <c r="C1230" i="6"/>
  <c r="E1230" i="6"/>
  <c r="B1231" i="6"/>
  <c r="C1231" i="6"/>
  <c r="E1231" i="6"/>
  <c r="B1232" i="6"/>
  <c r="C1232" i="6"/>
  <c r="E1232" i="6"/>
  <c r="B1233" i="6"/>
  <c r="C1233" i="6"/>
  <c r="E1233" i="6"/>
  <c r="B1234" i="6"/>
  <c r="C1234" i="6"/>
  <c r="E1234" i="6"/>
  <c r="B1235" i="6"/>
  <c r="C1235" i="6"/>
  <c r="E1235" i="6"/>
  <c r="B1236" i="6"/>
  <c r="C1236" i="6"/>
  <c r="E1236" i="6"/>
  <c r="B1237" i="6"/>
  <c r="C1237" i="6"/>
  <c r="E1237" i="6"/>
  <c r="B1238" i="6"/>
  <c r="C1238" i="6"/>
  <c r="E1238" i="6"/>
  <c r="B1239" i="6"/>
  <c r="C1239" i="6"/>
  <c r="E1239" i="6"/>
  <c r="B1240" i="6"/>
  <c r="C1240" i="6"/>
  <c r="E1240" i="6"/>
  <c r="B1241" i="6"/>
  <c r="C1241" i="6"/>
  <c r="E1241" i="6"/>
  <c r="B1242" i="6"/>
  <c r="C1242" i="6"/>
  <c r="E1242" i="6"/>
  <c r="B1243" i="6"/>
  <c r="C1243" i="6"/>
  <c r="E1243" i="6"/>
  <c r="B1244" i="6"/>
  <c r="C1244" i="6"/>
  <c r="E1244" i="6"/>
  <c r="B1245" i="6"/>
  <c r="C1245" i="6"/>
  <c r="E1245" i="6"/>
  <c r="B1246" i="6"/>
  <c r="C1246" i="6"/>
  <c r="E1246" i="6"/>
  <c r="B1247" i="6"/>
  <c r="C1247" i="6"/>
  <c r="E1247" i="6"/>
  <c r="B1248" i="6"/>
  <c r="C1248" i="6"/>
  <c r="E1248" i="6"/>
  <c r="B1249" i="6"/>
  <c r="C1249" i="6"/>
  <c r="E1249" i="6"/>
  <c r="B1250" i="6"/>
  <c r="C1250" i="6"/>
  <c r="E1250" i="6"/>
  <c r="B1251" i="6"/>
  <c r="C1251" i="6"/>
  <c r="E1251" i="6"/>
  <c r="B1252" i="6"/>
  <c r="C1252" i="6"/>
  <c r="E1252" i="6"/>
  <c r="B1253" i="6"/>
  <c r="C1253" i="6"/>
  <c r="E1253" i="6"/>
  <c r="B1254" i="6"/>
  <c r="C1254" i="6"/>
  <c r="E1254" i="6"/>
  <c r="B1255" i="6"/>
  <c r="C1255" i="6"/>
  <c r="E1255" i="6"/>
  <c r="B1256" i="6"/>
  <c r="C1256" i="6"/>
  <c r="E1256" i="6"/>
  <c r="B1257" i="6"/>
  <c r="C1257" i="6"/>
  <c r="E1257" i="6"/>
  <c r="B1258" i="6"/>
  <c r="C1258" i="6"/>
  <c r="E1258" i="6"/>
  <c r="B1259" i="6"/>
  <c r="C1259" i="6"/>
  <c r="E1259" i="6"/>
  <c r="B1260" i="6"/>
  <c r="C1260" i="6"/>
  <c r="E1260" i="6"/>
  <c r="B1261" i="6"/>
  <c r="C1261" i="6"/>
  <c r="E1261" i="6"/>
  <c r="B1262" i="6"/>
  <c r="C1262" i="6"/>
  <c r="E1262" i="6"/>
  <c r="B1263" i="6"/>
  <c r="C1263" i="6"/>
  <c r="E1263" i="6"/>
  <c r="B1264" i="6"/>
  <c r="C1264" i="6"/>
  <c r="E1264" i="6"/>
  <c r="B1265" i="6"/>
  <c r="C1265" i="6"/>
  <c r="E1265" i="6"/>
  <c r="B1266" i="6"/>
  <c r="C1266" i="6"/>
  <c r="E1266" i="6"/>
  <c r="B1267" i="6"/>
  <c r="C1267" i="6"/>
  <c r="E1267" i="6"/>
  <c r="B1268" i="6"/>
  <c r="C1268" i="6"/>
  <c r="E1268" i="6"/>
  <c r="B1269" i="6"/>
  <c r="C1269" i="6"/>
  <c r="E1269" i="6"/>
  <c r="B1270" i="6"/>
  <c r="C1270" i="6"/>
  <c r="E1270" i="6"/>
  <c r="B1271" i="6"/>
  <c r="C1271" i="6"/>
  <c r="E1271" i="6"/>
  <c r="B1272" i="6"/>
  <c r="C1272" i="6"/>
  <c r="E1272" i="6"/>
  <c r="B1273" i="6"/>
  <c r="C1273" i="6"/>
  <c r="E1273" i="6"/>
  <c r="B1274" i="6"/>
  <c r="C1274" i="6"/>
  <c r="E1274" i="6"/>
  <c r="B1275" i="6"/>
  <c r="C1275" i="6"/>
  <c r="E1275" i="6"/>
  <c r="B1276" i="6"/>
  <c r="C1276" i="6"/>
  <c r="E1276" i="6"/>
  <c r="B1277" i="6"/>
  <c r="C1277" i="6"/>
  <c r="E1277" i="6"/>
  <c r="B1278" i="6"/>
  <c r="C1278" i="6"/>
  <c r="E1278" i="6"/>
  <c r="B1279" i="6"/>
  <c r="C1279" i="6"/>
  <c r="E1279" i="6"/>
  <c r="B1280" i="6"/>
  <c r="C1280" i="6"/>
  <c r="E1280" i="6"/>
  <c r="B1281" i="6"/>
  <c r="C1281" i="6"/>
  <c r="E1281" i="6"/>
  <c r="B1282" i="6"/>
  <c r="C1282" i="6"/>
  <c r="E1282" i="6"/>
  <c r="B1283" i="6"/>
  <c r="C1283" i="6"/>
  <c r="E1283" i="6"/>
  <c r="B1284" i="6"/>
  <c r="C1284" i="6"/>
  <c r="E1284" i="6"/>
  <c r="B1285" i="6"/>
  <c r="C1285" i="6"/>
  <c r="E1285" i="6"/>
  <c r="B1286" i="6"/>
  <c r="C1286" i="6"/>
  <c r="E1286" i="6"/>
  <c r="B1287" i="6"/>
  <c r="C1287" i="6"/>
  <c r="E1287" i="6"/>
  <c r="B1288" i="6"/>
  <c r="C1288" i="6"/>
  <c r="E1288" i="6"/>
  <c r="B1289" i="6"/>
  <c r="C1289" i="6"/>
  <c r="E1289" i="6"/>
  <c r="B1290" i="6"/>
  <c r="C1290" i="6"/>
  <c r="E1290" i="6"/>
  <c r="B1291" i="6"/>
  <c r="C1291" i="6"/>
  <c r="E1291" i="6"/>
  <c r="B1292" i="6"/>
  <c r="C1292" i="6"/>
  <c r="E1292" i="6"/>
  <c r="B1293" i="6"/>
  <c r="C1293" i="6"/>
  <c r="E1293" i="6"/>
  <c r="B1294" i="6"/>
  <c r="C1294" i="6"/>
  <c r="E1294" i="6"/>
  <c r="B1295" i="6"/>
  <c r="C1295" i="6"/>
  <c r="E1295" i="6"/>
  <c r="B1296" i="6"/>
  <c r="C1296" i="6"/>
  <c r="E1296" i="6"/>
  <c r="B1297" i="6"/>
  <c r="C1297" i="6"/>
  <c r="E1297" i="6"/>
  <c r="B1298" i="6"/>
  <c r="C1298" i="6"/>
  <c r="E1298" i="6"/>
  <c r="B1299" i="6"/>
  <c r="C1299" i="6"/>
  <c r="E1299" i="6"/>
  <c r="B1300" i="6"/>
  <c r="C1300" i="6"/>
  <c r="E1300" i="6"/>
  <c r="B1301" i="6"/>
  <c r="C1301" i="6"/>
  <c r="E1301" i="6"/>
  <c r="B1302" i="6"/>
  <c r="C1302" i="6"/>
  <c r="E1302" i="6"/>
  <c r="B1303" i="6"/>
  <c r="C1303" i="6"/>
  <c r="E1303" i="6"/>
  <c r="B1304" i="6"/>
  <c r="C1304" i="6"/>
  <c r="E1304" i="6"/>
  <c r="B1305" i="6"/>
  <c r="C1305" i="6"/>
  <c r="E1305" i="6"/>
  <c r="B1306" i="6"/>
  <c r="C1306" i="6"/>
  <c r="E1306" i="6"/>
  <c r="B1307" i="6"/>
  <c r="C1307" i="6"/>
  <c r="E1307" i="6"/>
  <c r="B1308" i="6"/>
  <c r="C1308" i="6"/>
  <c r="E1308" i="6"/>
  <c r="B1309" i="6"/>
  <c r="C1309" i="6"/>
  <c r="E1309" i="6"/>
  <c r="B1310" i="6"/>
  <c r="C1310" i="6"/>
  <c r="E1310" i="6"/>
  <c r="B1311" i="6"/>
  <c r="C1311" i="6"/>
  <c r="E1311" i="6"/>
  <c r="B1312" i="6"/>
  <c r="C1312" i="6"/>
  <c r="E1312" i="6"/>
  <c r="B1313" i="6"/>
  <c r="C1313" i="6"/>
  <c r="E1313" i="6"/>
  <c r="B1314" i="6"/>
  <c r="C1314" i="6"/>
  <c r="E1314" i="6"/>
  <c r="B1315" i="6"/>
  <c r="C1315" i="6"/>
  <c r="E1315" i="6"/>
  <c r="B1316" i="6"/>
  <c r="C1316" i="6"/>
  <c r="E1316" i="6"/>
  <c r="B1317" i="6"/>
  <c r="C1317" i="6"/>
  <c r="E1317" i="6"/>
  <c r="B1318" i="6"/>
  <c r="C1318" i="6"/>
  <c r="E1318" i="6"/>
  <c r="B1319" i="6"/>
  <c r="C1319" i="6"/>
  <c r="E1319" i="6"/>
  <c r="B1320" i="6"/>
  <c r="C1320" i="6"/>
  <c r="E1320" i="6"/>
  <c r="B1321" i="6"/>
  <c r="C1321" i="6"/>
  <c r="E1321" i="6"/>
  <c r="B1322" i="6"/>
  <c r="C1322" i="6"/>
  <c r="E1322" i="6"/>
  <c r="B1323" i="6"/>
  <c r="C1323" i="6"/>
  <c r="E1323" i="6"/>
  <c r="B1324" i="6"/>
  <c r="C1324" i="6"/>
  <c r="E1324" i="6"/>
  <c r="B1325" i="6"/>
  <c r="C1325" i="6"/>
  <c r="E1325" i="6"/>
  <c r="B1326" i="6"/>
  <c r="C1326" i="6"/>
  <c r="E1326" i="6"/>
  <c r="B1327" i="6"/>
  <c r="C1327" i="6"/>
  <c r="E1327" i="6"/>
  <c r="B1328" i="6"/>
  <c r="C1328" i="6"/>
  <c r="E1328" i="6"/>
  <c r="B1329" i="6"/>
  <c r="C1329" i="6"/>
  <c r="E1329" i="6"/>
  <c r="B1330" i="6"/>
  <c r="C1330" i="6"/>
  <c r="E1330" i="6"/>
  <c r="B1331" i="6"/>
  <c r="C1331" i="6"/>
  <c r="E1331" i="6"/>
  <c r="B1332" i="6"/>
  <c r="C1332" i="6"/>
  <c r="E1332" i="6"/>
  <c r="B1333" i="6"/>
  <c r="C1333" i="6"/>
  <c r="E1333" i="6"/>
  <c r="B1334" i="6"/>
  <c r="C1334" i="6"/>
  <c r="E1334" i="6"/>
  <c r="B1335" i="6"/>
  <c r="C1335" i="6"/>
  <c r="E1335" i="6"/>
  <c r="B1336" i="6"/>
  <c r="C1336" i="6"/>
  <c r="E1336" i="6"/>
  <c r="B1337" i="6"/>
  <c r="C1337" i="6"/>
  <c r="E1337" i="6"/>
  <c r="B1338" i="6"/>
  <c r="C1338" i="6"/>
  <c r="E1338" i="6"/>
  <c r="B1339" i="6"/>
  <c r="C1339" i="6"/>
  <c r="E1339" i="6"/>
  <c r="B1340" i="6"/>
  <c r="C1340" i="6"/>
  <c r="E1340" i="6"/>
  <c r="B1341" i="6"/>
  <c r="C1341" i="6"/>
  <c r="E1341" i="6"/>
  <c r="B1342" i="6"/>
  <c r="C1342" i="6"/>
  <c r="E1342" i="6"/>
  <c r="B1343" i="6"/>
  <c r="C1343" i="6"/>
  <c r="E1343" i="6"/>
  <c r="B1344" i="6"/>
  <c r="C1344" i="6"/>
  <c r="E1344" i="6"/>
  <c r="B1345" i="6"/>
  <c r="C1345" i="6"/>
  <c r="E1345" i="6"/>
  <c r="B1346" i="6"/>
  <c r="C1346" i="6"/>
  <c r="E1346" i="6"/>
  <c r="B1347" i="6"/>
  <c r="C1347" i="6"/>
  <c r="E1347" i="6"/>
  <c r="B1348" i="6"/>
  <c r="C1348" i="6"/>
  <c r="E1348" i="6"/>
  <c r="B1349" i="6"/>
  <c r="C1349" i="6"/>
  <c r="E1349" i="6"/>
  <c r="B1350" i="6"/>
  <c r="C1350" i="6"/>
  <c r="E1350" i="6"/>
  <c r="B1351" i="6"/>
  <c r="C1351" i="6"/>
  <c r="E1351" i="6"/>
  <c r="B1352" i="6"/>
  <c r="C1352" i="6"/>
  <c r="E1352" i="6"/>
  <c r="B1353" i="6"/>
  <c r="C1353" i="6"/>
  <c r="E1353" i="6"/>
  <c r="B1354" i="6"/>
  <c r="C1354" i="6"/>
  <c r="E1354" i="6"/>
  <c r="B1355" i="6"/>
  <c r="C1355" i="6"/>
  <c r="E1355" i="6"/>
  <c r="B1356" i="6"/>
  <c r="C1356" i="6"/>
  <c r="E1356" i="6"/>
  <c r="B1357" i="6"/>
  <c r="C1357" i="6"/>
  <c r="E1357" i="6"/>
  <c r="B1358" i="6"/>
  <c r="C1358" i="6"/>
  <c r="E1358" i="6"/>
  <c r="B1359" i="6"/>
  <c r="C1359" i="6"/>
  <c r="E1359" i="6"/>
  <c r="B1360" i="6"/>
  <c r="C1360" i="6"/>
  <c r="E1360" i="6"/>
  <c r="B1361" i="6"/>
  <c r="C1361" i="6"/>
  <c r="E1361" i="6"/>
  <c r="B1362" i="6"/>
  <c r="C1362" i="6"/>
  <c r="E1362" i="6"/>
  <c r="B1363" i="6"/>
  <c r="C1363" i="6"/>
  <c r="E1363" i="6"/>
  <c r="B1364" i="6"/>
  <c r="C1364" i="6"/>
  <c r="E1364" i="6"/>
  <c r="B1365" i="6"/>
  <c r="C1365" i="6"/>
  <c r="E1365" i="6"/>
  <c r="B1366" i="6"/>
  <c r="C1366" i="6"/>
  <c r="E1366" i="6"/>
  <c r="B1367" i="6"/>
  <c r="C1367" i="6"/>
  <c r="E1367" i="6"/>
  <c r="B1368" i="6"/>
  <c r="C1368" i="6"/>
  <c r="E1368" i="6"/>
  <c r="B1369" i="6"/>
  <c r="C1369" i="6"/>
  <c r="E1369" i="6"/>
  <c r="B1370" i="6"/>
  <c r="C1370" i="6"/>
  <c r="E1370" i="6"/>
  <c r="B1371" i="6"/>
  <c r="C1371" i="6"/>
  <c r="E1371" i="6"/>
  <c r="B1372" i="6"/>
  <c r="C1372" i="6"/>
  <c r="E1372" i="6"/>
  <c r="B1373" i="6"/>
  <c r="C1373" i="6"/>
  <c r="E1373" i="6"/>
  <c r="B1374" i="6"/>
  <c r="C1374" i="6"/>
  <c r="E1374" i="6"/>
  <c r="B1375" i="6"/>
  <c r="C1375" i="6"/>
  <c r="E1375" i="6"/>
  <c r="B1376" i="6"/>
  <c r="C1376" i="6"/>
  <c r="E1376" i="6"/>
  <c r="B1377" i="6"/>
  <c r="C1377" i="6"/>
  <c r="E1377" i="6"/>
  <c r="B1378" i="6"/>
  <c r="C1378" i="6"/>
  <c r="E1378" i="6"/>
  <c r="B1379" i="6"/>
  <c r="C1379" i="6"/>
  <c r="E1379" i="6"/>
  <c r="B1380" i="6"/>
  <c r="C1380" i="6"/>
  <c r="E1380" i="6"/>
  <c r="B1381" i="6"/>
  <c r="C1381" i="6"/>
  <c r="E1381" i="6"/>
  <c r="B1382" i="6"/>
  <c r="C1382" i="6"/>
  <c r="E1382" i="6"/>
  <c r="B1383" i="6"/>
  <c r="C1383" i="6"/>
  <c r="E1383" i="6"/>
  <c r="B1384" i="6"/>
  <c r="C1384" i="6"/>
  <c r="E1384" i="6"/>
  <c r="B1385" i="6"/>
  <c r="C1385" i="6"/>
  <c r="E1385" i="6"/>
  <c r="B1386" i="6"/>
  <c r="C1386" i="6"/>
  <c r="E1386" i="6"/>
  <c r="B1387" i="6"/>
  <c r="C1387" i="6"/>
  <c r="E1387" i="6"/>
  <c r="B1388" i="6"/>
  <c r="C1388" i="6"/>
  <c r="E1388" i="6"/>
  <c r="B1389" i="6"/>
  <c r="C1389" i="6"/>
  <c r="E1389" i="6"/>
  <c r="B1390" i="6"/>
  <c r="C1390" i="6"/>
  <c r="E1390" i="6"/>
  <c r="B1391" i="6"/>
  <c r="C1391" i="6"/>
  <c r="E1391" i="6"/>
  <c r="B1392" i="6"/>
  <c r="C1392" i="6"/>
  <c r="E1392" i="6"/>
  <c r="B1393" i="6"/>
  <c r="C1393" i="6"/>
  <c r="E1393" i="6"/>
  <c r="B1394" i="6"/>
  <c r="C1394" i="6"/>
  <c r="E1394" i="6"/>
  <c r="B1395" i="6"/>
  <c r="C1395" i="6"/>
  <c r="E1395" i="6"/>
  <c r="B1396" i="6"/>
  <c r="C1396" i="6"/>
  <c r="E1396" i="6"/>
  <c r="B1397" i="6"/>
  <c r="C1397" i="6"/>
  <c r="E1397" i="6"/>
  <c r="B1398" i="6"/>
  <c r="C1398" i="6"/>
  <c r="E1398" i="6"/>
  <c r="B1399" i="6"/>
  <c r="C1399" i="6"/>
  <c r="E1399" i="6"/>
  <c r="B1400" i="6"/>
  <c r="C1400" i="6"/>
  <c r="E1400" i="6"/>
  <c r="B1401" i="6"/>
  <c r="C1401" i="6"/>
  <c r="E1401" i="6"/>
  <c r="B1402" i="6"/>
  <c r="C1402" i="6"/>
  <c r="E1402" i="6"/>
  <c r="B1403" i="6"/>
  <c r="C1403" i="6"/>
  <c r="E1403" i="6"/>
  <c r="B1404" i="6"/>
  <c r="C1404" i="6"/>
  <c r="E1404" i="6"/>
  <c r="B1405" i="6"/>
  <c r="C1405" i="6"/>
  <c r="E1405" i="6"/>
  <c r="B1406" i="6"/>
  <c r="C1406" i="6"/>
  <c r="E1406" i="6"/>
  <c r="B1407" i="6"/>
  <c r="C1407" i="6"/>
  <c r="E1407" i="6"/>
  <c r="B1408" i="6"/>
  <c r="C1408" i="6"/>
  <c r="E1408" i="6"/>
  <c r="B1409" i="6"/>
  <c r="C1409" i="6"/>
  <c r="E1409" i="6"/>
  <c r="B1410" i="6"/>
  <c r="C1410" i="6"/>
  <c r="E1410" i="6"/>
  <c r="B1411" i="6"/>
  <c r="C1411" i="6"/>
  <c r="E1411" i="6"/>
  <c r="B1412" i="6"/>
  <c r="C1412" i="6"/>
  <c r="E1412" i="6"/>
  <c r="B1413" i="6"/>
  <c r="C1413" i="6"/>
  <c r="E1413" i="6"/>
  <c r="B1414" i="6"/>
  <c r="C1414" i="6"/>
  <c r="E1414" i="6"/>
  <c r="B1415" i="6"/>
  <c r="C1415" i="6"/>
  <c r="E1415" i="6"/>
  <c r="B1416" i="6"/>
  <c r="C1416" i="6"/>
  <c r="E1416" i="6"/>
  <c r="B1417" i="6"/>
  <c r="C1417" i="6"/>
  <c r="E1417" i="6"/>
  <c r="B1418" i="6"/>
  <c r="C1418" i="6"/>
  <c r="E1418" i="6"/>
  <c r="B1419" i="6"/>
  <c r="C1419" i="6"/>
  <c r="E1419" i="6"/>
  <c r="B1420" i="6"/>
  <c r="C1420" i="6"/>
  <c r="E1420" i="6"/>
  <c r="B1421" i="6"/>
  <c r="C1421" i="6"/>
  <c r="E1421" i="6"/>
  <c r="B1422" i="6"/>
  <c r="C1422" i="6"/>
  <c r="E1422" i="6"/>
  <c r="B1423" i="6"/>
  <c r="C1423" i="6"/>
  <c r="E1423" i="6"/>
  <c r="B1424" i="6"/>
  <c r="C1424" i="6"/>
  <c r="E1424" i="6"/>
  <c r="B1425" i="6"/>
  <c r="C1425" i="6"/>
  <c r="E1425" i="6"/>
  <c r="B1426" i="6"/>
  <c r="C1426" i="6"/>
  <c r="E1426" i="6"/>
  <c r="B1427" i="6"/>
  <c r="C1427" i="6"/>
  <c r="E1427" i="6"/>
  <c r="B1428" i="6"/>
  <c r="C1428" i="6"/>
  <c r="E1428" i="6"/>
  <c r="B1429" i="6"/>
  <c r="C1429" i="6"/>
  <c r="E1429" i="6"/>
  <c r="B1430" i="6"/>
  <c r="C1430" i="6"/>
  <c r="E1430" i="6"/>
  <c r="B1431" i="6"/>
  <c r="C1431" i="6"/>
  <c r="E1431" i="6"/>
  <c r="B1432" i="6"/>
  <c r="C1432" i="6"/>
  <c r="E1432" i="6"/>
  <c r="B1433" i="6"/>
  <c r="C1433" i="6"/>
  <c r="E1433" i="6"/>
  <c r="B1434" i="6"/>
  <c r="C1434" i="6"/>
  <c r="E1434" i="6"/>
  <c r="B1435" i="6"/>
  <c r="C1435" i="6"/>
  <c r="E1435" i="6"/>
  <c r="B1436" i="6"/>
  <c r="C1436" i="6"/>
  <c r="E1436" i="6"/>
  <c r="B1437" i="6"/>
  <c r="C1437" i="6"/>
  <c r="E1437" i="6"/>
  <c r="B1438" i="6"/>
  <c r="C1438" i="6"/>
  <c r="E1438" i="6"/>
  <c r="B1439" i="6"/>
  <c r="C1439" i="6"/>
  <c r="E1439" i="6"/>
  <c r="B1440" i="6"/>
  <c r="C1440" i="6"/>
  <c r="E1440" i="6"/>
  <c r="B1441" i="6"/>
  <c r="C1441" i="6"/>
  <c r="E1441" i="6"/>
  <c r="B1442" i="6"/>
  <c r="C1442" i="6"/>
  <c r="E1442" i="6"/>
  <c r="B1443" i="6"/>
  <c r="C1443" i="6"/>
  <c r="E1443" i="6"/>
  <c r="B1444" i="6"/>
  <c r="C1444" i="6"/>
  <c r="E1444" i="6"/>
  <c r="B1445" i="6"/>
  <c r="C1445" i="6"/>
  <c r="E1445" i="6"/>
  <c r="B1446" i="6"/>
  <c r="C1446" i="6"/>
  <c r="E1446" i="6"/>
  <c r="B1447" i="6"/>
  <c r="C1447" i="6"/>
  <c r="E1447" i="6"/>
  <c r="B1448" i="6"/>
  <c r="C1448" i="6"/>
  <c r="E1448" i="6"/>
  <c r="B1449" i="6"/>
  <c r="C1449" i="6"/>
  <c r="E1449" i="6"/>
  <c r="B1450" i="6"/>
  <c r="C1450" i="6"/>
  <c r="E1450" i="6"/>
  <c r="B1451" i="6"/>
  <c r="C1451" i="6"/>
  <c r="E1451" i="6"/>
  <c r="B1452" i="6"/>
  <c r="C1452" i="6"/>
  <c r="E1452" i="6"/>
  <c r="B1453" i="6"/>
  <c r="C1453" i="6"/>
  <c r="E1453" i="6"/>
  <c r="B1454" i="6"/>
  <c r="C1454" i="6"/>
  <c r="E1454" i="6"/>
  <c r="B1455" i="6"/>
  <c r="C1455" i="6"/>
  <c r="E1455" i="6"/>
  <c r="B1456" i="6"/>
  <c r="C1456" i="6"/>
  <c r="E1456" i="6"/>
  <c r="B1457" i="6"/>
  <c r="C1457" i="6"/>
  <c r="E1457" i="6"/>
  <c r="B1458" i="6"/>
  <c r="C1458" i="6"/>
  <c r="E1458" i="6"/>
  <c r="B1459" i="6"/>
  <c r="C1459" i="6"/>
  <c r="E1459" i="6"/>
  <c r="B1460" i="6"/>
  <c r="C1460" i="6"/>
  <c r="E1460" i="6"/>
  <c r="B1461" i="6"/>
  <c r="C1461" i="6"/>
  <c r="E1461" i="6"/>
  <c r="B1462" i="6"/>
  <c r="C1462" i="6"/>
  <c r="E1462" i="6"/>
  <c r="B1463" i="6"/>
  <c r="C1463" i="6"/>
  <c r="E1463" i="6"/>
  <c r="B1464" i="6"/>
  <c r="C1464" i="6"/>
  <c r="E1464" i="6"/>
  <c r="B1465" i="6"/>
  <c r="C1465" i="6"/>
  <c r="E1465" i="6"/>
  <c r="B1466" i="6"/>
  <c r="C1466" i="6"/>
  <c r="E1466" i="6"/>
  <c r="B1467" i="6"/>
  <c r="C1467" i="6"/>
  <c r="E1467" i="6"/>
  <c r="B1468" i="6"/>
  <c r="C1468" i="6"/>
  <c r="E1468" i="6"/>
  <c r="B1469" i="6"/>
  <c r="C1469" i="6"/>
  <c r="E1469" i="6"/>
  <c r="B1470" i="6"/>
  <c r="C1470" i="6"/>
  <c r="E1470" i="6"/>
  <c r="B1471" i="6"/>
  <c r="C1471" i="6"/>
  <c r="E1471" i="6"/>
  <c r="B1472" i="6"/>
  <c r="C1472" i="6"/>
  <c r="E1472" i="6"/>
  <c r="B1473" i="6"/>
  <c r="C1473" i="6"/>
  <c r="E1473" i="6"/>
  <c r="B1474" i="6"/>
  <c r="C1474" i="6"/>
  <c r="E1474" i="6"/>
  <c r="B1475" i="6"/>
  <c r="C1475" i="6"/>
  <c r="E1475" i="6"/>
  <c r="B1476" i="6"/>
  <c r="C1476" i="6"/>
  <c r="E1476" i="6"/>
  <c r="B1477" i="6"/>
  <c r="C1477" i="6"/>
  <c r="E1477" i="6"/>
  <c r="B1478" i="6"/>
  <c r="C1478" i="6"/>
  <c r="E1478" i="6"/>
  <c r="B1479" i="6"/>
  <c r="C1479" i="6"/>
  <c r="E1479" i="6"/>
  <c r="B1480" i="6"/>
  <c r="C1480" i="6"/>
  <c r="E1480" i="6"/>
  <c r="B1481" i="6"/>
  <c r="C1481" i="6"/>
  <c r="E1481" i="6"/>
  <c r="B1482" i="6"/>
  <c r="C1482" i="6"/>
  <c r="E1482" i="6"/>
  <c r="B1483" i="6"/>
  <c r="C1483" i="6"/>
  <c r="E1483" i="6"/>
  <c r="B1484" i="6"/>
  <c r="C1484" i="6"/>
  <c r="E1484" i="6"/>
  <c r="B1485" i="6"/>
  <c r="C1485" i="6"/>
  <c r="E1485" i="6"/>
  <c r="B1486" i="6"/>
  <c r="C1486" i="6"/>
  <c r="E1486" i="6"/>
  <c r="B1487" i="6"/>
  <c r="C1487" i="6"/>
  <c r="E1487" i="6"/>
  <c r="B1488" i="6"/>
  <c r="C1488" i="6"/>
  <c r="E1488" i="6"/>
  <c r="B1489" i="6"/>
  <c r="C1489" i="6"/>
  <c r="E1489" i="6"/>
  <c r="B1490" i="6"/>
  <c r="C1490" i="6"/>
  <c r="E1490" i="6"/>
  <c r="B1491" i="6"/>
  <c r="C1491" i="6"/>
  <c r="E1491" i="6"/>
  <c r="B1492" i="6"/>
  <c r="C1492" i="6"/>
  <c r="E1492" i="6"/>
  <c r="B1493" i="6"/>
  <c r="C1493" i="6"/>
  <c r="E1493" i="6"/>
  <c r="B1494" i="6"/>
  <c r="C1494" i="6"/>
  <c r="E1494" i="6"/>
  <c r="B1495" i="6"/>
  <c r="C1495" i="6"/>
  <c r="E1495" i="6"/>
  <c r="B1496" i="6"/>
  <c r="C1496" i="6"/>
  <c r="E1496" i="6"/>
  <c r="B1497" i="6"/>
  <c r="C1497" i="6"/>
  <c r="E1497" i="6"/>
  <c r="B1498" i="6"/>
  <c r="C1498" i="6"/>
  <c r="E1498" i="6"/>
  <c r="B1499" i="6"/>
  <c r="C1499" i="6"/>
  <c r="E1499" i="6"/>
  <c r="B1500" i="6"/>
  <c r="C1500" i="6"/>
  <c r="E1500" i="6"/>
  <c r="B1501" i="6"/>
  <c r="C1501" i="6"/>
  <c r="E1501" i="6"/>
  <c r="B1502" i="6"/>
  <c r="C1502" i="6"/>
  <c r="E1502" i="6"/>
  <c r="B1503" i="6"/>
  <c r="C1503" i="6"/>
  <c r="E1503" i="6"/>
  <c r="B1504" i="6"/>
  <c r="C1504" i="6"/>
  <c r="E1504" i="6"/>
  <c r="B1505" i="6"/>
  <c r="C1505" i="6"/>
  <c r="E1505" i="6"/>
  <c r="B1506" i="6"/>
  <c r="C1506" i="6"/>
  <c r="E1506" i="6"/>
  <c r="B1507" i="6"/>
  <c r="C1507" i="6"/>
  <c r="E1507" i="6"/>
  <c r="B1508" i="6"/>
  <c r="C1508" i="6"/>
  <c r="E1508" i="6"/>
  <c r="B1509" i="6"/>
  <c r="C1509" i="6"/>
  <c r="E1509" i="6"/>
  <c r="B1510" i="6"/>
  <c r="C1510" i="6"/>
  <c r="E1510" i="6"/>
  <c r="B1511" i="6"/>
  <c r="C1511" i="6"/>
  <c r="E1511" i="6"/>
  <c r="B1512" i="6"/>
  <c r="C1512" i="6"/>
  <c r="E1512" i="6"/>
  <c r="B1513" i="6"/>
  <c r="C1513" i="6"/>
  <c r="E1513" i="6"/>
  <c r="B1514" i="6"/>
  <c r="C1514" i="6"/>
  <c r="E1514" i="6"/>
  <c r="B1515" i="6"/>
  <c r="C1515" i="6"/>
  <c r="E1515" i="6"/>
  <c r="B1516" i="6"/>
  <c r="C1516" i="6"/>
  <c r="E1516" i="6"/>
  <c r="B1517" i="6"/>
  <c r="C1517" i="6"/>
  <c r="E1517" i="6"/>
  <c r="B1518" i="6"/>
  <c r="C1518" i="6"/>
  <c r="E1518" i="6"/>
  <c r="B1519" i="6"/>
  <c r="C1519" i="6"/>
  <c r="E1519" i="6"/>
  <c r="B1520" i="6"/>
  <c r="C1520" i="6"/>
  <c r="E1520" i="6"/>
  <c r="B1521" i="6"/>
  <c r="C1521" i="6"/>
  <c r="E1521" i="6"/>
  <c r="B1522" i="6"/>
  <c r="C1522" i="6"/>
  <c r="E1522" i="6"/>
  <c r="B1523" i="6"/>
  <c r="C1523" i="6"/>
  <c r="E1523" i="6"/>
  <c r="B1524" i="6"/>
  <c r="C1524" i="6"/>
  <c r="E1524" i="6"/>
  <c r="B1525" i="6"/>
  <c r="C1525" i="6"/>
  <c r="E1525" i="6"/>
  <c r="B1526" i="6"/>
  <c r="C1526" i="6"/>
  <c r="E1526" i="6"/>
  <c r="B1527" i="6"/>
  <c r="C1527" i="6"/>
  <c r="E1527" i="6"/>
  <c r="B1528" i="6"/>
  <c r="C1528" i="6"/>
  <c r="E1528" i="6"/>
  <c r="B1529" i="6"/>
  <c r="C1529" i="6"/>
  <c r="E1529" i="6"/>
  <c r="B1530" i="6"/>
  <c r="C1530" i="6"/>
  <c r="E1530" i="6"/>
  <c r="B1531" i="6"/>
  <c r="C1531" i="6"/>
  <c r="E1531" i="6"/>
  <c r="B1532" i="6"/>
  <c r="C1532" i="6"/>
  <c r="E1532" i="6"/>
  <c r="B1533" i="6"/>
  <c r="C1533" i="6"/>
  <c r="E1533" i="6"/>
  <c r="B1534" i="6"/>
  <c r="C1534" i="6"/>
  <c r="E1534" i="6"/>
  <c r="B1535" i="6"/>
  <c r="C1535" i="6"/>
  <c r="E1535" i="6"/>
  <c r="B1536" i="6"/>
  <c r="C1536" i="6"/>
  <c r="E1536" i="6"/>
  <c r="B1537" i="6"/>
  <c r="C1537" i="6"/>
  <c r="E1537" i="6"/>
  <c r="B1538" i="6"/>
  <c r="C1538" i="6"/>
  <c r="E1538" i="6"/>
  <c r="B1539" i="6"/>
  <c r="C1539" i="6"/>
  <c r="E1539" i="6"/>
  <c r="B1540" i="6"/>
  <c r="C1540" i="6"/>
  <c r="E1540" i="6"/>
  <c r="B1541" i="6"/>
  <c r="C1541" i="6"/>
  <c r="E1541" i="6"/>
  <c r="B1542" i="6"/>
  <c r="C1542" i="6"/>
  <c r="E1542" i="6"/>
  <c r="B1543" i="6"/>
  <c r="C1543" i="6"/>
  <c r="E1543" i="6"/>
  <c r="B1544" i="6"/>
  <c r="C1544" i="6"/>
  <c r="E1544" i="6"/>
  <c r="B1545" i="6"/>
  <c r="C1545" i="6"/>
  <c r="E1545" i="6"/>
  <c r="B1546" i="6"/>
  <c r="C1546" i="6"/>
  <c r="E1546" i="6"/>
  <c r="B1547" i="6"/>
  <c r="C1547" i="6"/>
  <c r="E1547" i="6"/>
  <c r="B1548" i="6"/>
  <c r="C1548" i="6"/>
  <c r="E1548" i="6"/>
  <c r="B1549" i="6"/>
  <c r="C1549" i="6"/>
  <c r="E1549" i="6"/>
  <c r="B1550" i="6"/>
  <c r="C1550" i="6"/>
  <c r="E1550" i="6"/>
  <c r="B1551" i="6"/>
  <c r="C1551" i="6"/>
  <c r="E1551" i="6"/>
  <c r="B1552" i="6"/>
  <c r="C1552" i="6"/>
  <c r="E1552" i="6"/>
  <c r="B1553" i="6"/>
  <c r="C1553" i="6"/>
  <c r="E1553" i="6"/>
  <c r="B1554" i="6"/>
  <c r="C1554" i="6"/>
  <c r="E1554" i="6"/>
  <c r="B1555" i="6"/>
  <c r="C1555" i="6"/>
  <c r="E1555" i="6"/>
  <c r="B1556" i="6"/>
  <c r="C1556" i="6"/>
  <c r="E1556" i="6"/>
  <c r="B1557" i="6"/>
  <c r="C1557" i="6"/>
  <c r="E1557" i="6"/>
  <c r="B1558" i="6"/>
  <c r="C1558" i="6"/>
  <c r="E1558" i="6"/>
  <c r="B1559" i="6"/>
  <c r="C1559" i="6"/>
  <c r="E1559" i="6"/>
  <c r="B1560" i="6"/>
  <c r="C1560" i="6"/>
  <c r="E1560" i="6"/>
  <c r="B1561" i="6"/>
  <c r="C1561" i="6"/>
  <c r="E1561" i="6"/>
  <c r="B1562" i="6"/>
  <c r="C1562" i="6"/>
  <c r="E1562" i="6"/>
  <c r="B1563" i="6"/>
  <c r="C1563" i="6"/>
  <c r="E1563" i="6"/>
  <c r="B1564" i="6"/>
  <c r="C1564" i="6"/>
  <c r="E1564" i="6"/>
  <c r="B1565" i="6"/>
  <c r="C1565" i="6"/>
  <c r="E1565" i="6"/>
  <c r="B1566" i="6"/>
  <c r="C1566" i="6"/>
  <c r="E1566" i="6"/>
  <c r="B1567" i="6"/>
  <c r="C1567" i="6"/>
  <c r="E1567" i="6"/>
  <c r="B1568" i="6"/>
  <c r="C1568" i="6"/>
  <c r="E1568" i="6"/>
  <c r="B1569" i="6"/>
  <c r="C1569" i="6"/>
  <c r="E1569" i="6"/>
  <c r="B1570" i="6"/>
  <c r="C1570" i="6"/>
  <c r="E1570" i="6"/>
  <c r="B1571" i="6"/>
  <c r="C1571" i="6"/>
  <c r="E1571" i="6"/>
  <c r="B1572" i="6"/>
  <c r="C1572" i="6"/>
  <c r="E1572" i="6"/>
  <c r="B1573" i="6"/>
  <c r="C1573" i="6"/>
  <c r="E1573" i="6"/>
  <c r="B1574" i="6"/>
  <c r="C1574" i="6"/>
  <c r="E1574" i="6"/>
  <c r="B1575" i="6"/>
  <c r="C1575" i="6"/>
  <c r="E1575" i="6"/>
  <c r="B1576" i="6"/>
  <c r="C1576" i="6"/>
  <c r="E1576" i="6"/>
  <c r="B1577" i="6"/>
  <c r="C1577" i="6"/>
  <c r="E1577" i="6"/>
  <c r="B1578" i="6"/>
  <c r="C1578" i="6"/>
  <c r="E1578" i="6"/>
  <c r="B1579" i="6"/>
  <c r="C1579" i="6"/>
  <c r="E1579" i="6"/>
  <c r="B1580" i="6"/>
  <c r="C1580" i="6"/>
  <c r="E1580" i="6"/>
  <c r="B1581" i="6"/>
  <c r="C1581" i="6"/>
  <c r="E1581" i="6"/>
  <c r="B1582" i="6"/>
  <c r="C1582" i="6"/>
  <c r="E1582" i="6"/>
  <c r="B1583" i="6"/>
  <c r="C1583" i="6"/>
  <c r="E1583" i="6"/>
  <c r="B1584" i="6"/>
  <c r="C1584" i="6"/>
  <c r="E1584" i="6"/>
  <c r="B1585" i="6"/>
  <c r="C1585" i="6"/>
  <c r="E1585" i="6"/>
  <c r="B1586" i="6"/>
  <c r="C1586" i="6"/>
  <c r="E1586" i="6"/>
  <c r="B1587" i="6"/>
  <c r="C1587" i="6"/>
  <c r="E1587" i="6"/>
  <c r="B1588" i="6"/>
  <c r="C1588" i="6"/>
  <c r="E1588" i="6"/>
  <c r="B1589" i="6"/>
  <c r="C1589" i="6"/>
  <c r="E1589" i="6"/>
  <c r="B1590" i="6"/>
  <c r="C1590" i="6"/>
  <c r="E1590" i="6"/>
  <c r="B1591" i="6"/>
  <c r="C1591" i="6"/>
  <c r="E1591" i="6"/>
  <c r="B1592" i="6"/>
  <c r="C1592" i="6"/>
  <c r="E1592" i="6"/>
  <c r="B1593" i="6"/>
  <c r="C1593" i="6"/>
  <c r="E1593" i="6"/>
  <c r="B1594" i="6"/>
  <c r="C1594" i="6"/>
  <c r="E1594" i="6"/>
  <c r="B1595" i="6"/>
  <c r="C1595" i="6"/>
  <c r="E1595" i="6"/>
  <c r="B1596" i="6"/>
  <c r="C1596" i="6"/>
  <c r="E1596" i="6"/>
  <c r="B1597" i="6"/>
  <c r="C1597" i="6"/>
  <c r="E1597" i="6"/>
  <c r="B1598" i="6"/>
  <c r="C1598" i="6"/>
  <c r="E1598" i="6"/>
  <c r="B1599" i="6"/>
  <c r="C1599" i="6"/>
  <c r="E1599" i="6"/>
  <c r="B1600" i="6"/>
  <c r="C1600" i="6"/>
  <c r="E1600" i="6"/>
  <c r="B1601" i="6"/>
  <c r="C1601" i="6"/>
  <c r="E1601" i="6"/>
  <c r="B1602" i="6"/>
  <c r="C1602" i="6"/>
  <c r="E1602" i="6"/>
  <c r="B1603" i="6"/>
  <c r="C1603" i="6"/>
  <c r="E1603" i="6"/>
  <c r="B1604" i="6"/>
  <c r="C1604" i="6"/>
  <c r="E1604" i="6"/>
  <c r="B1605" i="6"/>
  <c r="C1605" i="6"/>
  <c r="E1605" i="6"/>
  <c r="B1606" i="6"/>
  <c r="C1606" i="6"/>
  <c r="E1606" i="6"/>
  <c r="B1607" i="6"/>
  <c r="C1607" i="6"/>
  <c r="E1607" i="6"/>
  <c r="B1608" i="6"/>
  <c r="C1608" i="6"/>
  <c r="E1608" i="6"/>
  <c r="B1609" i="6"/>
  <c r="C1609" i="6"/>
  <c r="E1609" i="6"/>
  <c r="B1610" i="6"/>
  <c r="C1610" i="6"/>
  <c r="E1610" i="6"/>
  <c r="B1611" i="6"/>
  <c r="C1611" i="6"/>
  <c r="E1611" i="6"/>
  <c r="B1612" i="6"/>
  <c r="C1612" i="6"/>
  <c r="E1612" i="6"/>
  <c r="B1613" i="6"/>
  <c r="C1613" i="6"/>
  <c r="E1613" i="6"/>
  <c r="B1614" i="6"/>
  <c r="C1614" i="6"/>
  <c r="E1614" i="6"/>
  <c r="B1615" i="6"/>
  <c r="C1615" i="6"/>
  <c r="E1615" i="6"/>
  <c r="B1616" i="6"/>
  <c r="C1616" i="6"/>
  <c r="E1616" i="6"/>
  <c r="B1617" i="6"/>
  <c r="C1617" i="6"/>
  <c r="E1617" i="6"/>
  <c r="B1618" i="6"/>
  <c r="C1618" i="6"/>
  <c r="E1618" i="6"/>
  <c r="B1619" i="6"/>
  <c r="C1619" i="6"/>
  <c r="E1619" i="6"/>
  <c r="B1620" i="6"/>
  <c r="C1620" i="6"/>
  <c r="E1620" i="6"/>
  <c r="B1621" i="6"/>
  <c r="C1621" i="6"/>
  <c r="E1621" i="6"/>
  <c r="B1622" i="6"/>
  <c r="C1622" i="6"/>
  <c r="E1622" i="6"/>
  <c r="B1623" i="6"/>
  <c r="C1623" i="6"/>
  <c r="E1623" i="6"/>
  <c r="B1624" i="6"/>
  <c r="C1624" i="6"/>
  <c r="E1624" i="6"/>
  <c r="B1625" i="6"/>
  <c r="C1625" i="6"/>
  <c r="E1625" i="6"/>
  <c r="B1626" i="6"/>
  <c r="C1626" i="6"/>
  <c r="E1626" i="6"/>
  <c r="B1627" i="6"/>
  <c r="C1627" i="6"/>
  <c r="E1627" i="6"/>
  <c r="B1628" i="6"/>
  <c r="C1628" i="6"/>
  <c r="E1628" i="6"/>
  <c r="B1629" i="6"/>
  <c r="C1629" i="6"/>
  <c r="E1629" i="6"/>
  <c r="B1630" i="6"/>
  <c r="C1630" i="6"/>
  <c r="E1630" i="6"/>
  <c r="B1631" i="6"/>
  <c r="C1631" i="6"/>
  <c r="E1631" i="6"/>
  <c r="B1632" i="6"/>
  <c r="C1632" i="6"/>
  <c r="E1632" i="6"/>
  <c r="B1633" i="6"/>
  <c r="C1633" i="6"/>
  <c r="E1633" i="6"/>
  <c r="B1634" i="6"/>
  <c r="C1634" i="6"/>
  <c r="E1634" i="6"/>
  <c r="B1635" i="6"/>
  <c r="C1635" i="6"/>
  <c r="E1635" i="6"/>
  <c r="B1636" i="6"/>
  <c r="C1636" i="6"/>
  <c r="E1636" i="6"/>
  <c r="B1637" i="6"/>
  <c r="C1637" i="6"/>
  <c r="E1637" i="6"/>
  <c r="B1638" i="6"/>
  <c r="C1638" i="6"/>
  <c r="E1638" i="6"/>
  <c r="B1639" i="6"/>
  <c r="C1639" i="6"/>
  <c r="E1639" i="6"/>
  <c r="B1640" i="6"/>
  <c r="C1640" i="6"/>
  <c r="E1640" i="6"/>
  <c r="B1641" i="6"/>
  <c r="C1641" i="6"/>
  <c r="E1641" i="6"/>
  <c r="B1642" i="6"/>
  <c r="C1642" i="6"/>
  <c r="E1642" i="6"/>
  <c r="B1643" i="6"/>
  <c r="C1643" i="6"/>
  <c r="E1643" i="6"/>
  <c r="B1644" i="6"/>
  <c r="C1644" i="6"/>
  <c r="E1644" i="6"/>
  <c r="B1645" i="6"/>
  <c r="C1645" i="6"/>
  <c r="E1645" i="6"/>
  <c r="B1646" i="6"/>
  <c r="C1646" i="6"/>
  <c r="E1646" i="6"/>
  <c r="B1647" i="6"/>
  <c r="C1647" i="6"/>
  <c r="E1647" i="6"/>
  <c r="B1648" i="6"/>
  <c r="C1648" i="6"/>
  <c r="E1648" i="6"/>
  <c r="B1649" i="6"/>
  <c r="C1649" i="6"/>
  <c r="E1649" i="6"/>
  <c r="B1650" i="6"/>
  <c r="C1650" i="6"/>
  <c r="E1650" i="6"/>
  <c r="B1651" i="6"/>
  <c r="C1651" i="6"/>
  <c r="E1651" i="6"/>
  <c r="B1652" i="6"/>
  <c r="C1652" i="6"/>
  <c r="E1652" i="6"/>
  <c r="B1653" i="6"/>
  <c r="C1653" i="6"/>
  <c r="E1653" i="6"/>
  <c r="B1654" i="6"/>
  <c r="C1654" i="6"/>
  <c r="E1654" i="6"/>
  <c r="B1655" i="6"/>
  <c r="C1655" i="6"/>
  <c r="E1655" i="6"/>
  <c r="B1656" i="6"/>
  <c r="C1656" i="6"/>
  <c r="E1656" i="6"/>
  <c r="B1657" i="6"/>
  <c r="C1657" i="6"/>
  <c r="E1657" i="6"/>
  <c r="B1658" i="6"/>
  <c r="C1658" i="6"/>
  <c r="E1658" i="6"/>
  <c r="B1659" i="6"/>
  <c r="C1659" i="6"/>
  <c r="E1659" i="6"/>
  <c r="B1660" i="6"/>
  <c r="C1660" i="6"/>
  <c r="E1660" i="6"/>
  <c r="B1661" i="6"/>
  <c r="C1661" i="6"/>
  <c r="E1661" i="6"/>
  <c r="B1662" i="6"/>
  <c r="C1662" i="6"/>
  <c r="E1662" i="6"/>
  <c r="B1663" i="6"/>
  <c r="C1663" i="6"/>
  <c r="E1663" i="6"/>
  <c r="B1664" i="6"/>
  <c r="C1664" i="6"/>
  <c r="E1664" i="6"/>
  <c r="B1665" i="6"/>
  <c r="C1665" i="6"/>
  <c r="E1665" i="6"/>
  <c r="B1666" i="6"/>
  <c r="C1666" i="6"/>
  <c r="E1666" i="6"/>
  <c r="B1667" i="6"/>
  <c r="C1667" i="6"/>
  <c r="E1667" i="6"/>
  <c r="B1668" i="6"/>
  <c r="C1668" i="6"/>
  <c r="E1668" i="6"/>
  <c r="B1669" i="6"/>
  <c r="C1669" i="6"/>
  <c r="E1669" i="6"/>
  <c r="B1670" i="6"/>
  <c r="C1670" i="6"/>
  <c r="E1670" i="6"/>
  <c r="B1671" i="6"/>
  <c r="C1671" i="6"/>
  <c r="E1671" i="6"/>
  <c r="B1672" i="6"/>
  <c r="C1672" i="6"/>
  <c r="E1672" i="6"/>
  <c r="B1673" i="6"/>
  <c r="C1673" i="6"/>
  <c r="E1673" i="6"/>
  <c r="B1674" i="6"/>
  <c r="C1674" i="6"/>
  <c r="E1674" i="6"/>
  <c r="B1675" i="6"/>
  <c r="C1675" i="6"/>
  <c r="E1675" i="6"/>
  <c r="B1676" i="6"/>
  <c r="C1676" i="6"/>
  <c r="E1676" i="6"/>
  <c r="B1677" i="6"/>
  <c r="C1677" i="6"/>
  <c r="E1677" i="6"/>
  <c r="B1678" i="6"/>
  <c r="C1678" i="6"/>
  <c r="E1678" i="6"/>
  <c r="B1679" i="6"/>
  <c r="C1679" i="6"/>
  <c r="E1679" i="6"/>
  <c r="B1680" i="6"/>
  <c r="C1680" i="6"/>
  <c r="E1680" i="6"/>
  <c r="B1681" i="6"/>
  <c r="C1681" i="6"/>
  <c r="E1681" i="6"/>
  <c r="B1682" i="6"/>
  <c r="C1682" i="6"/>
  <c r="E1682" i="6"/>
  <c r="B1683" i="6"/>
  <c r="C1683" i="6"/>
  <c r="E1683" i="6"/>
  <c r="B1684" i="6"/>
  <c r="C1684" i="6"/>
  <c r="E1684" i="6"/>
  <c r="B1685" i="6"/>
  <c r="C1685" i="6"/>
  <c r="E1685" i="6"/>
  <c r="B1686" i="6"/>
  <c r="C1686" i="6"/>
  <c r="E1686" i="6"/>
  <c r="B1687" i="6"/>
  <c r="C1687" i="6"/>
  <c r="E1687" i="6"/>
  <c r="B1688" i="6"/>
  <c r="C1688" i="6"/>
  <c r="E1688" i="6"/>
  <c r="B1689" i="6"/>
  <c r="C1689" i="6"/>
  <c r="E1689" i="6"/>
  <c r="B1690" i="6"/>
  <c r="C1690" i="6"/>
  <c r="E1690" i="6"/>
  <c r="B1691" i="6"/>
  <c r="C1691" i="6"/>
  <c r="E1691" i="6"/>
  <c r="B1692" i="6"/>
  <c r="C1692" i="6"/>
  <c r="E1692" i="6"/>
  <c r="B1693" i="6"/>
  <c r="C1693" i="6"/>
  <c r="E1693" i="6"/>
  <c r="B1694" i="6"/>
  <c r="C1694" i="6"/>
  <c r="E1694" i="6"/>
  <c r="B1695" i="6"/>
  <c r="C1695" i="6"/>
  <c r="E1695" i="6"/>
  <c r="B1696" i="6"/>
  <c r="C1696" i="6"/>
  <c r="E1696" i="6"/>
  <c r="B1697" i="6"/>
  <c r="C1697" i="6"/>
  <c r="E1697" i="6"/>
  <c r="B1698" i="6"/>
  <c r="C1698" i="6"/>
  <c r="E1698" i="6"/>
  <c r="B1699" i="6"/>
  <c r="C1699" i="6"/>
  <c r="E1699" i="6"/>
  <c r="B1700" i="6"/>
  <c r="C1700" i="6"/>
  <c r="E1700" i="6"/>
  <c r="B1701" i="6"/>
  <c r="C1701" i="6"/>
  <c r="E1701" i="6"/>
  <c r="B1702" i="6"/>
  <c r="C1702" i="6"/>
  <c r="E1702" i="6"/>
  <c r="B1703" i="6"/>
  <c r="C1703" i="6"/>
  <c r="E1703" i="6"/>
  <c r="B1704" i="6"/>
  <c r="C1704" i="6"/>
  <c r="E1704" i="6"/>
  <c r="B1705" i="6"/>
  <c r="C1705" i="6"/>
  <c r="E1705" i="6"/>
  <c r="B1706" i="6"/>
  <c r="C1706" i="6"/>
  <c r="E1706" i="6"/>
  <c r="B1707" i="6"/>
  <c r="C1707" i="6"/>
  <c r="E1707" i="6"/>
  <c r="B1708" i="6"/>
  <c r="C1708" i="6"/>
  <c r="E1708" i="6"/>
  <c r="B1709" i="6"/>
  <c r="C1709" i="6"/>
  <c r="E1709" i="6"/>
  <c r="B1710" i="6"/>
  <c r="C1710" i="6"/>
  <c r="E1710" i="6"/>
  <c r="B1711" i="6"/>
  <c r="C1711" i="6"/>
  <c r="E1711" i="6"/>
  <c r="B1712" i="6"/>
  <c r="C1712" i="6"/>
  <c r="E1712" i="6"/>
  <c r="B1713" i="6"/>
  <c r="C1713" i="6"/>
  <c r="E1713" i="6"/>
  <c r="B1714" i="6"/>
  <c r="C1714" i="6"/>
  <c r="E1714" i="6"/>
  <c r="B1715" i="6"/>
  <c r="C1715" i="6"/>
  <c r="E1715" i="6"/>
  <c r="B1716" i="6"/>
  <c r="C1716" i="6"/>
  <c r="E1716" i="6"/>
  <c r="B1717" i="6"/>
  <c r="C1717" i="6"/>
  <c r="E1717" i="6"/>
  <c r="B1718" i="6"/>
  <c r="C1718" i="6"/>
  <c r="E1718" i="6"/>
  <c r="B1719" i="6"/>
  <c r="C1719" i="6"/>
  <c r="E1719" i="6"/>
  <c r="B1720" i="6"/>
  <c r="C1720" i="6"/>
  <c r="E1720" i="6"/>
  <c r="B1721" i="6"/>
  <c r="C1721" i="6"/>
  <c r="E1721" i="6"/>
  <c r="B1722" i="6"/>
  <c r="C1722" i="6"/>
  <c r="E1722" i="6"/>
  <c r="B1723" i="6"/>
  <c r="C1723" i="6"/>
  <c r="E1723" i="6"/>
  <c r="B1724" i="6"/>
  <c r="C1724" i="6"/>
  <c r="E1724" i="6"/>
  <c r="B1725" i="6"/>
  <c r="C1725" i="6"/>
  <c r="E1725" i="6"/>
  <c r="B1726" i="6"/>
  <c r="C1726" i="6"/>
  <c r="E1726" i="6"/>
  <c r="B1727" i="6"/>
  <c r="C1727" i="6"/>
  <c r="E1727" i="6"/>
  <c r="B1728" i="6"/>
  <c r="C1728" i="6"/>
  <c r="E1728" i="6"/>
  <c r="B1729" i="6"/>
  <c r="C1729" i="6"/>
  <c r="E1729" i="6"/>
  <c r="B1730" i="6"/>
  <c r="C1730" i="6"/>
  <c r="E1730" i="6"/>
  <c r="B1731" i="6"/>
  <c r="C1731" i="6"/>
  <c r="E1731" i="6"/>
  <c r="B1732" i="6"/>
  <c r="C1732" i="6"/>
  <c r="E1732" i="6"/>
  <c r="B1733" i="6"/>
  <c r="C1733" i="6"/>
  <c r="E1733" i="6"/>
  <c r="B1734" i="6"/>
  <c r="C1734" i="6"/>
  <c r="E1734" i="6"/>
  <c r="B1735" i="6"/>
  <c r="C1735" i="6"/>
  <c r="E1735" i="6"/>
  <c r="B1736" i="6"/>
  <c r="C1736" i="6"/>
  <c r="E1736" i="6"/>
  <c r="B1737" i="6"/>
  <c r="C1737" i="6"/>
  <c r="E1737" i="6"/>
  <c r="B1738" i="6"/>
  <c r="C1738" i="6"/>
  <c r="E1738" i="6"/>
  <c r="B1739" i="6"/>
  <c r="C1739" i="6"/>
  <c r="E1739" i="6"/>
  <c r="B1740" i="6"/>
  <c r="C1740" i="6"/>
  <c r="E1740" i="6"/>
  <c r="B1741" i="6"/>
  <c r="C1741" i="6"/>
  <c r="E1741" i="6"/>
  <c r="B1742" i="6"/>
  <c r="C1742" i="6"/>
  <c r="E1742" i="6"/>
  <c r="B1743" i="6"/>
  <c r="C1743" i="6"/>
  <c r="E1743" i="6"/>
  <c r="B1744" i="6"/>
  <c r="C1744" i="6"/>
  <c r="E1744" i="6"/>
  <c r="B1745" i="6"/>
  <c r="C1745" i="6"/>
  <c r="E1745" i="6"/>
  <c r="B1746" i="6"/>
  <c r="C1746" i="6"/>
  <c r="E1746" i="6"/>
  <c r="B1747" i="6"/>
  <c r="C1747" i="6"/>
  <c r="E1747" i="6"/>
  <c r="B1748" i="6"/>
  <c r="C1748" i="6"/>
  <c r="E1748" i="6"/>
  <c r="B1749" i="6"/>
  <c r="C1749" i="6"/>
  <c r="E1749" i="6"/>
  <c r="B1750" i="6"/>
  <c r="C1750" i="6"/>
  <c r="E1750" i="6"/>
  <c r="B1751" i="6"/>
  <c r="C1751" i="6"/>
  <c r="E1751" i="6"/>
  <c r="B1752" i="6"/>
  <c r="C1752" i="6"/>
  <c r="E1752" i="6"/>
  <c r="B1753" i="6"/>
  <c r="C1753" i="6"/>
  <c r="E1753" i="6"/>
  <c r="B1754" i="6"/>
  <c r="C1754" i="6"/>
  <c r="E1754" i="6"/>
  <c r="B1755" i="6"/>
  <c r="C1755" i="6"/>
  <c r="E1755" i="6"/>
  <c r="B1756" i="6"/>
  <c r="C1756" i="6"/>
  <c r="E1756" i="6"/>
  <c r="B1757" i="6"/>
  <c r="C1757" i="6"/>
  <c r="E1757" i="6"/>
  <c r="B1758" i="6"/>
  <c r="C1758" i="6"/>
  <c r="E1758" i="6"/>
  <c r="B1759" i="6"/>
  <c r="C1759" i="6"/>
  <c r="E1759" i="6"/>
  <c r="B1760" i="6"/>
  <c r="C1760" i="6"/>
  <c r="E1760" i="6"/>
  <c r="B1761" i="6"/>
  <c r="C1761" i="6"/>
  <c r="E1761" i="6"/>
  <c r="B1762" i="6"/>
  <c r="C1762" i="6"/>
  <c r="E1762" i="6"/>
  <c r="B1763" i="6"/>
  <c r="C1763" i="6"/>
  <c r="E1763" i="6"/>
  <c r="B1764" i="6"/>
  <c r="C1764" i="6"/>
  <c r="E1764" i="6"/>
  <c r="B1765" i="6"/>
  <c r="C1765" i="6"/>
  <c r="E1765" i="6"/>
  <c r="B1766" i="6"/>
  <c r="C1766" i="6"/>
  <c r="E1766" i="6"/>
  <c r="B1767" i="6"/>
  <c r="C1767" i="6"/>
  <c r="E1767" i="6"/>
  <c r="B1768" i="6"/>
  <c r="C1768" i="6"/>
  <c r="E1768" i="6"/>
  <c r="B1769" i="6"/>
  <c r="C1769" i="6"/>
  <c r="E1769" i="6"/>
  <c r="B1770" i="6"/>
  <c r="C1770" i="6"/>
  <c r="E1770" i="6"/>
  <c r="B1771" i="6"/>
  <c r="C1771" i="6"/>
  <c r="E1771" i="6"/>
  <c r="B1772" i="6"/>
  <c r="C1772" i="6"/>
  <c r="E1772" i="6"/>
  <c r="B1773" i="6"/>
  <c r="C1773" i="6"/>
  <c r="E1773" i="6"/>
  <c r="B1774" i="6"/>
  <c r="C1774" i="6"/>
  <c r="E1774" i="6"/>
  <c r="B1775" i="6"/>
  <c r="C1775" i="6"/>
  <c r="E1775" i="6"/>
  <c r="B1776" i="6"/>
  <c r="C1776" i="6"/>
  <c r="E1776" i="6"/>
  <c r="B1777" i="6"/>
  <c r="C1777" i="6"/>
  <c r="E1777" i="6"/>
  <c r="B1778" i="6"/>
  <c r="C1778" i="6"/>
  <c r="E1778" i="6"/>
  <c r="B1779" i="6"/>
  <c r="C1779" i="6"/>
  <c r="E1779" i="6"/>
  <c r="B1780" i="6"/>
  <c r="C1780" i="6"/>
  <c r="E1780" i="6"/>
  <c r="B1781" i="6"/>
  <c r="C1781" i="6"/>
  <c r="E1781" i="6"/>
  <c r="B1782" i="6"/>
  <c r="C1782" i="6"/>
  <c r="E1782" i="6"/>
  <c r="B1783" i="6"/>
  <c r="C1783" i="6"/>
  <c r="E1783" i="6"/>
  <c r="B1784" i="6"/>
  <c r="C1784" i="6"/>
  <c r="E1784" i="6"/>
  <c r="B1785" i="6"/>
  <c r="C1785" i="6"/>
  <c r="E1785" i="6"/>
  <c r="B1786" i="6"/>
  <c r="C1786" i="6"/>
  <c r="E1786" i="6"/>
  <c r="B1787" i="6"/>
  <c r="C1787" i="6"/>
  <c r="E1787" i="6"/>
  <c r="B1788" i="6"/>
  <c r="C1788" i="6"/>
  <c r="E1788" i="6"/>
  <c r="B1789" i="6"/>
  <c r="C1789" i="6"/>
  <c r="E1789" i="6"/>
  <c r="B1790" i="6"/>
  <c r="C1790" i="6"/>
  <c r="E1790" i="6"/>
  <c r="B1791" i="6"/>
  <c r="C1791" i="6"/>
  <c r="E1791" i="6"/>
  <c r="B1792" i="6"/>
  <c r="C1792" i="6"/>
  <c r="E1792" i="6"/>
  <c r="B1793" i="6"/>
  <c r="C1793" i="6"/>
  <c r="E1793" i="6"/>
  <c r="B1794" i="6"/>
  <c r="C1794" i="6"/>
  <c r="E1794" i="6"/>
  <c r="B1795" i="6"/>
  <c r="C1795" i="6"/>
  <c r="E1795" i="6"/>
  <c r="B1796" i="6"/>
  <c r="C1796" i="6"/>
  <c r="E1796" i="6"/>
  <c r="B1797" i="6"/>
  <c r="C1797" i="6"/>
  <c r="E1797" i="6"/>
  <c r="B1798" i="6"/>
  <c r="C1798" i="6"/>
  <c r="E1798" i="6"/>
  <c r="B1799" i="6"/>
  <c r="C1799" i="6"/>
  <c r="E1799" i="6"/>
  <c r="B1800" i="6"/>
  <c r="C1800" i="6"/>
  <c r="E1800" i="6"/>
  <c r="B1801" i="6"/>
  <c r="C1801" i="6"/>
  <c r="E1801" i="6"/>
  <c r="B1802" i="6"/>
  <c r="C1802" i="6"/>
  <c r="E1802" i="6"/>
  <c r="B1803" i="6"/>
  <c r="C1803" i="6"/>
  <c r="E1803" i="6"/>
  <c r="B1804" i="6"/>
  <c r="C1804" i="6"/>
  <c r="E1804" i="6"/>
  <c r="B1805" i="6"/>
  <c r="C1805" i="6"/>
  <c r="E1805" i="6"/>
  <c r="B1806" i="6"/>
  <c r="C1806" i="6"/>
  <c r="E1806" i="6"/>
  <c r="B1807" i="6"/>
  <c r="C1807" i="6"/>
  <c r="E1807" i="6"/>
  <c r="B1808" i="6"/>
  <c r="C1808" i="6"/>
  <c r="E1808" i="6"/>
  <c r="B1809" i="6"/>
  <c r="C1809" i="6"/>
  <c r="E1809" i="6"/>
  <c r="B1810" i="6"/>
  <c r="C1810" i="6"/>
  <c r="E1810" i="6"/>
  <c r="B1811" i="6"/>
  <c r="C1811" i="6"/>
  <c r="E1811" i="6"/>
  <c r="B1812" i="6"/>
  <c r="C1812" i="6"/>
  <c r="E1812" i="6"/>
  <c r="B1813" i="6"/>
  <c r="C1813" i="6"/>
  <c r="E1813" i="6"/>
  <c r="B1814" i="6"/>
  <c r="C1814" i="6"/>
  <c r="E1814" i="6"/>
  <c r="B1815" i="6"/>
  <c r="C1815" i="6"/>
  <c r="E1815" i="6"/>
  <c r="B1816" i="6"/>
  <c r="C1816" i="6"/>
  <c r="E1816" i="6"/>
  <c r="B1817" i="6"/>
  <c r="C1817" i="6"/>
  <c r="E1817" i="6"/>
  <c r="B1818" i="6"/>
  <c r="C1818" i="6"/>
  <c r="E1818" i="6"/>
  <c r="B1819" i="6"/>
  <c r="C1819" i="6"/>
  <c r="E1819" i="6"/>
  <c r="B1820" i="6"/>
  <c r="C1820" i="6"/>
  <c r="E1820" i="6"/>
  <c r="B1821" i="6"/>
  <c r="C1821" i="6"/>
  <c r="E1821" i="6"/>
  <c r="B1822" i="6"/>
  <c r="C1822" i="6"/>
  <c r="E1822" i="6"/>
  <c r="B1823" i="6"/>
  <c r="C1823" i="6"/>
  <c r="E1823" i="6"/>
  <c r="B1824" i="6"/>
  <c r="C1824" i="6"/>
  <c r="E1824" i="6"/>
  <c r="B1825" i="6"/>
  <c r="C1825" i="6"/>
  <c r="E1825" i="6"/>
  <c r="B1826" i="6"/>
  <c r="C1826" i="6"/>
  <c r="E1826" i="6"/>
  <c r="B1827" i="6"/>
  <c r="C1827" i="6"/>
  <c r="E1827" i="6"/>
  <c r="B1828" i="6"/>
  <c r="C1828" i="6"/>
  <c r="E1828" i="6"/>
  <c r="B1829" i="6"/>
  <c r="C1829" i="6"/>
  <c r="E1829" i="6"/>
  <c r="B1830" i="6"/>
  <c r="C1830" i="6"/>
  <c r="E1830" i="6"/>
  <c r="B1831" i="6"/>
  <c r="C1831" i="6"/>
  <c r="E1831" i="6"/>
  <c r="B1832" i="6"/>
  <c r="C1832" i="6"/>
  <c r="E1832" i="6"/>
  <c r="B1833" i="6"/>
  <c r="C1833" i="6"/>
  <c r="E1833" i="6"/>
  <c r="B1834" i="6"/>
  <c r="C1834" i="6"/>
  <c r="E1834" i="6"/>
  <c r="B1835" i="6"/>
  <c r="C1835" i="6"/>
  <c r="E1835" i="6"/>
  <c r="B1836" i="6"/>
  <c r="C1836" i="6"/>
  <c r="E1836" i="6"/>
  <c r="B1837" i="6"/>
  <c r="C1837" i="6"/>
  <c r="E1837" i="6"/>
  <c r="B1838" i="6"/>
  <c r="C1838" i="6"/>
  <c r="E1838" i="6"/>
  <c r="B1839" i="6"/>
  <c r="C1839" i="6"/>
  <c r="E1839" i="6"/>
  <c r="B1840" i="6"/>
  <c r="C1840" i="6"/>
  <c r="E1840" i="6"/>
  <c r="B1841" i="6"/>
  <c r="C1841" i="6"/>
  <c r="E1841" i="6"/>
  <c r="B1842" i="6"/>
  <c r="C1842" i="6"/>
  <c r="E1842" i="6"/>
  <c r="B1843" i="6"/>
  <c r="C1843" i="6"/>
  <c r="E1843" i="6"/>
  <c r="B1844" i="6"/>
  <c r="C1844" i="6"/>
  <c r="E1844" i="6"/>
  <c r="B1845" i="6"/>
  <c r="C1845" i="6"/>
  <c r="E1845" i="6"/>
  <c r="B1846" i="6"/>
  <c r="C1846" i="6"/>
  <c r="E1846" i="6"/>
  <c r="B1847" i="6"/>
  <c r="C1847" i="6"/>
  <c r="E1847" i="6"/>
  <c r="B1848" i="6"/>
  <c r="C1848" i="6"/>
  <c r="E1848" i="6"/>
  <c r="B1849" i="6"/>
  <c r="C1849" i="6"/>
  <c r="E1849" i="6"/>
  <c r="B1850" i="6"/>
  <c r="C1850" i="6"/>
  <c r="E1850" i="6"/>
  <c r="B1851" i="6"/>
  <c r="C1851" i="6"/>
  <c r="E1851" i="6"/>
  <c r="B1852" i="6"/>
  <c r="C1852" i="6"/>
  <c r="E1852" i="6"/>
  <c r="B1853" i="6"/>
  <c r="C1853" i="6"/>
  <c r="E1853" i="6"/>
  <c r="B1854" i="6"/>
  <c r="C1854" i="6"/>
  <c r="E1854" i="6"/>
  <c r="B1855" i="6"/>
  <c r="C1855" i="6"/>
  <c r="E1855" i="6"/>
  <c r="B1856" i="6"/>
  <c r="C1856" i="6"/>
  <c r="E1856" i="6"/>
  <c r="B1857" i="6"/>
  <c r="C1857" i="6"/>
  <c r="E1857" i="6"/>
  <c r="B1858" i="6"/>
  <c r="C1858" i="6"/>
  <c r="E1858" i="6"/>
  <c r="B1859" i="6"/>
  <c r="C1859" i="6"/>
  <c r="E1859" i="6"/>
  <c r="B1860" i="6"/>
  <c r="C1860" i="6"/>
  <c r="E1860" i="6"/>
  <c r="B1861" i="6"/>
  <c r="C1861" i="6"/>
  <c r="E1861" i="6"/>
  <c r="B1862" i="6"/>
  <c r="C1862" i="6"/>
  <c r="E1862" i="6"/>
  <c r="B1863" i="6"/>
  <c r="C1863" i="6"/>
  <c r="E1863" i="6"/>
  <c r="B1864" i="6"/>
  <c r="C1864" i="6"/>
  <c r="E1864" i="6"/>
  <c r="B1865" i="6"/>
  <c r="C1865" i="6"/>
  <c r="E1865" i="6"/>
  <c r="B1866" i="6"/>
  <c r="C1866" i="6"/>
  <c r="E1866" i="6"/>
  <c r="B1867" i="6"/>
  <c r="C1867" i="6"/>
  <c r="E1867" i="6"/>
  <c r="B1868" i="6"/>
  <c r="C1868" i="6"/>
  <c r="E1868" i="6"/>
  <c r="B1869" i="6"/>
  <c r="C1869" i="6"/>
  <c r="E1869" i="6"/>
  <c r="B1870" i="6"/>
  <c r="C1870" i="6"/>
  <c r="E1870" i="6"/>
  <c r="B1871" i="6"/>
  <c r="C1871" i="6"/>
  <c r="E1871" i="6"/>
  <c r="B1872" i="6"/>
  <c r="C1872" i="6"/>
  <c r="E1872" i="6"/>
  <c r="B1873" i="6"/>
  <c r="C1873" i="6"/>
  <c r="E1873" i="6"/>
  <c r="B1874" i="6"/>
  <c r="C1874" i="6"/>
  <c r="E1874" i="6"/>
  <c r="B1875" i="6"/>
  <c r="C1875" i="6"/>
  <c r="E1875" i="6"/>
  <c r="B1876" i="6"/>
  <c r="C1876" i="6"/>
  <c r="E1876" i="6"/>
  <c r="B1877" i="6"/>
  <c r="C1877" i="6"/>
  <c r="E1877" i="6"/>
  <c r="B1878" i="6"/>
  <c r="C1878" i="6"/>
  <c r="E1878" i="6"/>
  <c r="B1879" i="6"/>
  <c r="C1879" i="6"/>
  <c r="E1879" i="6"/>
  <c r="B1880" i="6"/>
  <c r="C1880" i="6"/>
  <c r="E1880" i="6"/>
  <c r="B1881" i="6"/>
  <c r="C1881" i="6"/>
  <c r="E1881" i="6"/>
  <c r="B1882" i="6"/>
  <c r="C1882" i="6"/>
  <c r="E1882" i="6"/>
  <c r="B1883" i="6"/>
  <c r="C1883" i="6"/>
  <c r="E1883" i="6"/>
  <c r="B1884" i="6"/>
  <c r="C1884" i="6"/>
  <c r="E1884" i="6"/>
  <c r="B1885" i="6"/>
  <c r="C1885" i="6"/>
  <c r="E1885" i="6"/>
  <c r="B1886" i="6"/>
  <c r="C1886" i="6"/>
  <c r="E1886" i="6"/>
  <c r="B1887" i="6"/>
  <c r="C1887" i="6"/>
  <c r="E1887" i="6"/>
  <c r="B1888" i="6"/>
  <c r="C1888" i="6"/>
  <c r="E1888" i="6"/>
  <c r="B1889" i="6"/>
  <c r="C1889" i="6"/>
  <c r="E1889" i="6"/>
  <c r="B1890" i="6"/>
  <c r="C1890" i="6"/>
  <c r="E1890" i="6"/>
  <c r="B1891" i="6"/>
  <c r="C1891" i="6"/>
  <c r="E1891" i="6"/>
  <c r="B1892" i="6"/>
  <c r="C1892" i="6"/>
  <c r="E1892" i="6"/>
  <c r="B1893" i="6"/>
  <c r="C1893" i="6"/>
  <c r="E1893" i="6"/>
  <c r="B1894" i="6"/>
  <c r="C1894" i="6"/>
  <c r="E1894" i="6"/>
  <c r="B1895" i="6"/>
  <c r="C1895" i="6"/>
  <c r="E1895" i="6"/>
  <c r="B1896" i="6"/>
  <c r="C1896" i="6"/>
  <c r="E1896" i="6"/>
  <c r="B1897" i="6"/>
  <c r="C1897" i="6"/>
  <c r="E1897" i="6"/>
  <c r="B1898" i="6"/>
  <c r="C1898" i="6"/>
  <c r="E1898" i="6"/>
  <c r="B1899" i="6"/>
  <c r="C1899" i="6"/>
  <c r="E1899" i="6"/>
  <c r="B1900" i="6"/>
  <c r="C1900" i="6"/>
  <c r="E1900" i="6"/>
  <c r="B1901" i="6"/>
  <c r="C1901" i="6"/>
  <c r="E1901" i="6"/>
  <c r="B1902" i="6"/>
  <c r="C1902" i="6"/>
  <c r="E1902" i="6"/>
  <c r="B1903" i="6"/>
  <c r="C1903" i="6"/>
  <c r="E1903" i="6"/>
  <c r="B1904" i="6"/>
  <c r="C1904" i="6"/>
  <c r="E1904" i="6"/>
  <c r="B1905" i="6"/>
  <c r="C1905" i="6"/>
  <c r="E1905" i="6"/>
  <c r="B1906" i="6"/>
  <c r="C1906" i="6"/>
  <c r="E1906" i="6"/>
  <c r="B1907" i="6"/>
  <c r="C1907" i="6"/>
  <c r="E1907" i="6"/>
  <c r="B1908" i="6"/>
  <c r="C1908" i="6"/>
  <c r="E1908" i="6"/>
  <c r="B1909" i="6"/>
  <c r="C1909" i="6"/>
  <c r="E1909" i="6"/>
  <c r="B1910" i="6"/>
  <c r="C1910" i="6"/>
  <c r="E1910" i="6"/>
  <c r="B1911" i="6"/>
  <c r="C1911" i="6"/>
  <c r="E1911" i="6"/>
  <c r="B1912" i="6"/>
  <c r="C1912" i="6"/>
  <c r="E1912" i="6"/>
  <c r="B1913" i="6"/>
  <c r="C1913" i="6"/>
  <c r="E1913" i="6"/>
  <c r="B1914" i="6"/>
  <c r="C1914" i="6"/>
  <c r="E1914" i="6"/>
  <c r="B1915" i="6"/>
  <c r="C1915" i="6"/>
  <c r="E1915" i="6"/>
  <c r="B1916" i="6"/>
  <c r="C1916" i="6"/>
  <c r="E1916" i="6"/>
  <c r="B1917" i="6"/>
  <c r="C1917" i="6"/>
  <c r="E1917" i="6"/>
  <c r="B1918" i="6"/>
  <c r="C1918" i="6"/>
  <c r="E1918" i="6"/>
  <c r="B1919" i="6"/>
  <c r="C1919" i="6"/>
  <c r="E1919" i="6"/>
  <c r="B1920" i="6"/>
  <c r="C1920" i="6"/>
  <c r="E1920" i="6"/>
  <c r="B1921" i="6"/>
  <c r="C1921" i="6"/>
  <c r="E1921" i="6"/>
  <c r="B1922" i="6"/>
  <c r="C1922" i="6"/>
  <c r="E1922" i="6"/>
  <c r="B1923" i="6"/>
  <c r="C1923" i="6"/>
  <c r="E1923" i="6"/>
  <c r="B1924" i="6"/>
  <c r="C1924" i="6"/>
  <c r="E1924" i="6"/>
  <c r="B1925" i="6"/>
  <c r="C1925" i="6"/>
  <c r="E1925" i="6"/>
  <c r="B1926" i="6"/>
  <c r="C1926" i="6"/>
  <c r="E1926" i="6"/>
  <c r="B1927" i="6"/>
  <c r="C1927" i="6"/>
  <c r="E1927" i="6"/>
  <c r="B1928" i="6"/>
  <c r="C1928" i="6"/>
  <c r="E1928" i="6"/>
  <c r="B1929" i="6"/>
  <c r="C1929" i="6"/>
  <c r="E1929" i="6"/>
  <c r="B1930" i="6"/>
  <c r="C1930" i="6"/>
  <c r="E1930" i="6"/>
  <c r="B1931" i="6"/>
  <c r="C1931" i="6"/>
  <c r="E1931" i="6"/>
  <c r="B1932" i="6"/>
  <c r="C1932" i="6"/>
  <c r="E1932" i="6"/>
  <c r="B1933" i="6"/>
  <c r="C1933" i="6"/>
  <c r="E1933" i="6"/>
  <c r="B1934" i="6"/>
  <c r="C1934" i="6"/>
  <c r="E1934" i="6"/>
  <c r="B1935" i="6"/>
  <c r="C1935" i="6"/>
  <c r="E1935" i="6"/>
  <c r="B1936" i="6"/>
  <c r="C1936" i="6"/>
  <c r="E1936" i="6"/>
  <c r="B1937" i="6"/>
  <c r="C1937" i="6"/>
  <c r="E1937" i="6"/>
  <c r="B1938" i="6"/>
  <c r="C1938" i="6"/>
  <c r="E1938" i="6"/>
  <c r="B1939" i="6"/>
  <c r="C1939" i="6"/>
  <c r="E1939" i="6"/>
  <c r="B1940" i="6"/>
  <c r="C1940" i="6"/>
  <c r="E1940" i="6"/>
  <c r="B1941" i="6"/>
  <c r="C1941" i="6"/>
  <c r="E1941" i="6"/>
  <c r="B1942" i="6"/>
  <c r="C1942" i="6"/>
  <c r="E1942" i="6"/>
  <c r="B1943" i="6"/>
  <c r="C1943" i="6"/>
  <c r="E1943" i="6"/>
  <c r="B1944" i="6"/>
  <c r="C1944" i="6"/>
  <c r="E1944" i="6"/>
  <c r="B1945" i="6"/>
  <c r="C1945" i="6"/>
  <c r="E1945" i="6"/>
  <c r="B1946" i="6"/>
  <c r="C1946" i="6"/>
  <c r="E1946" i="6"/>
  <c r="B1947" i="6"/>
  <c r="C1947" i="6"/>
  <c r="E1947" i="6"/>
  <c r="B1948" i="6"/>
  <c r="C1948" i="6"/>
  <c r="E1948" i="6"/>
  <c r="B1949" i="6"/>
  <c r="C1949" i="6"/>
  <c r="E1949" i="6"/>
  <c r="B1950" i="6"/>
  <c r="C1950" i="6"/>
  <c r="E1950" i="6"/>
  <c r="B1951" i="6"/>
  <c r="C1951" i="6"/>
  <c r="E1951" i="6"/>
  <c r="B1952" i="6"/>
  <c r="C1952" i="6"/>
  <c r="E1952" i="6"/>
  <c r="B1953" i="6"/>
  <c r="C1953" i="6"/>
  <c r="E1953" i="6"/>
  <c r="B1954" i="6"/>
  <c r="C1954" i="6"/>
  <c r="E1954" i="6"/>
  <c r="B1955" i="6"/>
  <c r="C1955" i="6"/>
  <c r="E1955" i="6"/>
  <c r="B1956" i="6"/>
  <c r="C1956" i="6"/>
  <c r="E1956" i="6"/>
  <c r="B1957" i="6"/>
  <c r="C1957" i="6"/>
  <c r="E1957" i="6"/>
  <c r="B1958" i="6"/>
  <c r="C1958" i="6"/>
  <c r="E1958" i="6"/>
  <c r="B1959" i="6"/>
  <c r="C1959" i="6"/>
  <c r="E1959" i="6"/>
  <c r="B1960" i="6"/>
  <c r="C1960" i="6"/>
  <c r="E1960" i="6"/>
  <c r="B1961" i="6"/>
  <c r="C1961" i="6"/>
  <c r="E1961" i="6"/>
  <c r="B1962" i="6"/>
  <c r="C1962" i="6"/>
  <c r="E1962" i="6"/>
  <c r="B1963" i="6"/>
  <c r="C1963" i="6"/>
  <c r="E1963" i="6"/>
  <c r="B1964" i="6"/>
  <c r="C1964" i="6"/>
  <c r="E1964" i="6"/>
  <c r="B1965" i="6"/>
  <c r="C1965" i="6"/>
  <c r="E1965" i="6"/>
  <c r="B1966" i="6"/>
  <c r="C1966" i="6"/>
  <c r="E1966" i="6"/>
  <c r="B1967" i="6"/>
  <c r="C1967" i="6"/>
  <c r="E1967" i="6"/>
  <c r="B1968" i="6"/>
  <c r="C1968" i="6"/>
  <c r="E1968" i="6"/>
  <c r="B1969" i="6"/>
  <c r="C1969" i="6"/>
  <c r="E1969" i="6"/>
  <c r="B1970" i="6"/>
  <c r="C1970" i="6"/>
  <c r="E1970" i="6"/>
  <c r="B1971" i="6"/>
  <c r="C1971" i="6"/>
  <c r="E1971" i="6"/>
  <c r="B1972" i="6"/>
  <c r="C1972" i="6"/>
  <c r="E1972" i="6"/>
  <c r="B1973" i="6"/>
  <c r="C1973" i="6"/>
  <c r="E1973" i="6"/>
  <c r="B1974" i="6"/>
  <c r="C1974" i="6"/>
  <c r="E1974" i="6"/>
  <c r="B1975" i="6"/>
  <c r="C1975" i="6"/>
  <c r="E1975" i="6"/>
  <c r="B1976" i="6"/>
  <c r="C1976" i="6"/>
  <c r="E1976" i="6"/>
  <c r="B1977" i="6"/>
  <c r="C1977" i="6"/>
  <c r="E1977" i="6"/>
  <c r="B1978" i="6"/>
  <c r="C1978" i="6"/>
  <c r="E1978" i="6"/>
  <c r="B1979" i="6"/>
  <c r="C1979" i="6"/>
  <c r="E1979" i="6"/>
  <c r="B1980" i="6"/>
  <c r="C1980" i="6"/>
  <c r="E1980" i="6"/>
  <c r="B1981" i="6"/>
  <c r="C1981" i="6"/>
  <c r="E1981" i="6"/>
  <c r="B1982" i="6"/>
  <c r="C1982" i="6"/>
  <c r="E1982" i="6"/>
  <c r="B1983" i="6"/>
  <c r="C1983" i="6"/>
  <c r="E1983" i="6"/>
  <c r="B1984" i="6"/>
  <c r="C1984" i="6"/>
  <c r="E1984" i="6"/>
  <c r="B1985" i="6"/>
  <c r="C1985" i="6"/>
  <c r="E1985" i="6"/>
  <c r="B1986" i="6"/>
  <c r="C1986" i="6"/>
  <c r="E1986" i="6"/>
  <c r="B1987" i="6"/>
  <c r="C1987" i="6"/>
  <c r="E1987" i="6"/>
  <c r="B1988" i="6"/>
  <c r="C1988" i="6"/>
  <c r="E1988" i="6"/>
  <c r="B1989" i="6"/>
  <c r="C1989" i="6"/>
  <c r="E1989" i="6"/>
  <c r="B1990" i="6"/>
  <c r="C1990" i="6"/>
  <c r="E1990" i="6"/>
  <c r="B1991" i="6"/>
  <c r="C1991" i="6"/>
  <c r="E1991" i="6"/>
  <c r="B1992" i="6"/>
  <c r="C1992" i="6"/>
  <c r="E1992" i="6"/>
  <c r="B1993" i="6"/>
  <c r="C1993" i="6"/>
  <c r="D1993" i="6"/>
  <c r="E1993" i="6"/>
  <c r="B1994" i="6"/>
  <c r="C1994" i="6"/>
  <c r="E1994" i="6"/>
  <c r="B1995" i="6"/>
  <c r="C1995" i="6"/>
  <c r="E1995" i="6"/>
  <c r="B1996" i="6"/>
  <c r="C1996" i="6"/>
  <c r="E1996" i="6"/>
  <c r="B1997" i="6"/>
  <c r="C1997" i="6"/>
  <c r="D1997" i="6"/>
  <c r="E1997" i="6"/>
  <c r="B1998" i="6"/>
  <c r="C1998" i="6"/>
  <c r="D1998" i="6"/>
  <c r="E1998" i="6"/>
  <c r="B1999" i="6"/>
  <c r="C1999" i="6"/>
  <c r="D1999" i="6"/>
  <c r="E1999" i="6"/>
  <c r="B2000" i="6"/>
  <c r="C2000" i="6"/>
  <c r="D2000" i="6"/>
  <c r="E2000" i="6"/>
  <c r="B2001" i="6"/>
  <c r="C2001" i="6"/>
  <c r="D2001" i="6"/>
  <c r="E2001" i="6"/>
  <c r="B2002" i="6"/>
  <c r="C2002" i="6"/>
  <c r="D2002" i="6"/>
  <c r="E2002" i="6"/>
  <c r="B2003" i="6"/>
  <c r="C2003" i="6"/>
  <c r="D2003" i="6"/>
  <c r="E2003" i="6"/>
  <c r="B2004" i="6"/>
  <c r="C2004" i="6"/>
  <c r="D2004" i="6"/>
  <c r="E2004" i="6"/>
  <c r="B2005" i="6"/>
  <c r="C2005" i="6"/>
  <c r="D2005" i="6"/>
  <c r="E2005" i="6"/>
  <c r="B2006" i="6"/>
  <c r="C2006" i="6"/>
  <c r="D2006" i="6"/>
  <c r="E2006" i="6"/>
  <c r="B2007" i="6"/>
  <c r="C2007" i="6"/>
  <c r="D2007" i="6"/>
  <c r="E2007" i="6"/>
  <c r="B2008" i="6"/>
  <c r="C2008" i="6"/>
  <c r="D2008" i="6"/>
  <c r="E2008" i="6"/>
  <c r="B2009" i="6"/>
  <c r="C2009" i="6"/>
  <c r="D2009" i="6"/>
  <c r="E2009" i="6"/>
  <c r="B2010" i="6"/>
  <c r="C2010" i="6"/>
  <c r="D2010" i="6"/>
  <c r="E2010" i="6"/>
  <c r="B2011" i="6"/>
  <c r="C2011" i="6"/>
  <c r="D2011" i="6"/>
  <c r="E2011" i="6"/>
  <c r="B2012" i="6"/>
  <c r="C2012" i="6"/>
  <c r="D2012" i="6"/>
  <c r="E2012" i="6"/>
  <c r="B2013" i="6"/>
  <c r="C2013" i="6"/>
  <c r="D2013" i="6"/>
  <c r="E2013" i="6"/>
  <c r="B2014" i="6"/>
  <c r="C2014" i="6"/>
  <c r="D2014" i="6"/>
  <c r="E2014" i="6"/>
  <c r="B2015" i="6"/>
  <c r="C2015" i="6"/>
  <c r="D2015" i="6"/>
  <c r="E2015" i="6"/>
  <c r="B2016" i="6"/>
  <c r="C2016" i="6"/>
  <c r="D2016" i="6"/>
  <c r="E2016" i="6"/>
  <c r="B2017" i="6"/>
  <c r="C2017" i="6"/>
  <c r="D2017" i="6"/>
  <c r="E2017" i="6"/>
  <c r="B2018" i="6"/>
  <c r="C2018" i="6"/>
  <c r="D2018" i="6"/>
  <c r="E2018" i="6"/>
  <c r="B2019" i="6"/>
  <c r="C2019" i="6"/>
  <c r="D2019" i="6"/>
  <c r="E2019" i="6"/>
  <c r="B2020" i="6"/>
  <c r="C2020" i="6"/>
  <c r="D2020" i="6"/>
  <c r="E2020" i="6"/>
  <c r="B2021" i="6"/>
  <c r="C2021" i="6"/>
  <c r="D2021" i="6"/>
  <c r="E2021" i="6"/>
  <c r="B2022" i="6"/>
  <c r="C2022" i="6"/>
  <c r="D2022" i="6"/>
  <c r="E2022" i="6"/>
  <c r="B2023" i="6"/>
  <c r="C2023" i="6"/>
  <c r="D2023" i="6"/>
  <c r="E2023" i="6"/>
  <c r="B2024" i="6"/>
  <c r="C2024" i="6"/>
  <c r="D2024" i="6"/>
  <c r="E2024" i="6"/>
  <c r="B2025" i="6"/>
  <c r="C2025" i="6"/>
  <c r="D2025" i="6"/>
  <c r="E2025" i="6"/>
  <c r="B2026" i="6"/>
  <c r="C2026" i="6"/>
  <c r="D2026" i="6"/>
  <c r="E2026" i="6"/>
  <c r="B2027" i="6"/>
  <c r="C2027" i="6"/>
  <c r="D2027" i="6"/>
  <c r="E2027" i="6"/>
  <c r="B2028" i="6"/>
  <c r="C2028" i="6"/>
  <c r="D2028" i="6"/>
  <c r="E2028" i="6"/>
  <c r="B2029" i="6"/>
  <c r="C2029" i="6"/>
  <c r="D2029" i="6"/>
  <c r="E2029" i="6"/>
  <c r="B2030" i="6"/>
  <c r="C2030" i="6"/>
  <c r="D2030" i="6"/>
  <c r="E2030" i="6"/>
  <c r="B2031" i="6"/>
  <c r="C2031" i="6"/>
  <c r="D2031" i="6"/>
  <c r="E2031" i="6"/>
  <c r="B2032" i="6"/>
  <c r="C2032" i="6"/>
  <c r="D2032" i="6"/>
  <c r="E2032" i="6"/>
  <c r="B2033" i="6"/>
  <c r="C2033" i="6"/>
  <c r="D2033" i="6"/>
  <c r="E2033" i="6"/>
  <c r="B2034" i="6"/>
  <c r="C2034" i="6"/>
  <c r="D2034" i="6"/>
  <c r="E2034" i="6"/>
  <c r="B2035" i="6"/>
  <c r="C2035" i="6"/>
  <c r="D2035" i="6"/>
  <c r="E2035" i="6"/>
  <c r="B2036" i="6"/>
  <c r="C2036" i="6"/>
  <c r="D2036" i="6"/>
  <c r="E2036" i="6"/>
  <c r="B2037" i="6"/>
  <c r="C2037" i="6"/>
  <c r="D2037" i="6"/>
  <c r="E2037" i="6"/>
  <c r="B2038" i="6"/>
  <c r="C2038" i="6"/>
  <c r="D2038" i="6"/>
  <c r="E2038" i="6"/>
  <c r="B2039" i="6"/>
  <c r="C2039" i="6"/>
  <c r="D2039" i="6"/>
  <c r="E2039" i="6"/>
  <c r="B2040" i="6"/>
  <c r="C2040" i="6"/>
  <c r="D2040" i="6"/>
  <c r="E2040" i="6"/>
  <c r="B2041" i="6"/>
  <c r="C2041" i="6"/>
  <c r="D2041" i="6"/>
  <c r="E2041" i="6"/>
  <c r="B2042" i="6"/>
  <c r="C2042" i="6"/>
  <c r="D2042" i="6"/>
  <c r="E2042" i="6"/>
  <c r="B2043" i="6"/>
  <c r="C2043" i="6"/>
  <c r="D2043" i="6"/>
  <c r="E2043" i="6"/>
  <c r="B2044" i="6"/>
  <c r="C2044" i="6"/>
  <c r="D2044" i="6"/>
  <c r="E2044" i="6"/>
  <c r="B2045" i="6"/>
  <c r="C2045" i="6"/>
  <c r="D2045" i="6"/>
  <c r="E2045" i="6"/>
  <c r="B2046" i="6"/>
  <c r="C2046" i="6"/>
  <c r="D2046" i="6"/>
  <c r="E2046" i="6"/>
  <c r="B2047" i="6"/>
  <c r="C2047" i="6"/>
  <c r="D2047" i="6"/>
  <c r="E2047" i="6"/>
  <c r="B2048" i="6"/>
  <c r="C2048" i="6"/>
  <c r="D2048" i="6"/>
  <c r="E2048" i="6"/>
  <c r="B2049" i="6"/>
  <c r="C2049" i="6"/>
  <c r="D2049" i="6"/>
  <c r="E2049" i="6"/>
  <c r="B2050" i="6"/>
  <c r="C2050" i="6"/>
  <c r="D2050" i="6"/>
  <c r="E2050" i="6"/>
  <c r="B2051" i="6"/>
  <c r="C2051" i="6"/>
  <c r="D2051" i="6"/>
  <c r="E2051" i="6"/>
  <c r="B2052" i="6"/>
  <c r="C2052" i="6"/>
  <c r="D2052" i="6"/>
  <c r="E2052" i="6"/>
  <c r="B2053" i="6"/>
  <c r="C2053" i="6"/>
  <c r="D2053" i="6"/>
  <c r="E2053" i="6"/>
  <c r="B2054" i="6"/>
  <c r="C2054" i="6"/>
  <c r="D2054" i="6"/>
  <c r="E2054" i="6"/>
  <c r="B2055" i="6"/>
  <c r="C2055" i="6"/>
  <c r="D2055" i="6"/>
  <c r="E2055" i="6"/>
  <c r="B2056" i="6"/>
  <c r="C2056" i="6"/>
  <c r="D2056" i="6"/>
  <c r="E2056" i="6"/>
  <c r="B2057" i="6"/>
  <c r="C2057" i="6"/>
  <c r="D2057" i="6"/>
  <c r="E2057" i="6"/>
  <c r="B2058" i="6"/>
  <c r="C2058" i="6"/>
  <c r="D2058" i="6"/>
  <c r="E2058" i="6"/>
  <c r="B2059" i="6"/>
  <c r="C2059" i="6"/>
  <c r="D2059" i="6"/>
  <c r="E2059" i="6"/>
  <c r="B2060" i="6"/>
  <c r="C2060" i="6"/>
  <c r="D2060" i="6"/>
  <c r="E2060" i="6"/>
  <c r="B2061" i="6"/>
  <c r="C2061" i="6"/>
  <c r="D2061" i="6"/>
  <c r="E2061" i="6"/>
  <c r="B2062" i="6"/>
  <c r="C2062" i="6"/>
  <c r="D2062" i="6"/>
  <c r="E2062" i="6"/>
  <c r="B2063" i="6"/>
  <c r="C2063" i="6"/>
  <c r="D2063" i="6"/>
  <c r="E2063" i="6"/>
  <c r="B2064" i="6"/>
  <c r="C2064" i="6"/>
  <c r="D2064" i="6"/>
  <c r="E2064" i="6"/>
  <c r="B2065" i="6"/>
  <c r="C2065" i="6"/>
  <c r="D2065" i="6"/>
  <c r="E2065" i="6"/>
  <c r="B2066" i="6"/>
  <c r="C2066" i="6"/>
  <c r="D2066" i="6"/>
  <c r="E2066" i="6"/>
  <c r="B2067" i="6"/>
  <c r="C2067" i="6"/>
  <c r="D2067" i="6"/>
  <c r="E2067" i="6"/>
  <c r="B2068" i="6"/>
  <c r="C2068" i="6"/>
  <c r="D2068" i="6"/>
  <c r="E2068" i="6"/>
  <c r="B2069" i="6"/>
  <c r="C2069" i="6"/>
  <c r="D2069" i="6"/>
  <c r="E2069" i="6"/>
  <c r="B2070" i="6"/>
  <c r="C2070" i="6"/>
  <c r="D2070" i="6"/>
  <c r="E2070" i="6"/>
  <c r="B2071" i="6"/>
  <c r="C2071" i="6"/>
  <c r="D2071" i="6"/>
  <c r="E2071" i="6"/>
  <c r="B2072" i="6"/>
  <c r="C2072" i="6"/>
  <c r="D2072" i="6"/>
  <c r="E2072" i="6"/>
  <c r="B2073" i="6"/>
  <c r="C2073" i="6"/>
  <c r="D2073" i="6"/>
  <c r="E2073" i="6"/>
  <c r="B2074" i="6"/>
  <c r="C2074" i="6"/>
  <c r="D2074" i="6"/>
  <c r="E2074" i="6"/>
  <c r="B2075" i="6"/>
  <c r="C2075" i="6"/>
  <c r="D2075" i="6"/>
  <c r="E2075" i="6"/>
  <c r="B2076" i="6"/>
  <c r="C2076" i="6"/>
  <c r="D2076" i="6"/>
  <c r="E2076" i="6"/>
  <c r="B2077" i="6"/>
  <c r="C2077" i="6"/>
  <c r="D2077" i="6"/>
  <c r="E2077" i="6"/>
  <c r="B2078" i="6"/>
  <c r="C2078" i="6"/>
  <c r="D2078" i="6"/>
  <c r="E2078" i="6"/>
  <c r="B2079" i="6"/>
  <c r="C2079" i="6"/>
  <c r="D2079" i="6"/>
  <c r="E2079" i="6"/>
  <c r="B2080" i="6"/>
  <c r="C2080" i="6"/>
  <c r="D2080" i="6"/>
  <c r="E2080" i="6"/>
  <c r="B2081" i="6"/>
  <c r="C2081" i="6"/>
  <c r="D2081" i="6"/>
  <c r="E2081" i="6"/>
  <c r="B2082" i="6"/>
  <c r="C2082" i="6"/>
  <c r="D2082" i="6"/>
  <c r="E2082" i="6"/>
  <c r="B2083" i="6"/>
  <c r="C2083" i="6"/>
  <c r="D2083" i="6"/>
  <c r="E2083" i="6"/>
  <c r="B2084" i="6"/>
  <c r="C2084" i="6"/>
  <c r="D2084" i="6"/>
  <c r="E2084" i="6"/>
  <c r="B2085" i="6"/>
  <c r="C2085" i="6"/>
  <c r="D2085" i="6"/>
  <c r="E2085" i="6"/>
  <c r="B2086" i="6"/>
  <c r="C2086" i="6"/>
  <c r="D2086" i="6"/>
  <c r="E2086" i="6"/>
  <c r="B2087" i="6"/>
  <c r="C2087" i="6"/>
  <c r="D2087" i="6"/>
  <c r="E2087" i="6"/>
  <c r="B2088" i="6"/>
  <c r="C2088" i="6"/>
  <c r="D2088" i="6"/>
  <c r="E2088" i="6"/>
  <c r="B2089" i="6"/>
  <c r="C2089" i="6"/>
  <c r="D2089" i="6"/>
  <c r="E2089" i="6"/>
  <c r="B2090" i="6"/>
  <c r="C2090" i="6"/>
  <c r="D2090" i="6"/>
  <c r="E2090" i="6"/>
  <c r="B2091" i="6"/>
  <c r="C2091" i="6"/>
  <c r="D2091" i="6"/>
  <c r="E2091" i="6"/>
  <c r="B2092" i="6"/>
  <c r="C2092" i="6"/>
  <c r="D2092" i="6"/>
  <c r="E2092" i="6"/>
  <c r="B2093" i="6"/>
  <c r="C2093" i="6"/>
  <c r="D2093" i="6"/>
  <c r="E2093" i="6"/>
  <c r="B2094" i="6"/>
  <c r="C2094" i="6"/>
  <c r="D2094" i="6"/>
  <c r="E2094" i="6"/>
  <c r="B2095" i="6"/>
  <c r="C2095" i="6"/>
  <c r="D2095" i="6"/>
  <c r="E2095" i="6"/>
  <c r="B2096" i="6"/>
  <c r="C2096" i="6"/>
  <c r="D2096" i="6"/>
  <c r="E2096" i="6"/>
  <c r="B2097" i="6"/>
  <c r="C2097" i="6"/>
  <c r="D2097" i="6"/>
  <c r="E2097" i="6"/>
  <c r="B2098" i="6"/>
  <c r="C2098" i="6"/>
  <c r="D2098" i="6"/>
  <c r="E2098" i="6"/>
  <c r="B2099" i="6"/>
  <c r="C2099" i="6"/>
  <c r="D2099" i="6"/>
  <c r="E2099" i="6"/>
  <c r="B2100" i="6"/>
  <c r="C2100" i="6"/>
  <c r="D2100" i="6"/>
  <c r="E2100" i="6"/>
  <c r="B2101" i="6"/>
  <c r="C2101" i="6"/>
  <c r="D2101" i="6"/>
  <c r="E2101" i="6"/>
  <c r="B2102" i="6"/>
  <c r="C2102" i="6"/>
  <c r="D2102" i="6"/>
  <c r="E2102" i="6"/>
  <c r="B2103" i="6"/>
  <c r="C2103" i="6"/>
  <c r="D2103" i="6"/>
  <c r="E2103" i="6"/>
  <c r="B2104" i="6"/>
  <c r="C2104" i="6"/>
  <c r="D2104" i="6"/>
  <c r="E2104" i="6"/>
  <c r="B2105" i="6"/>
  <c r="C2105" i="6"/>
  <c r="D2105" i="6"/>
  <c r="E2105" i="6"/>
  <c r="B2106" i="6"/>
  <c r="C2106" i="6"/>
  <c r="D2106" i="6"/>
  <c r="E2106" i="6"/>
  <c r="B2107" i="6"/>
  <c r="C2107" i="6"/>
  <c r="D2107" i="6"/>
  <c r="E2107" i="6"/>
  <c r="B2108" i="6"/>
  <c r="C2108" i="6"/>
  <c r="D2108" i="6"/>
  <c r="E2108" i="6"/>
  <c r="B2109" i="6"/>
  <c r="C2109" i="6"/>
  <c r="D2109" i="6"/>
  <c r="E2109" i="6"/>
  <c r="B2110" i="6"/>
  <c r="C2110" i="6"/>
  <c r="D2110" i="6"/>
  <c r="E2110" i="6"/>
  <c r="B2111" i="6"/>
  <c r="C2111" i="6"/>
  <c r="D2111" i="6"/>
  <c r="E2111" i="6"/>
  <c r="B2112" i="6"/>
  <c r="C2112" i="6"/>
  <c r="D2112" i="6"/>
  <c r="E2112" i="6"/>
  <c r="B2113" i="6"/>
  <c r="C2113" i="6"/>
  <c r="D2113" i="6"/>
  <c r="E2113" i="6"/>
  <c r="B2114" i="6"/>
  <c r="C2114" i="6"/>
  <c r="D2114" i="6"/>
  <c r="E2114" i="6"/>
  <c r="B2115" i="6"/>
  <c r="C2115" i="6"/>
  <c r="D2115" i="6"/>
  <c r="E2115" i="6"/>
  <c r="B2116" i="6"/>
  <c r="C2116" i="6"/>
  <c r="D2116" i="6"/>
  <c r="E2116" i="6"/>
  <c r="B2117" i="6"/>
  <c r="C2117" i="6"/>
  <c r="D2117" i="6"/>
  <c r="E2117" i="6"/>
  <c r="B2118" i="6"/>
  <c r="C2118" i="6"/>
  <c r="D2118" i="6"/>
  <c r="E2118" i="6"/>
  <c r="B2119" i="6"/>
  <c r="C2119" i="6"/>
  <c r="D2119" i="6"/>
  <c r="E2119" i="6"/>
  <c r="B2120" i="6"/>
  <c r="C2120" i="6"/>
  <c r="D2120" i="6"/>
  <c r="E2120" i="6"/>
  <c r="B2121" i="6"/>
  <c r="C2121" i="6"/>
  <c r="D2121" i="6"/>
  <c r="E2121" i="6"/>
  <c r="B2122" i="6"/>
  <c r="C2122" i="6"/>
  <c r="D2122" i="6"/>
  <c r="E2122" i="6"/>
  <c r="B2123" i="6"/>
  <c r="C2123" i="6"/>
  <c r="D2123" i="6"/>
  <c r="E2123" i="6"/>
  <c r="B2124" i="6"/>
  <c r="C2124" i="6"/>
  <c r="D2124" i="6"/>
  <c r="E2124" i="6"/>
  <c r="B2125" i="6"/>
  <c r="C2125" i="6"/>
  <c r="D2125" i="6"/>
  <c r="E2125" i="6"/>
  <c r="B2126" i="6"/>
  <c r="C2126" i="6"/>
  <c r="D2126" i="6"/>
  <c r="E2126" i="6"/>
  <c r="B2127" i="6"/>
  <c r="C2127" i="6"/>
  <c r="D2127" i="6"/>
  <c r="E2127" i="6"/>
  <c r="B2128" i="6"/>
  <c r="C2128" i="6"/>
  <c r="D2128" i="6"/>
  <c r="E2128" i="6"/>
  <c r="B2129" i="6"/>
  <c r="C2129" i="6"/>
  <c r="D2129" i="6"/>
  <c r="E2129" i="6"/>
  <c r="B2130" i="6"/>
  <c r="C2130" i="6"/>
  <c r="D2130" i="6"/>
  <c r="E2130" i="6"/>
  <c r="B2131" i="6"/>
  <c r="C2131" i="6"/>
  <c r="D2131" i="6"/>
  <c r="E2131" i="6"/>
  <c r="B2132" i="6"/>
  <c r="C2132" i="6"/>
  <c r="D2132" i="6"/>
  <c r="E2132" i="6"/>
  <c r="B2133" i="6"/>
  <c r="C2133" i="6"/>
  <c r="D2133" i="6"/>
  <c r="E2133" i="6"/>
  <c r="B2134" i="6"/>
  <c r="C2134" i="6"/>
  <c r="D2134" i="6"/>
  <c r="E2134" i="6"/>
  <c r="B2135" i="6"/>
  <c r="C2135" i="6"/>
  <c r="D2135" i="6"/>
  <c r="E2135" i="6"/>
  <c r="B2136" i="6"/>
  <c r="C2136" i="6"/>
  <c r="D2136" i="6"/>
  <c r="E2136" i="6"/>
  <c r="B2137" i="6"/>
  <c r="C2137" i="6"/>
  <c r="D2137" i="6"/>
  <c r="E2137" i="6"/>
  <c r="B2138" i="6"/>
  <c r="C2138" i="6"/>
  <c r="D2138" i="6"/>
  <c r="E2138" i="6"/>
  <c r="B2139" i="6"/>
  <c r="C2139" i="6"/>
  <c r="D2139" i="6"/>
  <c r="E2139" i="6"/>
  <c r="B2140" i="6"/>
  <c r="C2140" i="6"/>
  <c r="D2140" i="6"/>
  <c r="E2140" i="6"/>
  <c r="B2141" i="6"/>
  <c r="C2141" i="6"/>
  <c r="D2141" i="6"/>
  <c r="E2141" i="6"/>
  <c r="B2142" i="6"/>
  <c r="C2142" i="6"/>
  <c r="D2142" i="6"/>
  <c r="E2142" i="6"/>
  <c r="B2143" i="6"/>
  <c r="C2143" i="6"/>
  <c r="D2143" i="6"/>
  <c r="E2143" i="6"/>
  <c r="B2144" i="6"/>
  <c r="C2144" i="6"/>
  <c r="D2144" i="6"/>
  <c r="E2144" i="6"/>
  <c r="B2145" i="6"/>
  <c r="C2145" i="6"/>
  <c r="D2145" i="6"/>
  <c r="E2145" i="6"/>
  <c r="B2146" i="6"/>
  <c r="C2146" i="6"/>
  <c r="D2146" i="6"/>
  <c r="E2146" i="6"/>
  <c r="B2147" i="6"/>
  <c r="C2147" i="6"/>
  <c r="D2147" i="6"/>
  <c r="E2147" i="6"/>
  <c r="B2148" i="6"/>
  <c r="C2148" i="6"/>
  <c r="D2148" i="6"/>
  <c r="E2148" i="6"/>
  <c r="B2149" i="6"/>
  <c r="C2149" i="6"/>
  <c r="D2149" i="6"/>
  <c r="E2149" i="6"/>
  <c r="B2150" i="6"/>
  <c r="C2150" i="6"/>
  <c r="D2150" i="6"/>
  <c r="E2150" i="6"/>
  <c r="B2151" i="6"/>
  <c r="C2151" i="6"/>
  <c r="D2151" i="6"/>
  <c r="E2151" i="6"/>
  <c r="B2152" i="6"/>
  <c r="C2152" i="6"/>
  <c r="D2152" i="6"/>
  <c r="E2152" i="6"/>
  <c r="B2153" i="6"/>
  <c r="C2153" i="6"/>
  <c r="D2153" i="6"/>
  <c r="E2153" i="6"/>
  <c r="B2154" i="6"/>
  <c r="C2154" i="6"/>
  <c r="D2154" i="6"/>
  <c r="E2154" i="6"/>
  <c r="B2155" i="6"/>
  <c r="C2155" i="6"/>
  <c r="D2155" i="6"/>
  <c r="E2155" i="6"/>
  <c r="B2156" i="6"/>
  <c r="C2156" i="6"/>
  <c r="D2156" i="6"/>
  <c r="E2156" i="6"/>
  <c r="B2157" i="6"/>
  <c r="C2157" i="6"/>
  <c r="D2157" i="6"/>
  <c r="E2157" i="6"/>
  <c r="B2158" i="6"/>
  <c r="C2158" i="6"/>
  <c r="D2158" i="6"/>
  <c r="E2158" i="6"/>
  <c r="B2159" i="6"/>
  <c r="C2159" i="6"/>
  <c r="D2159" i="6"/>
  <c r="E2159" i="6"/>
  <c r="B2160" i="6"/>
  <c r="C2160" i="6"/>
  <c r="D2160" i="6"/>
  <c r="E2160" i="6"/>
  <c r="B2161" i="6"/>
  <c r="C2161" i="6"/>
  <c r="D2161" i="6"/>
  <c r="E2161" i="6"/>
  <c r="B2162" i="6"/>
  <c r="C2162" i="6"/>
  <c r="D2162" i="6"/>
  <c r="E2162" i="6"/>
  <c r="B2163" i="6"/>
  <c r="C2163" i="6"/>
  <c r="D2163" i="6"/>
  <c r="E2163" i="6"/>
  <c r="B2164" i="6"/>
  <c r="C2164" i="6"/>
  <c r="D2164" i="6"/>
  <c r="E2164" i="6"/>
  <c r="B2165" i="6"/>
  <c r="C2165" i="6"/>
  <c r="D2165" i="6"/>
  <c r="E2165" i="6"/>
  <c r="B2166" i="6"/>
  <c r="C2166" i="6"/>
  <c r="D2166" i="6"/>
  <c r="E2166" i="6"/>
  <c r="B2167" i="6"/>
  <c r="C2167" i="6"/>
  <c r="D2167" i="6"/>
  <c r="E2167" i="6"/>
  <c r="B2168" i="6"/>
  <c r="C2168" i="6"/>
  <c r="D2168" i="6"/>
  <c r="E2168" i="6"/>
  <c r="B2169" i="6"/>
  <c r="C2169" i="6"/>
  <c r="D2169" i="6"/>
  <c r="E2169" i="6"/>
  <c r="B2170" i="6"/>
  <c r="C2170" i="6"/>
  <c r="D2170" i="6"/>
  <c r="E2170" i="6"/>
  <c r="B2171" i="6"/>
  <c r="C2171" i="6"/>
  <c r="D2171" i="6"/>
  <c r="E2171" i="6"/>
  <c r="B2172" i="6"/>
  <c r="C2172" i="6"/>
  <c r="D2172" i="6"/>
  <c r="E2172" i="6"/>
  <c r="B2173" i="6"/>
  <c r="C2173" i="6"/>
  <c r="D2173" i="6"/>
  <c r="E2173" i="6"/>
  <c r="B2174" i="6"/>
  <c r="C2174" i="6"/>
  <c r="D2174" i="6"/>
  <c r="E2174" i="6"/>
  <c r="B2175" i="6"/>
  <c r="C2175" i="6"/>
  <c r="D2175" i="6"/>
  <c r="E2175" i="6"/>
  <c r="B2176" i="6"/>
  <c r="C2176" i="6"/>
  <c r="D2176" i="6"/>
  <c r="E2176" i="6"/>
  <c r="B2177" i="6"/>
  <c r="C2177" i="6"/>
  <c r="D2177" i="6"/>
  <c r="E2177" i="6"/>
  <c r="B2178" i="6"/>
  <c r="C2178" i="6"/>
  <c r="D2178" i="6"/>
  <c r="E2178" i="6"/>
  <c r="B2179" i="6"/>
  <c r="C2179" i="6"/>
  <c r="D2179" i="6"/>
  <c r="E2179" i="6"/>
  <c r="B2180" i="6"/>
  <c r="C2180" i="6"/>
  <c r="D2180" i="6"/>
  <c r="E2180" i="6"/>
  <c r="B2181" i="6"/>
  <c r="C2181" i="6"/>
  <c r="D2181" i="6"/>
  <c r="E2181" i="6"/>
  <c r="B2182" i="6"/>
  <c r="C2182" i="6"/>
  <c r="D2182" i="6"/>
  <c r="E2182" i="6"/>
  <c r="B2183" i="6"/>
  <c r="C2183" i="6"/>
  <c r="D2183" i="6"/>
  <c r="E2183" i="6"/>
  <c r="B2184" i="6"/>
  <c r="C2184" i="6"/>
  <c r="D2184" i="6"/>
  <c r="E2184" i="6"/>
  <c r="B2185" i="6"/>
  <c r="C2185" i="6"/>
  <c r="D2185" i="6"/>
  <c r="E2185" i="6"/>
  <c r="B2186" i="6"/>
  <c r="C2186" i="6"/>
  <c r="D2186" i="6"/>
  <c r="E2186" i="6"/>
  <c r="B2187" i="6"/>
  <c r="C2187" i="6"/>
  <c r="D2187" i="6"/>
  <c r="E2187" i="6"/>
  <c r="B2188" i="6"/>
  <c r="C2188" i="6"/>
  <c r="D2188" i="6"/>
  <c r="E2188" i="6"/>
  <c r="B2189" i="6"/>
  <c r="C2189" i="6"/>
  <c r="D2189" i="6"/>
  <c r="E2189" i="6"/>
  <c r="B2190" i="6"/>
  <c r="C2190" i="6"/>
  <c r="D2190" i="6"/>
  <c r="E2190" i="6"/>
  <c r="B2191" i="6"/>
  <c r="C2191" i="6"/>
  <c r="D2191" i="6"/>
  <c r="E2191" i="6"/>
  <c r="B2192" i="6"/>
  <c r="C2192" i="6"/>
  <c r="D2192" i="6"/>
  <c r="E2192" i="6"/>
  <c r="B2193" i="6"/>
  <c r="C2193" i="6"/>
  <c r="D2193" i="6"/>
  <c r="E2193" i="6"/>
  <c r="B2194" i="6"/>
  <c r="C2194" i="6"/>
  <c r="D2194" i="6"/>
  <c r="E2194" i="6"/>
  <c r="B2195" i="6"/>
  <c r="C2195" i="6"/>
  <c r="D2195" i="6"/>
  <c r="E2195" i="6"/>
  <c r="B2196" i="6"/>
  <c r="C2196" i="6"/>
  <c r="D2196" i="6"/>
  <c r="E2196" i="6"/>
  <c r="B2197" i="6"/>
  <c r="C2197" i="6"/>
  <c r="D2197" i="6"/>
  <c r="E2197" i="6"/>
  <c r="B2198" i="6"/>
  <c r="C2198" i="6"/>
  <c r="D2198" i="6"/>
  <c r="E2198" i="6"/>
  <c r="B2199" i="6"/>
  <c r="C2199" i="6"/>
  <c r="D2199" i="6"/>
  <c r="E2199" i="6"/>
  <c r="B2200" i="6"/>
  <c r="C2200" i="6"/>
  <c r="D2200" i="6"/>
  <c r="E2200" i="6"/>
  <c r="B2201" i="6"/>
  <c r="C2201" i="6"/>
  <c r="D2201" i="6"/>
  <c r="E2201" i="6"/>
  <c r="B2202" i="6"/>
  <c r="C2202" i="6"/>
  <c r="D2202" i="6"/>
  <c r="E2202" i="6"/>
  <c r="B2203" i="6"/>
  <c r="C2203" i="6"/>
  <c r="D2203" i="6"/>
  <c r="E2203" i="6"/>
  <c r="B2204" i="6"/>
  <c r="C2204" i="6"/>
  <c r="D2204" i="6"/>
  <c r="E2204" i="6"/>
  <c r="B2205" i="6"/>
  <c r="C2205" i="6"/>
  <c r="D2205" i="6"/>
  <c r="E2205" i="6"/>
  <c r="B2206" i="6"/>
  <c r="C2206" i="6"/>
  <c r="D2206" i="6"/>
  <c r="E2206" i="6"/>
  <c r="B2207" i="6"/>
  <c r="C2207" i="6"/>
  <c r="D2207" i="6"/>
  <c r="E2207" i="6"/>
  <c r="B2208" i="6"/>
  <c r="C2208" i="6"/>
  <c r="D2208" i="6"/>
  <c r="E2208" i="6"/>
  <c r="B2209" i="6"/>
  <c r="C2209" i="6"/>
  <c r="D2209" i="6"/>
  <c r="E2209" i="6"/>
  <c r="B2210" i="6"/>
  <c r="C2210" i="6"/>
  <c r="D2210" i="6"/>
  <c r="E2210" i="6"/>
  <c r="B2211" i="6"/>
  <c r="C2211" i="6"/>
  <c r="D2211" i="6"/>
  <c r="E2211" i="6"/>
  <c r="B2212" i="6"/>
  <c r="C2212" i="6"/>
  <c r="D2212" i="6"/>
  <c r="E2212" i="6"/>
  <c r="B2213" i="6"/>
  <c r="C2213" i="6"/>
  <c r="D2213" i="6"/>
  <c r="E2213" i="6"/>
  <c r="B2214" i="6"/>
  <c r="C2214" i="6"/>
  <c r="D2214" i="6"/>
  <c r="E2214" i="6"/>
  <c r="B2215" i="6"/>
  <c r="C2215" i="6"/>
  <c r="D2215" i="6"/>
  <c r="E2215" i="6"/>
  <c r="B2216" i="6"/>
  <c r="C2216" i="6"/>
  <c r="D2216" i="6"/>
  <c r="E2216" i="6"/>
  <c r="B2217" i="6"/>
  <c r="C2217" i="6"/>
  <c r="D2217" i="6"/>
  <c r="E2217" i="6"/>
  <c r="B2218" i="6"/>
  <c r="C2218" i="6"/>
  <c r="D2218" i="6"/>
  <c r="E2218" i="6"/>
  <c r="B2219" i="6"/>
  <c r="C2219" i="6"/>
  <c r="D2219" i="6"/>
  <c r="E2219" i="6"/>
  <c r="B2220" i="6"/>
  <c r="C2220" i="6"/>
  <c r="D2220" i="6"/>
  <c r="E2220" i="6"/>
  <c r="B2221" i="6"/>
  <c r="C2221" i="6"/>
  <c r="D2221" i="6"/>
  <c r="E2221" i="6"/>
  <c r="B2222" i="6"/>
  <c r="C2222" i="6"/>
  <c r="D2222" i="6"/>
  <c r="E2222" i="6"/>
  <c r="B2223" i="6"/>
  <c r="C2223" i="6"/>
  <c r="D2223" i="6"/>
  <c r="E2223" i="6"/>
  <c r="B2224" i="6"/>
  <c r="C2224" i="6"/>
  <c r="D2224" i="6"/>
  <c r="E2224" i="6"/>
  <c r="B2225" i="6"/>
  <c r="C2225" i="6"/>
  <c r="D2225" i="6"/>
  <c r="E2225" i="6"/>
  <c r="B2226" i="6"/>
  <c r="C2226" i="6"/>
  <c r="D2226" i="6"/>
  <c r="E2226" i="6"/>
  <c r="B2227" i="6"/>
  <c r="C2227" i="6"/>
  <c r="D2227" i="6"/>
  <c r="E2227" i="6"/>
  <c r="B2228" i="6"/>
  <c r="C2228" i="6"/>
  <c r="D2228" i="6"/>
  <c r="E2228" i="6"/>
  <c r="B2229" i="6"/>
  <c r="C2229" i="6"/>
  <c r="D2229" i="6"/>
  <c r="E2229" i="6"/>
  <c r="B2230" i="6"/>
  <c r="C2230" i="6"/>
  <c r="D2230" i="6"/>
  <c r="E2230" i="6"/>
  <c r="B2231" i="6"/>
  <c r="C2231" i="6"/>
  <c r="D2231" i="6"/>
  <c r="E2231" i="6"/>
  <c r="B2232" i="6"/>
  <c r="C2232" i="6"/>
  <c r="D2232" i="6"/>
  <c r="E2232" i="6"/>
  <c r="B2233" i="6"/>
  <c r="C2233" i="6"/>
  <c r="D2233" i="6"/>
  <c r="E2233" i="6"/>
  <c r="B2234" i="6"/>
  <c r="C2234" i="6"/>
  <c r="D2234" i="6"/>
  <c r="E2234" i="6"/>
  <c r="B2235" i="6"/>
  <c r="C2235" i="6"/>
  <c r="D2235" i="6"/>
  <c r="E2235" i="6"/>
  <c r="B2236" i="6"/>
  <c r="C2236" i="6"/>
  <c r="D2236" i="6"/>
  <c r="E2236" i="6"/>
  <c r="B2237" i="6"/>
  <c r="C2237" i="6"/>
  <c r="D2237" i="6"/>
  <c r="E2237" i="6"/>
  <c r="B2238" i="6"/>
  <c r="C2238" i="6"/>
  <c r="D2238" i="6"/>
  <c r="E2238" i="6"/>
  <c r="B2239" i="6"/>
  <c r="C2239" i="6"/>
  <c r="D2239" i="6"/>
  <c r="E2239" i="6"/>
  <c r="B2240" i="6"/>
  <c r="C2240" i="6"/>
  <c r="D2240" i="6"/>
  <c r="E2240" i="6"/>
  <c r="B2241" i="6"/>
  <c r="C2241" i="6"/>
  <c r="D2241" i="6"/>
  <c r="E2241" i="6"/>
  <c r="B2242" i="6"/>
  <c r="C2242" i="6"/>
  <c r="D2242" i="6"/>
  <c r="E2242" i="6"/>
  <c r="B2243" i="6"/>
  <c r="C2243" i="6"/>
  <c r="D2243" i="6"/>
  <c r="E2243" i="6"/>
  <c r="B2244" i="6"/>
  <c r="C2244" i="6"/>
  <c r="D2244" i="6"/>
  <c r="E2244" i="6"/>
  <c r="B2245" i="6"/>
  <c r="C2245" i="6"/>
  <c r="D2245" i="6"/>
  <c r="E2245" i="6"/>
  <c r="B2246" i="6"/>
  <c r="C2246" i="6"/>
  <c r="D2246" i="6"/>
  <c r="E2246" i="6"/>
  <c r="B2247" i="6"/>
  <c r="C2247" i="6"/>
  <c r="D2247" i="6"/>
  <c r="E2247" i="6"/>
  <c r="B2248" i="6"/>
  <c r="C2248" i="6"/>
  <c r="D2248" i="6"/>
  <c r="E2248" i="6"/>
  <c r="B2249" i="6"/>
  <c r="C2249" i="6"/>
  <c r="D2249" i="6"/>
  <c r="E2249" i="6"/>
  <c r="B2250" i="6"/>
  <c r="C2250" i="6"/>
  <c r="D2250" i="6"/>
  <c r="E2250" i="6"/>
  <c r="B2251" i="6"/>
  <c r="C2251" i="6"/>
  <c r="D2251" i="6"/>
  <c r="E2251" i="6"/>
  <c r="B2252" i="6"/>
  <c r="C2252" i="6"/>
  <c r="D2252" i="6"/>
  <c r="E2252" i="6"/>
  <c r="B2253" i="6"/>
  <c r="C2253" i="6"/>
  <c r="D2253" i="6"/>
  <c r="E2253" i="6"/>
  <c r="B2254" i="6"/>
  <c r="C2254" i="6"/>
  <c r="D2254" i="6"/>
  <c r="E2254" i="6"/>
  <c r="B2255" i="6"/>
  <c r="C2255" i="6"/>
  <c r="D2255" i="6"/>
  <c r="E2255" i="6"/>
  <c r="B2256" i="6"/>
  <c r="C2256" i="6"/>
  <c r="D2256" i="6"/>
  <c r="E2256" i="6"/>
  <c r="B2257" i="6"/>
  <c r="C2257" i="6"/>
  <c r="D2257" i="6"/>
  <c r="E2257" i="6"/>
  <c r="B2258" i="6"/>
  <c r="C2258" i="6"/>
  <c r="D2258" i="6"/>
  <c r="E2258" i="6"/>
  <c r="B2259" i="6"/>
  <c r="C2259" i="6"/>
  <c r="D2259" i="6"/>
  <c r="E2259" i="6"/>
  <c r="B2260" i="6"/>
  <c r="C2260" i="6"/>
  <c r="D2260" i="6"/>
  <c r="E2260" i="6"/>
  <c r="B2261" i="6"/>
  <c r="C2261" i="6"/>
  <c r="D2261" i="6"/>
  <c r="E2261" i="6"/>
  <c r="B2262" i="6"/>
  <c r="C2262" i="6"/>
  <c r="D2262" i="6"/>
  <c r="E2262" i="6"/>
  <c r="B2263" i="6"/>
  <c r="C2263" i="6"/>
  <c r="D2263" i="6"/>
  <c r="E2263" i="6"/>
  <c r="B2264" i="6"/>
  <c r="C2264" i="6"/>
  <c r="D2264" i="6"/>
  <c r="E2264" i="6"/>
  <c r="B2265" i="6"/>
  <c r="C2265" i="6"/>
  <c r="D2265" i="6"/>
  <c r="E2265" i="6"/>
  <c r="B2266" i="6"/>
  <c r="C2266" i="6"/>
  <c r="D2266" i="6"/>
  <c r="E2266" i="6"/>
  <c r="B2267" i="6"/>
  <c r="C2267" i="6"/>
  <c r="D2267" i="6"/>
  <c r="E2267" i="6"/>
  <c r="B2268" i="6"/>
  <c r="C2268" i="6"/>
  <c r="D2268" i="6"/>
  <c r="E2268" i="6"/>
  <c r="B2269" i="6"/>
  <c r="C2269" i="6"/>
  <c r="D2269" i="6"/>
  <c r="E2269" i="6"/>
  <c r="B2270" i="6"/>
  <c r="C2270" i="6"/>
  <c r="D2270" i="6"/>
  <c r="E2270" i="6"/>
  <c r="B2271" i="6"/>
  <c r="C2271" i="6"/>
  <c r="D2271" i="6"/>
  <c r="E2271" i="6"/>
  <c r="B2272" i="6"/>
  <c r="C2272" i="6"/>
  <c r="D2272" i="6"/>
  <c r="E2272" i="6"/>
  <c r="B2273" i="6"/>
  <c r="C2273" i="6"/>
  <c r="D2273" i="6"/>
  <c r="E2273" i="6"/>
  <c r="B2274" i="6"/>
  <c r="C2274" i="6"/>
  <c r="D2274" i="6"/>
  <c r="E2274" i="6"/>
  <c r="B2275" i="6"/>
  <c r="C2275" i="6"/>
  <c r="D2275" i="6"/>
  <c r="E2275" i="6"/>
  <c r="B2276" i="6"/>
  <c r="C2276" i="6"/>
  <c r="D2276" i="6"/>
  <c r="E2276" i="6"/>
  <c r="B2277" i="6"/>
  <c r="C2277" i="6"/>
  <c r="D2277" i="6"/>
  <c r="E2277" i="6"/>
  <c r="B2278" i="6"/>
  <c r="C2278" i="6"/>
  <c r="D2278" i="6"/>
  <c r="E2278" i="6"/>
  <c r="B2279" i="6"/>
  <c r="C2279" i="6"/>
  <c r="D2279" i="6"/>
  <c r="E2279" i="6"/>
  <c r="B2280" i="6"/>
  <c r="C2280" i="6"/>
  <c r="D2280" i="6"/>
  <c r="E2280" i="6"/>
  <c r="B2281" i="6"/>
  <c r="C2281" i="6"/>
  <c r="D2281" i="6"/>
  <c r="E2281" i="6"/>
  <c r="B2282" i="6"/>
  <c r="C2282" i="6"/>
  <c r="D2282" i="6"/>
  <c r="E2282" i="6"/>
  <c r="B2283" i="6"/>
  <c r="C2283" i="6"/>
  <c r="D2283" i="6"/>
  <c r="E2283" i="6"/>
  <c r="B2284" i="6"/>
  <c r="C2284" i="6"/>
  <c r="D2284" i="6"/>
  <c r="E2284" i="6"/>
  <c r="B2285" i="6"/>
  <c r="C2285" i="6"/>
  <c r="D2285" i="6"/>
  <c r="E2285" i="6"/>
  <c r="B2286" i="6"/>
  <c r="C2286" i="6"/>
  <c r="D2286" i="6"/>
  <c r="E2286" i="6"/>
  <c r="B2287" i="6"/>
  <c r="C2287" i="6"/>
  <c r="D2287" i="6"/>
  <c r="E2287" i="6"/>
  <c r="B2288" i="6"/>
  <c r="C2288" i="6"/>
  <c r="D2288" i="6"/>
  <c r="E2288" i="6"/>
  <c r="E3" i="6"/>
  <c r="C3" i="6"/>
  <c r="B3" i="6"/>
  <c r="J1991" i="7"/>
  <c r="D1994" i="6" s="1"/>
  <c r="G1991" i="7"/>
  <c r="H1991" i="7" s="1"/>
  <c r="J1990" i="7"/>
  <c r="D1992" i="6" s="1"/>
  <c r="G1990" i="7"/>
  <c r="H1990" i="7" s="1"/>
  <c r="J1989" i="7"/>
  <c r="D1991" i="6" s="1"/>
  <c r="G1989" i="7"/>
  <c r="H1989" i="7" s="1"/>
  <c r="J1988" i="7"/>
  <c r="D1990" i="6" s="1"/>
  <c r="G1988" i="7"/>
  <c r="H1988" i="7" s="1"/>
  <c r="J1987" i="7"/>
  <c r="D1989" i="6" s="1"/>
  <c r="G1987" i="7"/>
  <c r="H1987" i="7" s="1"/>
  <c r="J1986" i="7"/>
  <c r="D1988" i="6" s="1"/>
  <c r="G1986" i="7"/>
  <c r="H1986" i="7" s="1"/>
  <c r="J1985" i="7"/>
  <c r="D1987" i="6" s="1"/>
  <c r="G1985" i="7"/>
  <c r="H1985" i="7" s="1"/>
  <c r="J1984" i="7"/>
  <c r="D1986" i="6" s="1"/>
  <c r="G1984" i="7"/>
  <c r="H1984" i="7" s="1"/>
  <c r="J1983" i="7"/>
  <c r="D1985" i="6" s="1"/>
  <c r="G1983" i="7"/>
  <c r="H1983" i="7" s="1"/>
  <c r="J1982" i="7"/>
  <c r="D1984" i="6" s="1"/>
  <c r="G1982" i="7"/>
  <c r="H1982" i="7" s="1"/>
  <c r="J1981" i="7"/>
  <c r="D1983" i="6" s="1"/>
  <c r="G1981" i="7"/>
  <c r="H1981" i="7" s="1"/>
  <c r="J1980" i="7"/>
  <c r="D1982" i="6" s="1"/>
  <c r="G1980" i="7"/>
  <c r="H1980" i="7" s="1"/>
  <c r="J1979" i="7"/>
  <c r="D1981" i="6" s="1"/>
  <c r="G1979" i="7"/>
  <c r="H1979" i="7" s="1"/>
  <c r="G1978" i="7"/>
  <c r="H1978" i="7" s="1"/>
  <c r="J1978" i="7"/>
  <c r="D1980" i="6" s="1"/>
  <c r="J1977" i="7"/>
  <c r="D1979" i="6" s="1"/>
  <c r="G1977" i="7"/>
  <c r="H1977" i="7" s="1"/>
  <c r="J1976" i="7"/>
  <c r="D1978" i="6" s="1"/>
  <c r="G1976" i="7"/>
  <c r="H1976" i="7" s="1"/>
  <c r="J1975" i="7"/>
  <c r="D1977" i="6" s="1"/>
  <c r="G1975" i="7"/>
  <c r="H1975" i="7" s="1"/>
  <c r="J1974" i="7"/>
  <c r="D1976" i="6" s="1"/>
  <c r="G1974" i="7"/>
  <c r="H1974" i="7" s="1"/>
  <c r="J1973" i="7"/>
  <c r="D1975" i="6" s="1"/>
  <c r="G1973" i="7"/>
  <c r="H1973" i="7" s="1"/>
  <c r="J1972" i="7"/>
  <c r="D1974" i="6" s="1"/>
  <c r="G1972" i="7"/>
  <c r="H1972" i="7" s="1"/>
  <c r="J1971" i="7"/>
  <c r="D1973" i="6" s="1"/>
  <c r="G1971" i="7"/>
  <c r="H1971" i="7" s="1"/>
  <c r="J1970" i="7"/>
  <c r="D1972" i="6" s="1"/>
  <c r="G1970" i="7"/>
  <c r="H1970" i="7" s="1"/>
  <c r="J1969" i="7"/>
  <c r="D1971" i="6" s="1"/>
  <c r="G1969" i="7"/>
  <c r="H1969" i="7" s="1"/>
  <c r="J1968" i="7"/>
  <c r="D1970" i="6" s="1"/>
  <c r="G1968" i="7"/>
  <c r="H1968" i="7" s="1"/>
  <c r="J1967" i="7"/>
  <c r="D1969" i="6" s="1"/>
  <c r="G1967" i="7"/>
  <c r="H1967" i="7" s="1"/>
  <c r="J1966" i="7"/>
  <c r="D1968" i="6" s="1"/>
  <c r="G1966" i="7"/>
  <c r="H1966" i="7" s="1"/>
  <c r="J1965" i="7"/>
  <c r="D1967" i="6" s="1"/>
  <c r="G1965" i="7"/>
  <c r="H1965" i="7" s="1"/>
  <c r="J1964" i="7"/>
  <c r="D1966" i="6" s="1"/>
  <c r="G1964" i="7"/>
  <c r="H1964" i="7" s="1"/>
  <c r="J1963" i="7"/>
  <c r="D1965" i="6" s="1"/>
  <c r="G1963" i="7"/>
  <c r="H1963" i="7" s="1"/>
  <c r="J1962" i="7"/>
  <c r="D1964" i="6" s="1"/>
  <c r="G1962" i="7"/>
  <c r="H1962" i="7" s="1"/>
  <c r="G1961" i="7"/>
  <c r="J1961" i="7"/>
  <c r="D1963" i="6" s="1"/>
  <c r="G1960" i="7"/>
  <c r="H1960" i="7" s="1"/>
  <c r="J1960" i="7"/>
  <c r="D1962" i="6" s="1"/>
  <c r="G1959" i="7"/>
  <c r="H1959" i="7" s="1"/>
  <c r="J1959" i="7"/>
  <c r="D1961" i="6" s="1"/>
  <c r="J1958" i="7"/>
  <c r="D1960" i="6" s="1"/>
  <c r="G1958" i="7"/>
  <c r="H1958" i="7" s="1"/>
  <c r="J1957" i="7"/>
  <c r="D1959" i="6" s="1"/>
  <c r="G1957" i="7"/>
  <c r="H1957" i="7" s="1"/>
  <c r="J1956" i="7"/>
  <c r="D1958" i="6" s="1"/>
  <c r="G1956" i="7"/>
  <c r="H1956" i="7" s="1"/>
  <c r="J1955" i="7"/>
  <c r="D1957" i="6" s="1"/>
  <c r="G1955" i="7"/>
  <c r="H1955" i="7" s="1"/>
  <c r="J1954" i="7"/>
  <c r="D1956" i="6" s="1"/>
  <c r="G1954" i="7"/>
  <c r="H1954" i="7" s="1"/>
  <c r="J1953" i="7"/>
  <c r="D1955" i="6" s="1"/>
  <c r="G1953" i="7"/>
  <c r="H1953" i="7" s="1"/>
  <c r="J1952" i="7"/>
  <c r="D1954" i="6" s="1"/>
  <c r="G1952" i="7"/>
  <c r="H1952" i="7" s="1"/>
  <c r="J1951" i="7"/>
  <c r="D1953" i="6" s="1"/>
  <c r="G1951" i="7"/>
  <c r="H1951" i="7" s="1"/>
  <c r="J1950" i="7"/>
  <c r="D1952" i="6" s="1"/>
  <c r="G1950" i="7"/>
  <c r="H1950" i="7" s="1"/>
  <c r="J1949" i="7"/>
  <c r="D1951" i="6" s="1"/>
  <c r="G1949" i="7"/>
  <c r="H1949" i="7" s="1"/>
  <c r="J1948" i="7"/>
  <c r="D1950" i="6" s="1"/>
  <c r="G1948" i="7"/>
  <c r="H1948" i="7" s="1"/>
  <c r="J1947" i="7"/>
  <c r="D1949" i="6" s="1"/>
  <c r="G1947" i="7"/>
  <c r="H1947" i="7" s="1"/>
  <c r="J1946" i="7"/>
  <c r="D1948" i="6" s="1"/>
  <c r="G1946" i="7"/>
  <c r="H1946" i="7" s="1"/>
  <c r="J1945" i="7"/>
  <c r="D1947" i="6" s="1"/>
  <c r="G1945" i="7"/>
  <c r="H1945" i="7" s="1"/>
  <c r="J1944" i="7"/>
  <c r="D1946" i="6" s="1"/>
  <c r="G1944" i="7"/>
  <c r="H1944" i="7" s="1"/>
  <c r="J1943" i="7"/>
  <c r="D1945" i="6" s="1"/>
  <c r="G1943" i="7"/>
  <c r="H1943" i="7" s="1"/>
  <c r="J1942" i="7"/>
  <c r="D1944" i="6" s="1"/>
  <c r="G1942" i="7"/>
  <c r="H1942" i="7" s="1"/>
  <c r="J1941" i="7"/>
  <c r="D1943" i="6" s="1"/>
  <c r="G1941" i="7"/>
  <c r="H1941" i="7" s="1"/>
  <c r="J1940" i="7"/>
  <c r="D1942" i="6" s="1"/>
  <c r="G1940" i="7"/>
  <c r="H1940" i="7" s="1"/>
  <c r="J1939" i="7"/>
  <c r="D1941" i="6" s="1"/>
  <c r="G1939" i="7"/>
  <c r="H1939" i="7" s="1"/>
  <c r="J1938" i="7"/>
  <c r="D1940" i="6" s="1"/>
  <c r="G1938" i="7"/>
  <c r="H1938" i="7" s="1"/>
  <c r="G1937" i="7"/>
  <c r="H1937" i="7" s="1"/>
  <c r="J1937" i="7"/>
  <c r="D1939" i="6" s="1"/>
  <c r="G1936" i="7"/>
  <c r="H1936" i="7" s="1"/>
  <c r="J1936" i="7"/>
  <c r="D1938" i="6" s="1"/>
  <c r="J1935" i="7"/>
  <c r="D1937" i="6" s="1"/>
  <c r="G1935" i="7"/>
  <c r="H1935" i="7" s="1"/>
  <c r="J1934" i="7"/>
  <c r="D1936" i="6" s="1"/>
  <c r="G1934" i="7"/>
  <c r="H1934" i="7" s="1"/>
  <c r="J1933" i="7"/>
  <c r="D1935" i="6" s="1"/>
  <c r="G1933" i="7"/>
  <c r="H1933" i="7" s="1"/>
  <c r="J1932" i="7"/>
  <c r="D1934" i="6" s="1"/>
  <c r="G1932" i="7"/>
  <c r="H1932" i="7" s="1"/>
  <c r="J1931" i="7"/>
  <c r="D1933" i="6" s="1"/>
  <c r="G1931" i="7"/>
  <c r="H1931" i="7" s="1"/>
  <c r="J1930" i="7"/>
  <c r="D1932" i="6" s="1"/>
  <c r="G1930" i="7"/>
  <c r="H1930" i="7" s="1"/>
  <c r="J1929" i="7"/>
  <c r="D1931" i="6" s="1"/>
  <c r="G1929" i="7"/>
  <c r="H1929" i="7" s="1"/>
  <c r="J1928" i="7"/>
  <c r="D1930" i="6" s="1"/>
  <c r="G1928" i="7"/>
  <c r="H1928" i="7" s="1"/>
  <c r="J1927" i="7"/>
  <c r="D1929" i="6" s="1"/>
  <c r="G1927" i="7"/>
  <c r="H1927" i="7" s="1"/>
  <c r="J1926" i="7"/>
  <c r="D1928" i="6" s="1"/>
  <c r="G1926" i="7"/>
  <c r="H1926" i="7" s="1"/>
  <c r="J1925" i="7"/>
  <c r="D1927" i="6" s="1"/>
  <c r="G1925" i="7"/>
  <c r="H1925" i="7" s="1"/>
  <c r="J1924" i="7"/>
  <c r="D1926" i="6" s="1"/>
  <c r="G1924" i="7"/>
  <c r="H1924" i="7" s="1"/>
  <c r="J1923" i="7"/>
  <c r="D1925" i="6" s="1"/>
  <c r="G1923" i="7"/>
  <c r="H1923" i="7" s="1"/>
  <c r="J1922" i="7"/>
  <c r="D1924" i="6" s="1"/>
  <c r="G1922" i="7"/>
  <c r="H1922" i="7" s="1"/>
  <c r="J1921" i="7"/>
  <c r="D1923" i="6" s="1"/>
  <c r="G1921" i="7"/>
  <c r="H1921" i="7" s="1"/>
  <c r="J1920" i="7"/>
  <c r="D1922" i="6" s="1"/>
  <c r="G1920" i="7"/>
  <c r="H1920" i="7" s="1"/>
  <c r="J1919" i="7"/>
  <c r="D1921" i="6" s="1"/>
  <c r="G1919" i="7"/>
  <c r="H1919" i="7" s="1"/>
  <c r="J1918" i="7"/>
  <c r="D1920" i="6" s="1"/>
  <c r="G1918" i="7"/>
  <c r="H1918" i="7" s="1"/>
  <c r="J1917" i="7"/>
  <c r="D1919" i="6" s="1"/>
  <c r="G1917" i="7"/>
  <c r="H1917" i="7" s="1"/>
  <c r="J1916" i="7"/>
  <c r="D1918" i="6" s="1"/>
  <c r="G1916" i="7"/>
  <c r="H1916" i="7" s="1"/>
  <c r="J1915" i="7"/>
  <c r="D1917" i="6" s="1"/>
  <c r="G1915" i="7"/>
  <c r="H1915" i="7" s="1"/>
  <c r="J1914" i="7"/>
  <c r="D1916" i="6" s="1"/>
  <c r="G1914" i="7"/>
  <c r="H1914" i="7" s="1"/>
  <c r="J1913" i="7"/>
  <c r="D1915" i="6" s="1"/>
  <c r="G1913" i="7"/>
  <c r="H1913" i="7" s="1"/>
  <c r="J1912" i="7"/>
  <c r="D1914" i="6" s="1"/>
  <c r="G1912" i="7"/>
  <c r="H1912" i="7" s="1"/>
  <c r="J1911" i="7"/>
  <c r="D1913" i="6" s="1"/>
  <c r="G1911" i="7"/>
  <c r="H1911" i="7" s="1"/>
  <c r="J1910" i="7"/>
  <c r="D1912" i="6" s="1"/>
  <c r="G1910" i="7"/>
  <c r="H1910" i="7" s="1"/>
  <c r="J1909" i="7"/>
  <c r="D1911" i="6" s="1"/>
  <c r="G1909" i="7"/>
  <c r="H1909" i="7" s="1"/>
  <c r="J1908" i="7"/>
  <c r="D1910" i="6" s="1"/>
  <c r="G1908" i="7"/>
  <c r="H1908" i="7" s="1"/>
  <c r="J1907" i="7"/>
  <c r="D1909" i="6" s="1"/>
  <c r="G1907" i="7"/>
  <c r="H1907" i="7" s="1"/>
  <c r="J1906" i="7"/>
  <c r="D1908" i="6" s="1"/>
  <c r="G1906" i="7"/>
  <c r="H1906" i="7" s="1"/>
  <c r="J1905" i="7"/>
  <c r="D1907" i="6" s="1"/>
  <c r="G1905" i="7"/>
  <c r="H1905" i="7" s="1"/>
  <c r="J1904" i="7"/>
  <c r="D1906" i="6" s="1"/>
  <c r="G1904" i="7"/>
  <c r="H1904" i="7" s="1"/>
  <c r="J1903" i="7"/>
  <c r="D1905" i="6" s="1"/>
  <c r="G1903" i="7"/>
  <c r="H1903" i="7" s="1"/>
  <c r="G339" i="7"/>
  <c r="G1898" i="7"/>
  <c r="H1898" i="7" s="1"/>
  <c r="J1898" i="7"/>
  <c r="D1900" i="6" s="1"/>
  <c r="J1902" i="7"/>
  <c r="D1904" i="6" s="1"/>
  <c r="G1902" i="7"/>
  <c r="H1902" i="7" s="1"/>
  <c r="J1901" i="7"/>
  <c r="D1903" i="6" s="1"/>
  <c r="G1901" i="7"/>
  <c r="H1901" i="7" s="1"/>
  <c r="J1900" i="7"/>
  <c r="D1902" i="6" s="1"/>
  <c r="G1900" i="7"/>
  <c r="H1900" i="7" s="1"/>
  <c r="J1899" i="7"/>
  <c r="D1901" i="6" s="1"/>
  <c r="G1899" i="7"/>
  <c r="H1899" i="7" s="1"/>
  <c r="J1897" i="7"/>
  <c r="D1899" i="6" s="1"/>
  <c r="G1897" i="7"/>
  <c r="H1897" i="7" s="1"/>
  <c r="J1896" i="7"/>
  <c r="D1898" i="6" s="1"/>
  <c r="G1896" i="7"/>
  <c r="H1896" i="7" s="1"/>
  <c r="J1895" i="7"/>
  <c r="D1897" i="6" s="1"/>
  <c r="G1895" i="7"/>
  <c r="H1895" i="7" s="1"/>
  <c r="J1894" i="7"/>
  <c r="D1896" i="6" s="1"/>
  <c r="G1894" i="7"/>
  <c r="H1894" i="7" s="1"/>
  <c r="J1893" i="7"/>
  <c r="D1895" i="6" s="1"/>
  <c r="G1893" i="7"/>
  <c r="H1893" i="7" s="1"/>
  <c r="J1892" i="7"/>
  <c r="D1894" i="6" s="1"/>
  <c r="G1892" i="7"/>
  <c r="H1892" i="7" s="1"/>
  <c r="J1891" i="7"/>
  <c r="D1893" i="6" s="1"/>
  <c r="G1891" i="7"/>
  <c r="H1891" i="7" s="1"/>
  <c r="J1890" i="7"/>
  <c r="D1892" i="6" s="1"/>
  <c r="G1890" i="7"/>
  <c r="H1890" i="7" s="1"/>
  <c r="J1889" i="7"/>
  <c r="D1891" i="6" s="1"/>
  <c r="G1889" i="7"/>
  <c r="H1889" i="7" s="1"/>
  <c r="J1888" i="7"/>
  <c r="D1890" i="6" s="1"/>
  <c r="G1888" i="7"/>
  <c r="H1888" i="7" s="1"/>
  <c r="J1887" i="7"/>
  <c r="D1889" i="6" s="1"/>
  <c r="G1887" i="7"/>
  <c r="H1887" i="7" s="1"/>
  <c r="J1886" i="7"/>
  <c r="D1888" i="6" s="1"/>
  <c r="G1886" i="7"/>
  <c r="H1886" i="7" s="1"/>
  <c r="J1885" i="7"/>
  <c r="D1887" i="6" s="1"/>
  <c r="G1885" i="7"/>
  <c r="H1885" i="7" s="1"/>
  <c r="J1884" i="7"/>
  <c r="D1886" i="6" s="1"/>
  <c r="G1884" i="7"/>
  <c r="H1884" i="7" s="1"/>
  <c r="J1883" i="7"/>
  <c r="D1885" i="6" s="1"/>
  <c r="G1883" i="7"/>
  <c r="H1883" i="7" s="1"/>
  <c r="J1882" i="7"/>
  <c r="D1884" i="6" s="1"/>
  <c r="G1882" i="7"/>
  <c r="H1882" i="7" s="1"/>
  <c r="J1881" i="7"/>
  <c r="D1883" i="6" s="1"/>
  <c r="G1881" i="7"/>
  <c r="H1881" i="7" s="1"/>
  <c r="J1880" i="7"/>
  <c r="D1882" i="6" s="1"/>
  <c r="G1880" i="7"/>
  <c r="H1880" i="7" s="1"/>
  <c r="J1879" i="7"/>
  <c r="D1881" i="6" s="1"/>
  <c r="G1879" i="7"/>
  <c r="H1879" i="7" s="1"/>
  <c r="J1878" i="7"/>
  <c r="D1880" i="6" s="1"/>
  <c r="G1878" i="7"/>
  <c r="H1878" i="7" s="1"/>
  <c r="J1877" i="7"/>
  <c r="D1879" i="6" s="1"/>
  <c r="G1877" i="7"/>
  <c r="H1877" i="7" s="1"/>
  <c r="J1876" i="7"/>
  <c r="D1878" i="6" s="1"/>
  <c r="G1876" i="7"/>
  <c r="H1876" i="7" s="1"/>
  <c r="J1875" i="7"/>
  <c r="D1877" i="6" s="1"/>
  <c r="G1875" i="7"/>
  <c r="H1875" i="7" s="1"/>
  <c r="J1874" i="7"/>
  <c r="D1876" i="6" s="1"/>
  <c r="G1874" i="7"/>
  <c r="H1874" i="7" s="1"/>
  <c r="J1873" i="7"/>
  <c r="D1875" i="6" s="1"/>
  <c r="G1873" i="7"/>
  <c r="H1873" i="7" s="1"/>
  <c r="J1872" i="7"/>
  <c r="D1874" i="6" s="1"/>
  <c r="G1872" i="7"/>
  <c r="H1872" i="7" s="1"/>
  <c r="J1871" i="7"/>
  <c r="D1873" i="6" s="1"/>
  <c r="G1871" i="7"/>
  <c r="H1871" i="7" s="1"/>
  <c r="J1870" i="7"/>
  <c r="D1872" i="6" s="1"/>
  <c r="G1870" i="7"/>
  <c r="H1870" i="7" s="1"/>
  <c r="J1869" i="7"/>
  <c r="D1871" i="6" s="1"/>
  <c r="G1869" i="7"/>
  <c r="H1869" i="7" s="1"/>
  <c r="J1868" i="7"/>
  <c r="D1870" i="6" s="1"/>
  <c r="G1868" i="7"/>
  <c r="H1868" i="7" s="1"/>
  <c r="J1867" i="7"/>
  <c r="D1869" i="6" s="1"/>
  <c r="G1867" i="7"/>
  <c r="H1867" i="7" s="1"/>
  <c r="J1866" i="7"/>
  <c r="D1868" i="6" s="1"/>
  <c r="G1866" i="7"/>
  <c r="H1866" i="7" s="1"/>
  <c r="J1865" i="7"/>
  <c r="D1867" i="6" s="1"/>
  <c r="G1865" i="7"/>
  <c r="H1865" i="7" s="1"/>
  <c r="J1864" i="7"/>
  <c r="D1866" i="6" s="1"/>
  <c r="G1864" i="7"/>
  <c r="H1864" i="7" s="1"/>
  <c r="J1863" i="7"/>
  <c r="D1865" i="6" s="1"/>
  <c r="G1863" i="7"/>
  <c r="H1863" i="7" s="1"/>
  <c r="J1862" i="7"/>
  <c r="D1864" i="6" s="1"/>
  <c r="G1862" i="7"/>
  <c r="H1862" i="7" s="1"/>
  <c r="J1861" i="7"/>
  <c r="D1863" i="6" s="1"/>
  <c r="G1861" i="7"/>
  <c r="H1861" i="7" s="1"/>
  <c r="J1860" i="7"/>
  <c r="D1862" i="6" s="1"/>
  <c r="G1860" i="7"/>
  <c r="H1860" i="7" s="1"/>
  <c r="J1859" i="7"/>
  <c r="D1861" i="6" s="1"/>
  <c r="G1859" i="7"/>
  <c r="H1859" i="7" s="1"/>
  <c r="J1858" i="7"/>
  <c r="D1860" i="6" s="1"/>
  <c r="G1858" i="7"/>
  <c r="H1858" i="7" s="1"/>
  <c r="J1857" i="7"/>
  <c r="D1859" i="6" s="1"/>
  <c r="G1857" i="7"/>
  <c r="H1857" i="7" s="1"/>
  <c r="J1856" i="7"/>
  <c r="D1858" i="6" s="1"/>
  <c r="G1856" i="7"/>
  <c r="H1856" i="7" s="1"/>
  <c r="J1855" i="7"/>
  <c r="D1857" i="6" s="1"/>
  <c r="G1855" i="7"/>
  <c r="H1855" i="7" s="1"/>
  <c r="J1854" i="7"/>
  <c r="D1856" i="6" s="1"/>
  <c r="G1854" i="7"/>
  <c r="H1854" i="7" s="1"/>
  <c r="J1853" i="7"/>
  <c r="D1855" i="6" s="1"/>
  <c r="G1853" i="7"/>
  <c r="H1853" i="7" s="1"/>
  <c r="J1852" i="7"/>
  <c r="D1854" i="6" s="1"/>
  <c r="G1852" i="7"/>
  <c r="H1852" i="7" s="1"/>
  <c r="J1851" i="7"/>
  <c r="D1853" i="6" s="1"/>
  <c r="G1851" i="7"/>
  <c r="H1851" i="7" s="1"/>
  <c r="J1850" i="7"/>
  <c r="D1852" i="6" s="1"/>
  <c r="G1850" i="7"/>
  <c r="H1850" i="7" s="1"/>
  <c r="G1849" i="7"/>
  <c r="H1849" i="7" s="1"/>
  <c r="J1849" i="7"/>
  <c r="D1851" i="6" s="1"/>
  <c r="G1848" i="7"/>
  <c r="H1848" i="7" s="1"/>
  <c r="J1848" i="7"/>
  <c r="D1850" i="6" s="1"/>
  <c r="G1847" i="7"/>
  <c r="H1847" i="7" s="1"/>
  <c r="J1847" i="7"/>
  <c r="D1849" i="6" s="1"/>
  <c r="G1846" i="7"/>
  <c r="H1846" i="7" s="1"/>
  <c r="J1846" i="7"/>
  <c r="D1848" i="6" s="1"/>
  <c r="G1845" i="7"/>
  <c r="H1845" i="7" s="1"/>
  <c r="J1845" i="7"/>
  <c r="D1847" i="6" s="1"/>
  <c r="G1844" i="7"/>
  <c r="H1844" i="7" s="1"/>
  <c r="J1844" i="7"/>
  <c r="D1846" i="6" s="1"/>
  <c r="G1843" i="7"/>
  <c r="H1843" i="7" s="1"/>
  <c r="J1843" i="7"/>
  <c r="D1845" i="6" s="1"/>
  <c r="J1842" i="7"/>
  <c r="D1844" i="6" s="1"/>
  <c r="G1842" i="7"/>
  <c r="H1842" i="7" s="1"/>
  <c r="J1841" i="7"/>
  <c r="D1843" i="6" s="1"/>
  <c r="G1841" i="7"/>
  <c r="H1841" i="7" s="1"/>
  <c r="J1840" i="7"/>
  <c r="D1842" i="6" s="1"/>
  <c r="G1840" i="7"/>
  <c r="H1840" i="7" s="1"/>
  <c r="J1839" i="7"/>
  <c r="D1841" i="6" s="1"/>
  <c r="G1839" i="7"/>
  <c r="H1839" i="7" s="1"/>
  <c r="J1838" i="7"/>
  <c r="D1840" i="6" s="1"/>
  <c r="G1838" i="7"/>
  <c r="H1838" i="7" s="1"/>
  <c r="J1837" i="7"/>
  <c r="D1839" i="6" s="1"/>
  <c r="G1837" i="7"/>
  <c r="H1837" i="7" s="1"/>
  <c r="J1836" i="7"/>
  <c r="D1838" i="6" s="1"/>
  <c r="G1836" i="7"/>
  <c r="H1836" i="7" s="1"/>
  <c r="J1835" i="7"/>
  <c r="D1837" i="6" s="1"/>
  <c r="G1835" i="7"/>
  <c r="H1835" i="7" s="1"/>
  <c r="J1834" i="7"/>
  <c r="D1836" i="6" s="1"/>
  <c r="G1834" i="7"/>
  <c r="H1834" i="7" s="1"/>
  <c r="J1833" i="7"/>
  <c r="D1835" i="6" s="1"/>
  <c r="G1833" i="7"/>
  <c r="H1833" i="7" s="1"/>
  <c r="G1832" i="7"/>
  <c r="H1832" i="7" s="1"/>
  <c r="J1832" i="7"/>
  <c r="D1834" i="6" s="1"/>
  <c r="J1831" i="7"/>
  <c r="D1833" i="6" s="1"/>
  <c r="G1831" i="7"/>
  <c r="H1831" i="7" s="1"/>
  <c r="J1830" i="7"/>
  <c r="D1832" i="6" s="1"/>
  <c r="G1830" i="7"/>
  <c r="H1830" i="7" s="1"/>
  <c r="J1829" i="7"/>
  <c r="D1831" i="6" s="1"/>
  <c r="G1829" i="7"/>
  <c r="H1829" i="7" s="1"/>
  <c r="J1828" i="7"/>
  <c r="D1830" i="6" s="1"/>
  <c r="G1828" i="7"/>
  <c r="H1828" i="7" s="1"/>
  <c r="J1827" i="7"/>
  <c r="D1829" i="6" s="1"/>
  <c r="G1827" i="7"/>
  <c r="H1827" i="7" s="1"/>
  <c r="J1826" i="7"/>
  <c r="D1828" i="6" s="1"/>
  <c r="G1826" i="7"/>
  <c r="H1826" i="7" s="1"/>
  <c r="J1825" i="7"/>
  <c r="D1827" i="6" s="1"/>
  <c r="G1825" i="7"/>
  <c r="H1825" i="7" s="1"/>
  <c r="J1824" i="7"/>
  <c r="D1826" i="6" s="1"/>
  <c r="G1824" i="7"/>
  <c r="H1824" i="7" s="1"/>
  <c r="J1823" i="7"/>
  <c r="D1825" i="6" s="1"/>
  <c r="G1823" i="7"/>
  <c r="H1823" i="7" s="1"/>
  <c r="J1822" i="7"/>
  <c r="D1824" i="6" s="1"/>
  <c r="G1822" i="7"/>
  <c r="H1822" i="7" s="1"/>
  <c r="J1821" i="7"/>
  <c r="D1823" i="6" s="1"/>
  <c r="G1821" i="7"/>
  <c r="H1821" i="7" s="1"/>
  <c r="J1820" i="7"/>
  <c r="D1822" i="6" s="1"/>
  <c r="G1820" i="7"/>
  <c r="H1820" i="7" s="1"/>
  <c r="J1819" i="7"/>
  <c r="D1821" i="6" s="1"/>
  <c r="G1819" i="7"/>
  <c r="H1819" i="7" s="1"/>
  <c r="G1818" i="7"/>
  <c r="H1818" i="7" s="1"/>
  <c r="J1818" i="7"/>
  <c r="D1820" i="6" s="1"/>
  <c r="J1817" i="7"/>
  <c r="D1819" i="6" s="1"/>
  <c r="G1817" i="7"/>
  <c r="H1817" i="7" s="1"/>
  <c r="J1816" i="7"/>
  <c r="D1818" i="6" s="1"/>
  <c r="G1816" i="7"/>
  <c r="H1816" i="7" s="1"/>
  <c r="J1815" i="7"/>
  <c r="D1817" i="6" s="1"/>
  <c r="G1815" i="7"/>
  <c r="H1815" i="7" s="1"/>
  <c r="J1814" i="7"/>
  <c r="D1816" i="6" s="1"/>
  <c r="G1814" i="7"/>
  <c r="H1814" i="7" s="1"/>
  <c r="J1813" i="7"/>
  <c r="D1815" i="6" s="1"/>
  <c r="G1813" i="7"/>
  <c r="H1813" i="7" s="1"/>
  <c r="J1812" i="7"/>
  <c r="D1814" i="6" s="1"/>
  <c r="G1812" i="7"/>
  <c r="H1812" i="7" s="1"/>
  <c r="J1811" i="7"/>
  <c r="D1813" i="6" s="1"/>
  <c r="G1811" i="7"/>
  <c r="H1811" i="7" s="1"/>
  <c r="J1810" i="7"/>
  <c r="D1812" i="6" s="1"/>
  <c r="G1810" i="7"/>
  <c r="H1810" i="7" s="1"/>
  <c r="J1809" i="7"/>
  <c r="D1811" i="6" s="1"/>
  <c r="G1809" i="7"/>
  <c r="H1809" i="7" s="1"/>
  <c r="J1808" i="7"/>
  <c r="D1810" i="6" s="1"/>
  <c r="G1808" i="7"/>
  <c r="H1808" i="7" s="1"/>
  <c r="J1807" i="7"/>
  <c r="D1809" i="6" s="1"/>
  <c r="G1807" i="7"/>
  <c r="H1807" i="7" s="1"/>
  <c r="J1806" i="7"/>
  <c r="D1808" i="6" s="1"/>
  <c r="G1806" i="7"/>
  <c r="H1806" i="7" s="1"/>
  <c r="J1805" i="7"/>
  <c r="D1807" i="6" s="1"/>
  <c r="G1805" i="7"/>
  <c r="H1805" i="7" s="1"/>
  <c r="J1804" i="7"/>
  <c r="D1806" i="6" s="1"/>
  <c r="G1804" i="7"/>
  <c r="H1804" i="7" s="1"/>
  <c r="J1803" i="7"/>
  <c r="D1805" i="6" s="1"/>
  <c r="G1803" i="7"/>
  <c r="H1803" i="7" s="1"/>
  <c r="J1802" i="7"/>
  <c r="D1804" i="6" s="1"/>
  <c r="G1802" i="7"/>
  <c r="H1802" i="7" s="1"/>
  <c r="J1801" i="7"/>
  <c r="D1803" i="6" s="1"/>
  <c r="G1801" i="7"/>
  <c r="H1801" i="7" s="1"/>
  <c r="J1800" i="7"/>
  <c r="D1802" i="6" s="1"/>
  <c r="G1800" i="7"/>
  <c r="H1800" i="7" s="1"/>
  <c r="J1799" i="7"/>
  <c r="D1801" i="6" s="1"/>
  <c r="G1799" i="7"/>
  <c r="H1799" i="7" s="1"/>
  <c r="J1798" i="7"/>
  <c r="D1800" i="6" s="1"/>
  <c r="G1798" i="7"/>
  <c r="H1798" i="7" s="1"/>
  <c r="G1797" i="7"/>
  <c r="H1797" i="7" s="1"/>
  <c r="J1797" i="7"/>
  <c r="D1799" i="6" s="1"/>
  <c r="G1796" i="7"/>
  <c r="H1796" i="7" s="1"/>
  <c r="J1796" i="7"/>
  <c r="D1798" i="6" s="1"/>
  <c r="G1795" i="7"/>
  <c r="H1795" i="7" s="1"/>
  <c r="J1795" i="7"/>
  <c r="D1797" i="6" s="1"/>
  <c r="G1794" i="7"/>
  <c r="H1794" i="7" s="1"/>
  <c r="J1794" i="7"/>
  <c r="D1796" i="6" s="1"/>
  <c r="G1793" i="7"/>
  <c r="H1793" i="7" s="1"/>
  <c r="J1793" i="7"/>
  <c r="D1795" i="6" s="1"/>
  <c r="J1792" i="7" l="1"/>
  <c r="D1794" i="6" s="1"/>
  <c r="G1792" i="7"/>
  <c r="H1792" i="7" s="1"/>
  <c r="J1791" i="7"/>
  <c r="D1793" i="6" s="1"/>
  <c r="G1791" i="7"/>
  <c r="H1791" i="7" s="1"/>
  <c r="J1790" i="7"/>
  <c r="D1792" i="6" s="1"/>
  <c r="G1790" i="7"/>
  <c r="H1790" i="7" s="1"/>
  <c r="J1789" i="7"/>
  <c r="D1791" i="6" s="1"/>
  <c r="G1789" i="7"/>
  <c r="H1789" i="7" s="1"/>
  <c r="J1788" i="7"/>
  <c r="D1790" i="6" s="1"/>
  <c r="G1788" i="7"/>
  <c r="H1788" i="7" s="1"/>
  <c r="J1787" i="7"/>
  <c r="D1789" i="6" s="1"/>
  <c r="G1787" i="7"/>
  <c r="H1787" i="7" s="1"/>
  <c r="J1786" i="7"/>
  <c r="D1788" i="6" s="1"/>
  <c r="G1786" i="7"/>
  <c r="H1786" i="7" s="1"/>
  <c r="J1785" i="7"/>
  <c r="D1787" i="6" s="1"/>
  <c r="G1785" i="7"/>
  <c r="H1785" i="7" s="1"/>
  <c r="J1784" i="7"/>
  <c r="D1786" i="6" s="1"/>
  <c r="G1784" i="7"/>
  <c r="H1784" i="7" s="1"/>
  <c r="J1783" i="7"/>
  <c r="D1785" i="6" s="1"/>
  <c r="G1783" i="7"/>
  <c r="H1783" i="7" s="1"/>
  <c r="J1782" i="7"/>
  <c r="D1784" i="6" s="1"/>
  <c r="G1782" i="7"/>
  <c r="H1782" i="7" s="1"/>
  <c r="J1781" i="7"/>
  <c r="D1783" i="6" s="1"/>
  <c r="G1781" i="7"/>
  <c r="H1781" i="7" s="1"/>
  <c r="J1780" i="7"/>
  <c r="D1782" i="6" s="1"/>
  <c r="G1780" i="7"/>
  <c r="H1780" i="7" s="1"/>
  <c r="J1779" i="7"/>
  <c r="D1781" i="6" s="1"/>
  <c r="G1779" i="7"/>
  <c r="H1779" i="7" s="1"/>
  <c r="J1778" i="7"/>
  <c r="D1780" i="6" s="1"/>
  <c r="G1778" i="7"/>
  <c r="H1778" i="7" s="1"/>
  <c r="J1777" i="7"/>
  <c r="D1779" i="6" s="1"/>
  <c r="G1777" i="7"/>
  <c r="H1777" i="7" s="1"/>
  <c r="J1776" i="7"/>
  <c r="D1778" i="6" s="1"/>
  <c r="G1776" i="7"/>
  <c r="H1776" i="7" s="1"/>
  <c r="J1775" i="7"/>
  <c r="D1777" i="6" s="1"/>
  <c r="G1775" i="7"/>
  <c r="H1775" i="7" s="1"/>
  <c r="J1774" i="7"/>
  <c r="D1776" i="6" s="1"/>
  <c r="G1774" i="7"/>
  <c r="H1774" i="7" s="1"/>
  <c r="J1773" i="7"/>
  <c r="D1775" i="6" s="1"/>
  <c r="G1773" i="7"/>
  <c r="H1773" i="7" s="1"/>
  <c r="J1772" i="7"/>
  <c r="D1774" i="6" s="1"/>
  <c r="G1772" i="7"/>
  <c r="H1772" i="7" s="1"/>
  <c r="J1771" i="7"/>
  <c r="D1773" i="6" s="1"/>
  <c r="G1771" i="7"/>
  <c r="H1771" i="7" s="1"/>
  <c r="J1770" i="7"/>
  <c r="D1772" i="6" s="1"/>
  <c r="G1770" i="7"/>
  <c r="H1770" i="7" s="1"/>
  <c r="J1769" i="7"/>
  <c r="D1771" i="6" s="1"/>
  <c r="G1769" i="7"/>
  <c r="H1769" i="7" s="1"/>
  <c r="J1768" i="7"/>
  <c r="D1770" i="6" s="1"/>
  <c r="G1768" i="7"/>
  <c r="H1768" i="7" s="1"/>
  <c r="J1767" i="7"/>
  <c r="D1769" i="6" s="1"/>
  <c r="G1767" i="7"/>
  <c r="H1767" i="7" s="1"/>
  <c r="J1766" i="7"/>
  <c r="D1768" i="6" s="1"/>
  <c r="G1766" i="7"/>
  <c r="H1766" i="7" s="1"/>
  <c r="J1765" i="7"/>
  <c r="D1767" i="6" s="1"/>
  <c r="G1765" i="7"/>
  <c r="H1765" i="7" s="1"/>
  <c r="J1764" i="7"/>
  <c r="D1766" i="6" s="1"/>
  <c r="G1764" i="7"/>
  <c r="H1764" i="7" s="1"/>
  <c r="J1763" i="7"/>
  <c r="D1765" i="6" s="1"/>
  <c r="G1763" i="7"/>
  <c r="H1763" i="7" s="1"/>
  <c r="J1762" i="7"/>
  <c r="D1764" i="6" s="1"/>
  <c r="G1762" i="7"/>
  <c r="H1762" i="7" s="1"/>
  <c r="G1761" i="7"/>
  <c r="H1761" i="7" s="1"/>
  <c r="J1761" i="7"/>
  <c r="D1763" i="6" s="1"/>
  <c r="G1760" i="7"/>
  <c r="H1760" i="7" s="1"/>
  <c r="J1760" i="7"/>
  <c r="D1762" i="6" s="1"/>
  <c r="G1759" i="7"/>
  <c r="H1759" i="7" s="1"/>
  <c r="J1759" i="7"/>
  <c r="D1761" i="6" s="1"/>
  <c r="G1758" i="7"/>
  <c r="H1758" i="7" s="1"/>
  <c r="J1758" i="7"/>
  <c r="D1760" i="6" s="1"/>
  <c r="G1757" i="7"/>
  <c r="H1757" i="7" s="1"/>
  <c r="J1757" i="7"/>
  <c r="D1759" i="6" s="1"/>
  <c r="G1756" i="7"/>
  <c r="H1756" i="7" s="1"/>
  <c r="J1756" i="7"/>
  <c r="D1758" i="6" s="1"/>
  <c r="G1755" i="7"/>
  <c r="H1755" i="7" s="1"/>
  <c r="J1755" i="7"/>
  <c r="D1757" i="6" s="1"/>
  <c r="G1754" i="7"/>
  <c r="H1754" i="7" s="1"/>
  <c r="J1754" i="7"/>
  <c r="D1756" i="6" s="1"/>
  <c r="E22" i="11" l="1"/>
  <c r="E14" i="11"/>
  <c r="E15" i="11"/>
  <c r="E16" i="11"/>
  <c r="E17" i="11"/>
  <c r="E18" i="11"/>
  <c r="E19" i="11"/>
  <c r="E20" i="11"/>
  <c r="E21" i="11"/>
  <c r="E3" i="11"/>
  <c r="E4" i="11"/>
  <c r="E5" i="11"/>
  <c r="E6" i="11"/>
  <c r="E7" i="11"/>
  <c r="E8" i="11"/>
  <c r="E9" i="11"/>
  <c r="E10" i="11"/>
  <c r="E11" i="11"/>
  <c r="E2" i="11"/>
  <c r="J1753" i="7"/>
  <c r="D1755" i="6" s="1"/>
  <c r="G1753" i="7"/>
  <c r="H1753" i="7" s="1"/>
  <c r="J1752" i="7"/>
  <c r="D1754" i="6" s="1"/>
  <c r="G1752" i="7"/>
  <c r="H1752" i="7" s="1"/>
  <c r="J1751" i="7"/>
  <c r="D1753" i="6" s="1"/>
  <c r="G1751" i="7"/>
  <c r="H1751" i="7" s="1"/>
  <c r="J1750" i="7"/>
  <c r="D1752" i="6" s="1"/>
  <c r="G1750" i="7"/>
  <c r="H1750" i="7" s="1"/>
  <c r="J1749" i="7"/>
  <c r="D1751" i="6" s="1"/>
  <c r="G1749" i="7"/>
  <c r="H1749" i="7" s="1"/>
  <c r="J1748" i="7"/>
  <c r="D1750" i="6" s="1"/>
  <c r="G1748" i="7"/>
  <c r="H1748" i="7" s="1"/>
  <c r="J1747" i="7"/>
  <c r="D1749" i="6" s="1"/>
  <c r="G1747" i="7"/>
  <c r="H1747" i="7" s="1"/>
  <c r="J1746" i="7"/>
  <c r="D1748" i="6" s="1"/>
  <c r="G1746" i="7"/>
  <c r="H1746" i="7" s="1"/>
  <c r="J1745" i="7"/>
  <c r="D1747" i="6" s="1"/>
  <c r="G1745" i="7"/>
  <c r="H1745" i="7" s="1"/>
  <c r="J1744" i="7"/>
  <c r="D1746" i="6" s="1"/>
  <c r="G1744" i="7"/>
  <c r="H1744" i="7" s="1"/>
  <c r="J1743" i="7"/>
  <c r="D1745" i="6" s="1"/>
  <c r="G1743" i="7"/>
  <c r="H1743" i="7" s="1"/>
  <c r="J1742" i="7"/>
  <c r="D1744" i="6" s="1"/>
  <c r="G1742" i="7"/>
  <c r="H1742" i="7" s="1"/>
  <c r="J1741" i="7"/>
  <c r="D1743" i="6" s="1"/>
  <c r="G1741" i="7"/>
  <c r="H1741" i="7" s="1"/>
  <c r="J1740" i="7"/>
  <c r="D1742" i="6" s="1"/>
  <c r="G1740" i="7"/>
  <c r="H1740" i="7" s="1"/>
  <c r="J1739" i="7"/>
  <c r="D1741" i="6" s="1"/>
  <c r="G1739" i="7"/>
  <c r="H1739" i="7" s="1"/>
  <c r="J1738" i="7"/>
  <c r="D1740" i="6" s="1"/>
  <c r="G1738" i="7"/>
  <c r="H1738" i="7" s="1"/>
  <c r="J1737" i="7"/>
  <c r="D1739" i="6" s="1"/>
  <c r="G1737" i="7"/>
  <c r="H1737" i="7" s="1"/>
  <c r="J1736" i="7"/>
  <c r="D1738" i="6" s="1"/>
  <c r="G1736" i="7"/>
  <c r="H1736" i="7" s="1"/>
  <c r="J1735" i="7"/>
  <c r="D1737" i="6" s="1"/>
  <c r="G1735" i="7"/>
  <c r="H1735" i="7" s="1"/>
  <c r="J1734" i="7"/>
  <c r="D1736" i="6" s="1"/>
  <c r="G1734" i="7"/>
  <c r="H1734" i="7" s="1"/>
  <c r="J1733" i="7"/>
  <c r="D1735" i="6" s="1"/>
  <c r="G1733" i="7"/>
  <c r="H1733" i="7" s="1"/>
  <c r="J1732" i="7"/>
  <c r="D1734" i="6" s="1"/>
  <c r="G1732" i="7"/>
  <c r="H1732" i="7" s="1"/>
  <c r="J1731" i="7"/>
  <c r="D1733" i="6" s="1"/>
  <c r="G1731" i="7"/>
  <c r="H1731" i="7" s="1"/>
  <c r="J1730" i="7"/>
  <c r="D1732" i="6" s="1"/>
  <c r="G1730" i="7"/>
  <c r="H1730" i="7" s="1"/>
  <c r="J1729" i="7"/>
  <c r="D1731" i="6" s="1"/>
  <c r="G1729" i="7"/>
  <c r="H1729" i="7" s="1"/>
  <c r="J1728" i="7"/>
  <c r="D1730" i="6" s="1"/>
  <c r="G1728" i="7"/>
  <c r="H1728" i="7" s="1"/>
  <c r="J1727" i="7"/>
  <c r="D1729" i="6" s="1"/>
  <c r="G1727" i="7"/>
  <c r="H1727" i="7" s="1"/>
  <c r="J1726" i="7"/>
  <c r="D1728" i="6" s="1"/>
  <c r="G1726" i="7"/>
  <c r="H1726" i="7" s="1"/>
  <c r="J1725" i="7"/>
  <c r="D1727" i="6" s="1"/>
  <c r="G1725" i="7"/>
  <c r="H1725" i="7" s="1"/>
  <c r="J1724" i="7"/>
  <c r="D1726" i="6" s="1"/>
  <c r="G1724" i="7"/>
  <c r="H1724" i="7" s="1"/>
  <c r="J1723" i="7"/>
  <c r="D1725" i="6" s="1"/>
  <c r="G1723" i="7"/>
  <c r="H1723" i="7" s="1"/>
  <c r="J1722" i="7"/>
  <c r="D1724" i="6" s="1"/>
  <c r="G1722" i="7"/>
  <c r="H1722" i="7" s="1"/>
  <c r="J1721" i="7"/>
  <c r="D1723" i="6" s="1"/>
  <c r="G1721" i="7"/>
  <c r="H1721" i="7" s="1"/>
  <c r="J1720" i="7"/>
  <c r="D1722" i="6" s="1"/>
  <c r="G1720" i="7"/>
  <c r="H1720" i="7" s="1"/>
  <c r="J1719" i="7"/>
  <c r="D1721" i="6" s="1"/>
  <c r="G1719" i="7"/>
  <c r="H1719" i="7" s="1"/>
  <c r="J1718" i="7"/>
  <c r="D1720" i="6" s="1"/>
  <c r="G1718" i="7"/>
  <c r="H1718" i="7" s="1"/>
  <c r="J1717" i="7"/>
  <c r="D1719" i="6" s="1"/>
  <c r="G1717" i="7"/>
  <c r="H1717" i="7" s="1"/>
  <c r="J1716" i="7"/>
  <c r="D1718" i="6" s="1"/>
  <c r="G1716" i="7"/>
  <c r="H1716" i="7" s="1"/>
  <c r="J1715" i="7"/>
  <c r="D1717" i="6" s="1"/>
  <c r="G1715" i="7"/>
  <c r="H1715" i="7" s="1"/>
  <c r="J1714" i="7"/>
  <c r="D1716" i="6" s="1"/>
  <c r="G1714" i="7"/>
  <c r="H1714" i="7" s="1"/>
  <c r="J1713" i="7"/>
  <c r="D1715" i="6" s="1"/>
  <c r="G1713" i="7"/>
  <c r="H1713" i="7" s="1"/>
  <c r="J1712" i="7"/>
  <c r="D1714" i="6" s="1"/>
  <c r="G1712" i="7"/>
  <c r="H1712" i="7" s="1"/>
  <c r="J1711" i="7"/>
  <c r="D1713" i="6" s="1"/>
  <c r="G1711" i="7"/>
  <c r="H1711" i="7" s="1"/>
  <c r="J1710" i="7"/>
  <c r="D1712" i="6" s="1"/>
  <c r="G1710" i="7"/>
  <c r="H1710" i="7" s="1"/>
  <c r="J1709" i="7"/>
  <c r="D1711" i="6" s="1"/>
  <c r="G1709" i="7"/>
  <c r="H1709" i="7" s="1"/>
  <c r="J1708" i="7"/>
  <c r="D1710" i="6" s="1"/>
  <c r="G1708" i="7"/>
  <c r="H1708" i="7" s="1"/>
  <c r="J1707" i="7"/>
  <c r="D1709" i="6" s="1"/>
  <c r="G1707" i="7"/>
  <c r="H1707" i="7" s="1"/>
  <c r="J1706" i="7"/>
  <c r="D1708" i="6" s="1"/>
  <c r="G1706" i="7"/>
  <c r="H1706" i="7" s="1"/>
  <c r="J1705" i="7"/>
  <c r="D1707" i="6" s="1"/>
  <c r="G1705" i="7"/>
  <c r="H1705" i="7" s="1"/>
  <c r="J1704" i="7"/>
  <c r="D1706" i="6" s="1"/>
  <c r="G1704" i="7"/>
  <c r="H1704" i="7" s="1"/>
  <c r="J1703" i="7"/>
  <c r="D1705" i="6" s="1"/>
  <c r="G1703" i="7"/>
  <c r="H1703" i="7" s="1"/>
  <c r="J1702" i="7"/>
  <c r="D1704" i="6" s="1"/>
  <c r="G1702" i="7"/>
  <c r="H1702" i="7" s="1"/>
  <c r="J1701" i="7"/>
  <c r="D1703" i="6" s="1"/>
  <c r="G1701" i="7"/>
  <c r="H1701" i="7" s="1"/>
  <c r="J1700" i="7"/>
  <c r="D1702" i="6" s="1"/>
  <c r="G1700" i="7"/>
  <c r="H1700" i="7" s="1"/>
  <c r="J1699" i="7"/>
  <c r="D1701" i="6" s="1"/>
  <c r="G1699" i="7"/>
  <c r="H1699" i="7" s="1"/>
  <c r="J1698" i="7"/>
  <c r="D1700" i="6" s="1"/>
  <c r="G1698" i="7"/>
  <c r="H1698" i="7" s="1"/>
  <c r="J1697" i="7"/>
  <c r="D1699" i="6" s="1"/>
  <c r="G1697" i="7"/>
  <c r="H1697" i="7" s="1"/>
  <c r="J1696" i="7"/>
  <c r="D1698" i="6" s="1"/>
  <c r="G1696" i="7"/>
  <c r="H1696" i="7" s="1"/>
  <c r="J1695" i="7"/>
  <c r="D1697" i="6" s="1"/>
  <c r="G1695" i="7"/>
  <c r="H1695" i="7" s="1"/>
  <c r="J1694" i="7"/>
  <c r="D1696" i="6" s="1"/>
  <c r="G1694" i="7"/>
  <c r="H1694" i="7" s="1"/>
  <c r="J1693" i="7"/>
  <c r="D1695" i="6" s="1"/>
  <c r="G1693" i="7"/>
  <c r="H1693" i="7" s="1"/>
  <c r="J1692" i="7"/>
  <c r="D1694" i="6" s="1"/>
  <c r="G1692" i="7"/>
  <c r="H1692" i="7" s="1"/>
  <c r="J1691" i="7"/>
  <c r="D1693" i="6" s="1"/>
  <c r="G1691" i="7"/>
  <c r="H1691" i="7" s="1"/>
  <c r="J1690" i="7"/>
  <c r="D1692" i="6" s="1"/>
  <c r="G1690" i="7"/>
  <c r="H1690" i="7" s="1"/>
  <c r="J1689" i="7"/>
  <c r="D1691" i="6" s="1"/>
  <c r="G1689" i="7"/>
  <c r="H1689" i="7" s="1"/>
  <c r="J1688" i="7"/>
  <c r="D1690" i="6" s="1"/>
  <c r="G1688" i="7"/>
  <c r="H1688" i="7" s="1"/>
  <c r="J1687" i="7"/>
  <c r="D1689" i="6" s="1"/>
  <c r="G1687" i="7"/>
  <c r="H1687" i="7" s="1"/>
  <c r="J1686" i="7"/>
  <c r="D1688" i="6" s="1"/>
  <c r="G1686" i="7"/>
  <c r="H1686" i="7" s="1"/>
  <c r="J1685" i="7"/>
  <c r="D1687" i="6" s="1"/>
  <c r="G1685" i="7"/>
  <c r="H1685" i="7" s="1"/>
  <c r="J1684" i="7"/>
  <c r="D1686" i="6" s="1"/>
  <c r="G1684" i="7"/>
  <c r="H1684" i="7" s="1"/>
  <c r="J1683" i="7"/>
  <c r="D1685" i="6" s="1"/>
  <c r="G1683" i="7"/>
  <c r="H1683" i="7" s="1"/>
  <c r="J1682" i="7"/>
  <c r="D1684" i="6" s="1"/>
  <c r="G1682" i="7"/>
  <c r="H1682" i="7" s="1"/>
  <c r="J1681" i="7"/>
  <c r="D1683" i="6" s="1"/>
  <c r="G1681" i="7"/>
  <c r="H1681" i="7" s="1"/>
  <c r="J1680" i="7"/>
  <c r="D1682" i="6" s="1"/>
  <c r="G1680" i="7"/>
  <c r="H1680" i="7" s="1"/>
  <c r="J1679" i="7"/>
  <c r="D1681" i="6" s="1"/>
  <c r="G1679" i="7"/>
  <c r="H1679" i="7" s="1"/>
  <c r="J1678" i="7"/>
  <c r="D1680" i="6" s="1"/>
  <c r="G1678" i="7"/>
  <c r="H1678" i="7" s="1"/>
  <c r="J1677" i="7"/>
  <c r="D1679" i="6" s="1"/>
  <c r="G1677" i="7"/>
  <c r="H1677" i="7" s="1"/>
  <c r="J1676" i="7"/>
  <c r="D1678" i="6" s="1"/>
  <c r="G1676" i="7"/>
  <c r="H1676" i="7" s="1"/>
  <c r="J1675" i="7"/>
  <c r="D1677" i="6" s="1"/>
  <c r="G1675" i="7"/>
  <c r="H1675" i="7" s="1"/>
  <c r="J1674" i="7"/>
  <c r="D1676" i="6" s="1"/>
  <c r="G1674" i="7"/>
  <c r="H1674" i="7" s="1"/>
  <c r="J1673" i="7"/>
  <c r="D1675" i="6" s="1"/>
  <c r="G1673" i="7"/>
  <c r="H1673" i="7" s="1"/>
  <c r="J1672" i="7"/>
  <c r="D1674" i="6" s="1"/>
  <c r="G1672" i="7"/>
  <c r="H1672" i="7" s="1"/>
  <c r="J1671" i="7"/>
  <c r="D1673" i="6" s="1"/>
  <c r="G1671" i="7"/>
  <c r="H1671" i="7" s="1"/>
  <c r="J1670" i="7"/>
  <c r="D1672" i="6" s="1"/>
  <c r="G1670" i="7"/>
  <c r="H1670" i="7" s="1"/>
  <c r="J1669" i="7"/>
  <c r="D1671" i="6" s="1"/>
  <c r="G1669" i="7"/>
  <c r="H1669" i="7" s="1"/>
  <c r="J1668" i="7"/>
  <c r="D1670" i="6" s="1"/>
  <c r="G1668" i="7"/>
  <c r="H1668" i="7" s="1"/>
  <c r="J1667" i="7"/>
  <c r="D1669" i="6" s="1"/>
  <c r="G1667" i="7"/>
  <c r="H1667" i="7" s="1"/>
  <c r="J1666" i="7"/>
  <c r="D1668" i="6" s="1"/>
  <c r="G1666" i="7"/>
  <c r="H1666" i="7" s="1"/>
  <c r="J1665" i="7"/>
  <c r="D1667" i="6" s="1"/>
  <c r="G1665" i="7"/>
  <c r="H1665" i="7" s="1"/>
  <c r="J1664" i="7"/>
  <c r="D1666" i="6" s="1"/>
  <c r="G1664" i="7"/>
  <c r="H1664" i="7" s="1"/>
  <c r="J1663" i="7"/>
  <c r="D1665" i="6" s="1"/>
  <c r="G1663" i="7"/>
  <c r="H1663" i="7" s="1"/>
  <c r="J1662" i="7"/>
  <c r="D1664" i="6" s="1"/>
  <c r="G1662" i="7"/>
  <c r="H1662" i="7" s="1"/>
  <c r="J1661" i="7"/>
  <c r="D1663" i="6" s="1"/>
  <c r="G1661" i="7"/>
  <c r="H1661" i="7" s="1"/>
  <c r="J1660" i="7"/>
  <c r="D1662" i="6" s="1"/>
  <c r="G1660" i="7"/>
  <c r="H1660" i="7" s="1"/>
  <c r="J1659" i="7"/>
  <c r="D1661" i="6" s="1"/>
  <c r="G1659" i="7"/>
  <c r="H1659" i="7" s="1"/>
  <c r="J1658" i="7"/>
  <c r="D1660" i="6" s="1"/>
  <c r="G1658" i="7"/>
  <c r="H1658" i="7" s="1"/>
  <c r="J1657" i="7"/>
  <c r="D1659" i="6" s="1"/>
  <c r="G1657" i="7"/>
  <c r="H1657" i="7" s="1"/>
  <c r="J1656" i="7"/>
  <c r="D1658" i="6" s="1"/>
  <c r="G1656" i="7"/>
  <c r="H1656" i="7" s="1"/>
  <c r="J1655" i="7"/>
  <c r="D1657" i="6" s="1"/>
  <c r="G1655" i="7"/>
  <c r="H1655" i="7" s="1"/>
  <c r="J1654" i="7"/>
  <c r="D1656" i="6" s="1"/>
  <c r="G1654" i="7"/>
  <c r="H1654" i="7" s="1"/>
  <c r="J1653" i="7"/>
  <c r="D1655" i="6" s="1"/>
  <c r="G1653" i="7"/>
  <c r="H1653" i="7" s="1"/>
  <c r="J1652" i="7"/>
  <c r="D1654" i="6" s="1"/>
  <c r="G1652" i="7"/>
  <c r="H1652" i="7" s="1"/>
  <c r="J1651" i="7"/>
  <c r="D1653" i="6" s="1"/>
  <c r="G1651" i="7"/>
  <c r="H1651" i="7" s="1"/>
  <c r="J1650" i="7"/>
  <c r="D1652" i="6" s="1"/>
  <c r="G1650" i="7"/>
  <c r="H1650" i="7" s="1"/>
  <c r="J1649" i="7"/>
  <c r="D1651" i="6" s="1"/>
  <c r="G1649" i="7"/>
  <c r="H1649" i="7" s="1"/>
  <c r="J1648" i="7"/>
  <c r="D1650" i="6" s="1"/>
  <c r="G1648" i="7"/>
  <c r="H1648" i="7" s="1"/>
  <c r="J1647" i="7"/>
  <c r="D1649" i="6" s="1"/>
  <c r="G1647" i="7"/>
  <c r="H1647" i="7" s="1"/>
  <c r="J1646" i="7"/>
  <c r="D1648" i="6" s="1"/>
  <c r="G1646" i="7"/>
  <c r="H1646" i="7" s="1"/>
  <c r="J1645" i="7"/>
  <c r="D1647" i="6" s="1"/>
  <c r="G1645" i="7"/>
  <c r="H1645" i="7" s="1"/>
  <c r="J1644" i="7"/>
  <c r="D1646" i="6" s="1"/>
  <c r="G1644" i="7"/>
  <c r="H1644" i="7" s="1"/>
  <c r="J1643" i="7"/>
  <c r="D1645" i="6" s="1"/>
  <c r="G1643" i="7"/>
  <c r="H1643" i="7" s="1"/>
  <c r="J1642" i="7"/>
  <c r="D1644" i="6" s="1"/>
  <c r="G1642" i="7"/>
  <c r="H1642" i="7" s="1"/>
  <c r="J1641" i="7"/>
  <c r="D1643" i="6" s="1"/>
  <c r="G1641" i="7"/>
  <c r="H1641" i="7" s="1"/>
  <c r="J1640" i="7"/>
  <c r="D1642" i="6" s="1"/>
  <c r="G1640" i="7"/>
  <c r="H1640" i="7" s="1"/>
  <c r="J1639" i="7"/>
  <c r="D1641" i="6" s="1"/>
  <c r="G1639" i="7"/>
  <c r="H1639" i="7" s="1"/>
  <c r="J1638" i="7"/>
  <c r="D1640" i="6" s="1"/>
  <c r="G1638" i="7"/>
  <c r="H1638" i="7" s="1"/>
  <c r="J1637" i="7"/>
  <c r="D1639" i="6" s="1"/>
  <c r="G1637" i="7"/>
  <c r="H1637" i="7" s="1"/>
  <c r="J1636" i="7"/>
  <c r="D1638" i="6" s="1"/>
  <c r="G1636" i="7"/>
  <c r="H1636" i="7" s="1"/>
  <c r="J1635" i="7"/>
  <c r="D1637" i="6" s="1"/>
  <c r="G1635" i="7"/>
  <c r="H1635" i="7" s="1"/>
  <c r="J1634" i="7"/>
  <c r="D1636" i="6" s="1"/>
  <c r="G1634" i="7"/>
  <c r="H1634" i="7" s="1"/>
  <c r="J1633" i="7"/>
  <c r="D1635" i="6" s="1"/>
  <c r="G1633" i="7"/>
  <c r="H1633" i="7" s="1"/>
  <c r="J1632" i="7"/>
  <c r="D1634" i="6" s="1"/>
  <c r="G1632" i="7"/>
  <c r="H1632" i="7" s="1"/>
  <c r="J1631" i="7"/>
  <c r="D1633" i="6" s="1"/>
  <c r="G1631" i="7"/>
  <c r="H1631" i="7" s="1"/>
  <c r="J1630" i="7"/>
  <c r="D1632" i="6" s="1"/>
  <c r="G1630" i="7"/>
  <c r="H1630" i="7" s="1"/>
  <c r="J1629" i="7"/>
  <c r="D1631" i="6" s="1"/>
  <c r="G1629" i="7"/>
  <c r="H1629" i="7" s="1"/>
  <c r="J1628" i="7"/>
  <c r="D1630" i="6" s="1"/>
  <c r="G1628" i="7"/>
  <c r="H1628" i="7" s="1"/>
  <c r="J1627" i="7"/>
  <c r="D1629" i="6" s="1"/>
  <c r="G1627" i="7"/>
  <c r="H1627" i="7" s="1"/>
  <c r="J1626" i="7"/>
  <c r="D1628" i="6" s="1"/>
  <c r="G1626" i="7"/>
  <c r="H1626" i="7" s="1"/>
  <c r="J1625" i="7"/>
  <c r="D1627" i="6" s="1"/>
  <c r="G1625" i="7"/>
  <c r="H1625" i="7" s="1"/>
  <c r="J1624" i="7"/>
  <c r="D1626" i="6" s="1"/>
  <c r="G1624" i="7"/>
  <c r="H1624" i="7" s="1"/>
  <c r="J1623" i="7"/>
  <c r="D1625" i="6" s="1"/>
  <c r="G1623" i="7"/>
  <c r="H1623" i="7" s="1"/>
  <c r="J1622" i="7"/>
  <c r="D1624" i="6" s="1"/>
  <c r="G1622" i="7"/>
  <c r="H1622" i="7" s="1"/>
  <c r="J1621" i="7"/>
  <c r="D1623" i="6" s="1"/>
  <c r="G1621" i="7"/>
  <c r="H1621" i="7" s="1"/>
  <c r="J1620" i="7"/>
  <c r="D1622" i="6" s="1"/>
  <c r="G1620" i="7"/>
  <c r="H1620" i="7" s="1"/>
  <c r="J1619" i="7"/>
  <c r="D1621" i="6" s="1"/>
  <c r="G1619" i="7"/>
  <c r="H1619" i="7" s="1"/>
  <c r="J1618" i="7"/>
  <c r="D1620" i="6" s="1"/>
  <c r="G1618" i="7"/>
  <c r="H1618" i="7" s="1"/>
  <c r="J1617" i="7"/>
  <c r="D1619" i="6" s="1"/>
  <c r="G1617" i="7"/>
  <c r="H1617" i="7" s="1"/>
  <c r="B16" i="10"/>
  <c r="B15" i="10"/>
  <c r="B13" i="10"/>
  <c r="B12" i="10"/>
  <c r="B11" i="10"/>
  <c r="B10" i="10"/>
  <c r="B9" i="10"/>
  <c r="B8" i="10"/>
  <c r="B7" i="10"/>
  <c r="B6" i="10"/>
  <c r="G1616" i="7" l="1"/>
  <c r="H1616" i="7" s="1"/>
  <c r="J1616" i="7"/>
  <c r="D1618" i="6" s="1"/>
  <c r="G1615" i="7"/>
  <c r="H1615" i="7" s="1"/>
  <c r="J1615" i="7"/>
  <c r="D1617" i="6" s="1"/>
  <c r="G1614" i="7"/>
  <c r="H1614" i="7" s="1"/>
  <c r="J1614" i="7"/>
  <c r="D1616" i="6" s="1"/>
  <c r="G1613" i="7"/>
  <c r="H1613" i="7" s="1"/>
  <c r="J1613" i="7"/>
  <c r="D1615" i="6" s="1"/>
  <c r="G1612" i="7"/>
  <c r="H1612" i="7" s="1"/>
  <c r="J1612" i="7"/>
  <c r="D1614" i="6" s="1"/>
  <c r="G1611" i="7"/>
  <c r="H1611" i="7" s="1"/>
  <c r="J1611" i="7"/>
  <c r="D1613" i="6" s="1"/>
  <c r="B2" i="10"/>
  <c r="B1" i="1" s="1"/>
  <c r="B4" i="10"/>
  <c r="J1610" i="7"/>
  <c r="D1612" i="6" s="1"/>
  <c r="G1610" i="7"/>
  <c r="H1610" i="7" s="1"/>
  <c r="J1609" i="7"/>
  <c r="D1611" i="6" s="1"/>
  <c r="G1609" i="7"/>
  <c r="H1609" i="7" s="1"/>
  <c r="J1608" i="7"/>
  <c r="D1610" i="6" s="1"/>
  <c r="G1608" i="7"/>
  <c r="H1608" i="7" s="1"/>
  <c r="J1607" i="7"/>
  <c r="D1609" i="6" s="1"/>
  <c r="G1607" i="7"/>
  <c r="H1607" i="7" s="1"/>
  <c r="J1606" i="7"/>
  <c r="D1608" i="6" s="1"/>
  <c r="G1606" i="7"/>
  <c r="H1606" i="7" s="1"/>
  <c r="J1605" i="7"/>
  <c r="D1607" i="6" s="1"/>
  <c r="G1605" i="7"/>
  <c r="H1605" i="7" s="1"/>
  <c r="J1604" i="7"/>
  <c r="D1606" i="6" s="1"/>
  <c r="G1604" i="7"/>
  <c r="H1604" i="7" s="1"/>
  <c r="J1603" i="7"/>
  <c r="D1605" i="6" s="1"/>
  <c r="G1603" i="7"/>
  <c r="H1603" i="7" s="1"/>
  <c r="J1602" i="7"/>
  <c r="D1604" i="6" s="1"/>
  <c r="G1602" i="7"/>
  <c r="H1602" i="7" s="1"/>
  <c r="J1601" i="7"/>
  <c r="D1603" i="6" s="1"/>
  <c r="G1601" i="7"/>
  <c r="H1601" i="7" s="1"/>
  <c r="J1600" i="7"/>
  <c r="D1602" i="6" s="1"/>
  <c r="G1600" i="7"/>
  <c r="H1600" i="7" s="1"/>
  <c r="J1599" i="7"/>
  <c r="D1601" i="6" s="1"/>
  <c r="G1599" i="7"/>
  <c r="H1599" i="7" s="1"/>
  <c r="J1598" i="7"/>
  <c r="D1600" i="6" s="1"/>
  <c r="G1598" i="7"/>
  <c r="H1598" i="7" s="1"/>
  <c r="J1597" i="7"/>
  <c r="D1599" i="6" s="1"/>
  <c r="G1597" i="7"/>
  <c r="H1597" i="7" s="1"/>
  <c r="J1596" i="7"/>
  <c r="D1598" i="6" s="1"/>
  <c r="G1596" i="7"/>
  <c r="H1596" i="7" s="1"/>
  <c r="J1595" i="7"/>
  <c r="D1597" i="6" s="1"/>
  <c r="G1595" i="7"/>
  <c r="H1595" i="7" s="1"/>
  <c r="J1594" i="7"/>
  <c r="D1596" i="6" s="1"/>
  <c r="G1594" i="7"/>
  <c r="H1594" i="7" s="1"/>
  <c r="J1593" i="7"/>
  <c r="D1595" i="6" s="1"/>
  <c r="G1593" i="7"/>
  <c r="H1593" i="7" s="1"/>
  <c r="J1592" i="7"/>
  <c r="D1594" i="6" s="1"/>
  <c r="G1592" i="7"/>
  <c r="H1592" i="7" s="1"/>
  <c r="J1591" i="7"/>
  <c r="D1593" i="6" s="1"/>
  <c r="G1591" i="7"/>
  <c r="H1591" i="7" s="1"/>
  <c r="J1590" i="7"/>
  <c r="D1592" i="6" s="1"/>
  <c r="G1590" i="7"/>
  <c r="H1590" i="7" s="1"/>
  <c r="J1589" i="7"/>
  <c r="D1591" i="6" s="1"/>
  <c r="G1589" i="7"/>
  <c r="H1589" i="7" s="1"/>
  <c r="J1588" i="7"/>
  <c r="D1590" i="6" s="1"/>
  <c r="G1588" i="7"/>
  <c r="H1588" i="7" s="1"/>
  <c r="J1587" i="7"/>
  <c r="D1589" i="6" s="1"/>
  <c r="G1587" i="7"/>
  <c r="H1587" i="7" s="1"/>
  <c r="J1586" i="7"/>
  <c r="D1588" i="6" s="1"/>
  <c r="G1586" i="7"/>
  <c r="H1586" i="7" s="1"/>
  <c r="J1585" i="7"/>
  <c r="D1587" i="6" s="1"/>
  <c r="G1585" i="7"/>
  <c r="H1585" i="7" s="1"/>
  <c r="J1584" i="7"/>
  <c r="D1586" i="6" s="1"/>
  <c r="G1584" i="7"/>
  <c r="H1584" i="7" s="1"/>
  <c r="J1583" i="7"/>
  <c r="D1585" i="6" s="1"/>
  <c r="G1583" i="7"/>
  <c r="H1583" i="7" s="1"/>
  <c r="J1582" i="7"/>
  <c r="D1584" i="6" s="1"/>
  <c r="G1582" i="7"/>
  <c r="H1582" i="7" s="1"/>
  <c r="J1581" i="7"/>
  <c r="D1583" i="6" s="1"/>
  <c r="G1581" i="7"/>
  <c r="H1581" i="7" s="1"/>
  <c r="J1580" i="7"/>
  <c r="D1582" i="6" s="1"/>
  <c r="G1580" i="7"/>
  <c r="H1580" i="7" s="1"/>
  <c r="J1579" i="7"/>
  <c r="D1581" i="6" s="1"/>
  <c r="G1579" i="7"/>
  <c r="H1579" i="7" s="1"/>
  <c r="J1578" i="7"/>
  <c r="D1580" i="6" s="1"/>
  <c r="G1578" i="7"/>
  <c r="H1578" i="7" s="1"/>
  <c r="J1577" i="7"/>
  <c r="D1579" i="6" s="1"/>
  <c r="G1577" i="7"/>
  <c r="H1577" i="7" s="1"/>
  <c r="J1576" i="7"/>
  <c r="D1578" i="6" s="1"/>
  <c r="G1576" i="7"/>
  <c r="H1576" i="7" s="1"/>
  <c r="J1575" i="7"/>
  <c r="D1577" i="6" s="1"/>
  <c r="G1575" i="7"/>
  <c r="H1575" i="7" s="1"/>
  <c r="J1574" i="7"/>
  <c r="D1576" i="6" s="1"/>
  <c r="G1574" i="7"/>
  <c r="H1574" i="7" s="1"/>
  <c r="J1573" i="7"/>
  <c r="D1575" i="6" s="1"/>
  <c r="G1573" i="7"/>
  <c r="H1573" i="7" s="1"/>
  <c r="J1572" i="7"/>
  <c r="D1574" i="6" s="1"/>
  <c r="G1572" i="7"/>
  <c r="H1572" i="7" s="1"/>
  <c r="J1571" i="7"/>
  <c r="D1573" i="6" s="1"/>
  <c r="G1571" i="7"/>
  <c r="H1571" i="7" s="1"/>
  <c r="J1570" i="7"/>
  <c r="D1572" i="6" s="1"/>
  <c r="G1570" i="7"/>
  <c r="H1570" i="7" s="1"/>
  <c r="J1569" i="7"/>
  <c r="D1571" i="6" s="1"/>
  <c r="G1569" i="7"/>
  <c r="H1569" i="7" s="1"/>
  <c r="J1568" i="7"/>
  <c r="D1570" i="6" s="1"/>
  <c r="G1568" i="7"/>
  <c r="H1568" i="7" s="1"/>
  <c r="J1567" i="7"/>
  <c r="D1569" i="6" s="1"/>
  <c r="G1567" i="7"/>
  <c r="H1567" i="7" s="1"/>
  <c r="J1566" i="7"/>
  <c r="D1568" i="6" s="1"/>
  <c r="G1566" i="7"/>
  <c r="H1566" i="7" s="1"/>
  <c r="J1565" i="7"/>
  <c r="D1567" i="6" s="1"/>
  <c r="G1565" i="7"/>
  <c r="H1565" i="7" s="1"/>
  <c r="J1564" i="7"/>
  <c r="D1566" i="6" s="1"/>
  <c r="G1564" i="7"/>
  <c r="H1564" i="7" s="1"/>
  <c r="J1563" i="7"/>
  <c r="D1565" i="6" s="1"/>
  <c r="G1563" i="7"/>
  <c r="H1563" i="7" s="1"/>
  <c r="J1562" i="7"/>
  <c r="D1564" i="6" s="1"/>
  <c r="G1562" i="7"/>
  <c r="H1562" i="7" s="1"/>
  <c r="J1561" i="7"/>
  <c r="D1563" i="6" s="1"/>
  <c r="G1561" i="7"/>
  <c r="H1561" i="7" s="1"/>
  <c r="J1560" i="7"/>
  <c r="D1562" i="6" s="1"/>
  <c r="G1560" i="7"/>
  <c r="H1560" i="7" s="1"/>
  <c r="J1559" i="7"/>
  <c r="D1561" i="6" s="1"/>
  <c r="G1559" i="7"/>
  <c r="H1559" i="7" s="1"/>
  <c r="J1558" i="7"/>
  <c r="D1560" i="6" s="1"/>
  <c r="G1558" i="7"/>
  <c r="H1558" i="7" s="1"/>
  <c r="J1557" i="7"/>
  <c r="D1559" i="6" s="1"/>
  <c r="G1557" i="7"/>
  <c r="H1557" i="7" s="1"/>
  <c r="J1556" i="7"/>
  <c r="D1558" i="6" s="1"/>
  <c r="G1556" i="7"/>
  <c r="H1556" i="7" s="1"/>
  <c r="G1555" i="7"/>
  <c r="H1555" i="7" s="1"/>
  <c r="J1555" i="7"/>
  <c r="D1557" i="6" s="1"/>
  <c r="G1554" i="7"/>
  <c r="H1554" i="7" s="1"/>
  <c r="J1554" i="7"/>
  <c r="D1556" i="6" s="1"/>
  <c r="G1553" i="7"/>
  <c r="H1553" i="7" s="1"/>
  <c r="J1553" i="7"/>
  <c r="D1555" i="6" s="1"/>
  <c r="J1552" i="7"/>
  <c r="D1554" i="6" s="1"/>
  <c r="G1552" i="7"/>
  <c r="H1552" i="7" s="1"/>
  <c r="J1551" i="7"/>
  <c r="D1553" i="6" s="1"/>
  <c r="G1551" i="7"/>
  <c r="H1551" i="7" s="1"/>
  <c r="J1550" i="7"/>
  <c r="D1552" i="6" s="1"/>
  <c r="G1550" i="7"/>
  <c r="H1550" i="7" s="1"/>
  <c r="J1549" i="7"/>
  <c r="D1551" i="6" s="1"/>
  <c r="G1549" i="7"/>
  <c r="H1549" i="7" s="1"/>
  <c r="J1548" i="7"/>
  <c r="D1550" i="6" s="1"/>
  <c r="G1548" i="7"/>
  <c r="H1548" i="7" s="1"/>
  <c r="J1547" i="7"/>
  <c r="D1549" i="6" s="1"/>
  <c r="G1547" i="7"/>
  <c r="H1547" i="7" s="1"/>
  <c r="J1546" i="7"/>
  <c r="D1548" i="6" s="1"/>
  <c r="G1546" i="7"/>
  <c r="H1546" i="7" s="1"/>
  <c r="J1545" i="7"/>
  <c r="D1547" i="6" s="1"/>
  <c r="G1545" i="7"/>
  <c r="H1545" i="7" s="1"/>
  <c r="J1544" i="7"/>
  <c r="D1546" i="6" s="1"/>
  <c r="G1544" i="7"/>
  <c r="H1544" i="7" s="1"/>
  <c r="J1543" i="7"/>
  <c r="D1545" i="6" s="1"/>
  <c r="G1543" i="7"/>
  <c r="H1543" i="7" s="1"/>
  <c r="J1542" i="7"/>
  <c r="D1544" i="6" s="1"/>
  <c r="G1542" i="7"/>
  <c r="H1542" i="7" s="1"/>
  <c r="J1541" i="7"/>
  <c r="D1543" i="6" s="1"/>
  <c r="G1541" i="7"/>
  <c r="H1541" i="7" s="1"/>
  <c r="J1540" i="7"/>
  <c r="D1542" i="6" s="1"/>
  <c r="G1540" i="7"/>
  <c r="H1540" i="7" s="1"/>
  <c r="J1539" i="7"/>
  <c r="D1541" i="6" s="1"/>
  <c r="G1539" i="7"/>
  <c r="H1539" i="7" s="1"/>
  <c r="J1538" i="7"/>
  <c r="D1540" i="6" s="1"/>
  <c r="G1538" i="7"/>
  <c r="H1538" i="7" s="1"/>
  <c r="J1537" i="7"/>
  <c r="D1539" i="6" s="1"/>
  <c r="G1537" i="7"/>
  <c r="H1537" i="7" s="1"/>
  <c r="J1536" i="7"/>
  <c r="D1538" i="6" s="1"/>
  <c r="G1536" i="7"/>
  <c r="H1536" i="7" s="1"/>
  <c r="J1535" i="7"/>
  <c r="D1537" i="6" s="1"/>
  <c r="G1535" i="7"/>
  <c r="H1535" i="7" s="1"/>
  <c r="J1534" i="7"/>
  <c r="D1536" i="6" s="1"/>
  <c r="G1534" i="7"/>
  <c r="H1534" i="7" s="1"/>
  <c r="J1533" i="7"/>
  <c r="D1535" i="6" s="1"/>
  <c r="G1533" i="7"/>
  <c r="H1533" i="7" s="1"/>
  <c r="J1532" i="7"/>
  <c r="D1534" i="6" s="1"/>
  <c r="G1532" i="7"/>
  <c r="H1532" i="7" s="1"/>
  <c r="J1531" i="7"/>
  <c r="D1533" i="6" s="1"/>
  <c r="G1531" i="7"/>
  <c r="H1531" i="7" s="1"/>
  <c r="J1530" i="7"/>
  <c r="D1532" i="6" s="1"/>
  <c r="G1530" i="7"/>
  <c r="H1530" i="7" s="1"/>
  <c r="J1529" i="7"/>
  <c r="D1531" i="6" s="1"/>
  <c r="G1529" i="7"/>
  <c r="H1529" i="7" s="1"/>
  <c r="J1528" i="7"/>
  <c r="D1530" i="6" s="1"/>
  <c r="G1528" i="7"/>
  <c r="H1528" i="7" s="1"/>
  <c r="J1527" i="7"/>
  <c r="D1529" i="6" s="1"/>
  <c r="G1527" i="7"/>
  <c r="H1527" i="7" s="1"/>
  <c r="J1526" i="7"/>
  <c r="D1528" i="6" s="1"/>
  <c r="G1526" i="7"/>
  <c r="H1526" i="7" s="1"/>
  <c r="J1525" i="7"/>
  <c r="D1527" i="6" s="1"/>
  <c r="G1525" i="7"/>
  <c r="H1525" i="7" s="1"/>
  <c r="J1524" i="7"/>
  <c r="D1526" i="6" s="1"/>
  <c r="G1524" i="7"/>
  <c r="H1524" i="7" s="1"/>
  <c r="J1523" i="7"/>
  <c r="D1525" i="6" s="1"/>
  <c r="G1523" i="7"/>
  <c r="H1523" i="7" s="1"/>
  <c r="J1522" i="7"/>
  <c r="D1524" i="6" s="1"/>
  <c r="G1522" i="7"/>
  <c r="H1522" i="7" s="1"/>
  <c r="J1521" i="7"/>
  <c r="D1523" i="6" s="1"/>
  <c r="G1521" i="7"/>
  <c r="H1521" i="7" s="1"/>
  <c r="J1520" i="7"/>
  <c r="D1522" i="6" s="1"/>
  <c r="G1520" i="7"/>
  <c r="H1520" i="7" s="1"/>
  <c r="J1519" i="7"/>
  <c r="D1521" i="6" s="1"/>
  <c r="G1519" i="7"/>
  <c r="H1519" i="7" s="1"/>
  <c r="J1518" i="7"/>
  <c r="D1520" i="6" s="1"/>
  <c r="G1518" i="7"/>
  <c r="H1518" i="7" s="1"/>
  <c r="J1517" i="7"/>
  <c r="D1519" i="6" s="1"/>
  <c r="G1517" i="7"/>
  <c r="H1517" i="7" s="1"/>
  <c r="J1516" i="7"/>
  <c r="D1518" i="6" s="1"/>
  <c r="G1516" i="7"/>
  <c r="H1516" i="7" s="1"/>
  <c r="J1515" i="7"/>
  <c r="D1517" i="6" s="1"/>
  <c r="G1515" i="7"/>
  <c r="H1515" i="7" s="1"/>
  <c r="J1514" i="7"/>
  <c r="D1516" i="6" s="1"/>
  <c r="G1514" i="7"/>
  <c r="H1514" i="7" s="1"/>
  <c r="J1513" i="7"/>
  <c r="D1515" i="6" s="1"/>
  <c r="G1513" i="7"/>
  <c r="H1513" i="7" s="1"/>
  <c r="J1512" i="7"/>
  <c r="D1514" i="6" s="1"/>
  <c r="G1512" i="7"/>
  <c r="H1512" i="7" s="1"/>
  <c r="J1511" i="7"/>
  <c r="D1513" i="6" s="1"/>
  <c r="G1511" i="7"/>
  <c r="H1511" i="7" s="1"/>
  <c r="J1510" i="7"/>
  <c r="D1512" i="6" s="1"/>
  <c r="G1510" i="7"/>
  <c r="H1510" i="7" s="1"/>
  <c r="J1509" i="7"/>
  <c r="D1511" i="6" s="1"/>
  <c r="G1509" i="7"/>
  <c r="H1509" i="7" s="1"/>
  <c r="J1508" i="7"/>
  <c r="D1510" i="6" s="1"/>
  <c r="G1508" i="7"/>
  <c r="H1508" i="7" s="1"/>
  <c r="J1507" i="7"/>
  <c r="D1509" i="6" s="1"/>
  <c r="G1507" i="7"/>
  <c r="H1507" i="7" s="1"/>
  <c r="J1506" i="7"/>
  <c r="D1508" i="6" s="1"/>
  <c r="G1506" i="7"/>
  <c r="H1506" i="7" s="1"/>
  <c r="J1505" i="7"/>
  <c r="D1507" i="6" s="1"/>
  <c r="G1505" i="7"/>
  <c r="H1505" i="7" s="1"/>
  <c r="J1504" i="7"/>
  <c r="D1506" i="6" s="1"/>
  <c r="G1504" i="7"/>
  <c r="H1504" i="7" s="1"/>
  <c r="J1503" i="7"/>
  <c r="D1505" i="6" s="1"/>
  <c r="G1503" i="7"/>
  <c r="H1503" i="7" s="1"/>
  <c r="J1502" i="7"/>
  <c r="D1504" i="6" s="1"/>
  <c r="G1502" i="7"/>
  <c r="H1502" i="7" s="1"/>
  <c r="J1501" i="7"/>
  <c r="D1503" i="6" s="1"/>
  <c r="G1501" i="7"/>
  <c r="H1501" i="7" s="1"/>
  <c r="J1500" i="7"/>
  <c r="D1502" i="6" s="1"/>
  <c r="G1500" i="7"/>
  <c r="H1500" i="7" s="1"/>
  <c r="J1499" i="7"/>
  <c r="D1501" i="6" s="1"/>
  <c r="G1499" i="7"/>
  <c r="H1499" i="7" s="1"/>
  <c r="J1498" i="7"/>
  <c r="D1500" i="6" s="1"/>
  <c r="G1498" i="7"/>
  <c r="H1498" i="7" s="1"/>
  <c r="J1497" i="7"/>
  <c r="D1499" i="6" s="1"/>
  <c r="G1497" i="7"/>
  <c r="H1497" i="7" s="1"/>
  <c r="J1496" i="7"/>
  <c r="D1498" i="6" s="1"/>
  <c r="G1496" i="7"/>
  <c r="H1496" i="7" s="1"/>
  <c r="J1495" i="7"/>
  <c r="D1497" i="6" s="1"/>
  <c r="G1495" i="7"/>
  <c r="H1495" i="7" s="1"/>
  <c r="J1494" i="7"/>
  <c r="D1496" i="6" s="1"/>
  <c r="G1494" i="7"/>
  <c r="H1494" i="7" s="1"/>
  <c r="J1493" i="7"/>
  <c r="D1495" i="6" s="1"/>
  <c r="G1493" i="7"/>
  <c r="H1493" i="7" s="1"/>
  <c r="J1492" i="7"/>
  <c r="D1494" i="6" s="1"/>
  <c r="G1492" i="7"/>
  <c r="H1492" i="7" s="1"/>
  <c r="J1491" i="7"/>
  <c r="D1493" i="6" s="1"/>
  <c r="G1491" i="7"/>
  <c r="H1491" i="7" s="1"/>
  <c r="J1490" i="7"/>
  <c r="D1492" i="6" s="1"/>
  <c r="G1490" i="7"/>
  <c r="H1490" i="7" s="1"/>
  <c r="G1489" i="7"/>
  <c r="H1489" i="7" s="1"/>
  <c r="J1489" i="7"/>
  <c r="D1491" i="6" s="1"/>
  <c r="G1488" i="7"/>
  <c r="H1488" i="7" s="1"/>
  <c r="J1488" i="7"/>
  <c r="D1490" i="6" s="1"/>
  <c r="G1487" i="7"/>
  <c r="H1487" i="7" s="1"/>
  <c r="J1487" i="7"/>
  <c r="D1489" i="6" s="1"/>
  <c r="J1486" i="7"/>
  <c r="D1488" i="6" s="1"/>
  <c r="G1486" i="7"/>
  <c r="H1486" i="7" s="1"/>
  <c r="J1485" i="7"/>
  <c r="D1487" i="6" s="1"/>
  <c r="G1485" i="7"/>
  <c r="H1485" i="7" s="1"/>
  <c r="J1484" i="7"/>
  <c r="D1486" i="6" s="1"/>
  <c r="G1484" i="7"/>
  <c r="H1484" i="7" s="1"/>
  <c r="J1483" i="7"/>
  <c r="D1485" i="6" s="1"/>
  <c r="G1483" i="7"/>
  <c r="H1483" i="7" s="1"/>
  <c r="J1482" i="7"/>
  <c r="D1484" i="6" s="1"/>
  <c r="G1482" i="7"/>
  <c r="H1482" i="7" s="1"/>
  <c r="J1481" i="7"/>
  <c r="D1483" i="6" s="1"/>
  <c r="G1481" i="7"/>
  <c r="H1481" i="7" s="1"/>
  <c r="J1480" i="7"/>
  <c r="D1482" i="6" s="1"/>
  <c r="G1480" i="7"/>
  <c r="H1480" i="7" s="1"/>
  <c r="J1479" i="7"/>
  <c r="D1481" i="6" s="1"/>
  <c r="G1479" i="7"/>
  <c r="H1479" i="7" s="1"/>
  <c r="J1478" i="7"/>
  <c r="D1480" i="6" s="1"/>
  <c r="G1478" i="7"/>
  <c r="H1478" i="7" s="1"/>
  <c r="J1477" i="7"/>
  <c r="D1479" i="6" s="1"/>
  <c r="G1477" i="7"/>
  <c r="H1477" i="7" s="1"/>
  <c r="J1476" i="7"/>
  <c r="D1478" i="6" s="1"/>
  <c r="G1476" i="7"/>
  <c r="H1476" i="7" s="1"/>
  <c r="J1475" i="7"/>
  <c r="D1477" i="6" s="1"/>
  <c r="G1475" i="7"/>
  <c r="H1475" i="7" s="1"/>
  <c r="J1474" i="7"/>
  <c r="D1476" i="6" s="1"/>
  <c r="G1474" i="7"/>
  <c r="H1474" i="7" s="1"/>
  <c r="J1473" i="7"/>
  <c r="D1475" i="6" s="1"/>
  <c r="G1473" i="7"/>
  <c r="H1473" i="7" s="1"/>
  <c r="J1472" i="7"/>
  <c r="D1474" i="6" s="1"/>
  <c r="G1472" i="7"/>
  <c r="H1472" i="7" s="1"/>
  <c r="J1471" i="7"/>
  <c r="D1473" i="6" s="1"/>
  <c r="G1471" i="7"/>
  <c r="H1471" i="7" s="1"/>
  <c r="J1470" i="7"/>
  <c r="D1472" i="6" s="1"/>
  <c r="G1470" i="7"/>
  <c r="H1470" i="7" s="1"/>
  <c r="J1469" i="7"/>
  <c r="D1471" i="6" s="1"/>
  <c r="G1469" i="7"/>
  <c r="H1469" i="7" s="1"/>
  <c r="J1468" i="7"/>
  <c r="D1470" i="6" s="1"/>
  <c r="G1468" i="7"/>
  <c r="H1468" i="7" s="1"/>
  <c r="J1467" i="7"/>
  <c r="D1469" i="6" s="1"/>
  <c r="G1467" i="7"/>
  <c r="H1467" i="7" s="1"/>
  <c r="J1466" i="7"/>
  <c r="D1468" i="6" s="1"/>
  <c r="G1466" i="7"/>
  <c r="H1466" i="7" s="1"/>
  <c r="J1465" i="7"/>
  <c r="D1467" i="6" s="1"/>
  <c r="G1465" i="7"/>
  <c r="H1465" i="7" s="1"/>
  <c r="J1464" i="7"/>
  <c r="D1466" i="6" s="1"/>
  <c r="G1464" i="7"/>
  <c r="H1464" i="7" s="1"/>
  <c r="J1463" i="7"/>
  <c r="D1465" i="6" s="1"/>
  <c r="G1463" i="7"/>
  <c r="H1463" i="7" s="1"/>
  <c r="J1462" i="7"/>
  <c r="D1464" i="6" s="1"/>
  <c r="G1462" i="7"/>
  <c r="H1462" i="7" s="1"/>
  <c r="J1461" i="7"/>
  <c r="D1463" i="6" s="1"/>
  <c r="G1461" i="7"/>
  <c r="H1461" i="7" s="1"/>
  <c r="J1460" i="7"/>
  <c r="D1462" i="6" s="1"/>
  <c r="G1460" i="7"/>
  <c r="H1460" i="7" s="1"/>
  <c r="J1459" i="7"/>
  <c r="D1461" i="6" s="1"/>
  <c r="G1459" i="7"/>
  <c r="H1459" i="7" s="1"/>
  <c r="J1458" i="7"/>
  <c r="D1460" i="6" s="1"/>
  <c r="G1458" i="7"/>
  <c r="H1458" i="7" s="1"/>
  <c r="J1457" i="7"/>
  <c r="D1459" i="6" s="1"/>
  <c r="G1457" i="7"/>
  <c r="H1457" i="7" s="1"/>
  <c r="J1456" i="7"/>
  <c r="D1458" i="6" s="1"/>
  <c r="G1456" i="7"/>
  <c r="H1456" i="7" s="1"/>
  <c r="J1455" i="7"/>
  <c r="D1457" i="6" s="1"/>
  <c r="G1455" i="7"/>
  <c r="H1455" i="7" s="1"/>
  <c r="J1454" i="7"/>
  <c r="D1456" i="6" s="1"/>
  <c r="G1454" i="7"/>
  <c r="H1454" i="7" s="1"/>
  <c r="J1453" i="7"/>
  <c r="D1455" i="6" s="1"/>
  <c r="G1453" i="7"/>
  <c r="H1453" i="7" s="1"/>
  <c r="J1452" i="7"/>
  <c r="D1454" i="6" s="1"/>
  <c r="G1452" i="7"/>
  <c r="H1452" i="7" s="1"/>
  <c r="J1451" i="7"/>
  <c r="D1453" i="6" s="1"/>
  <c r="G1451" i="7"/>
  <c r="H1451" i="7" s="1"/>
  <c r="J1450" i="7"/>
  <c r="D1452" i="6" s="1"/>
  <c r="G1450" i="7"/>
  <c r="H1450" i="7" s="1"/>
  <c r="J1449" i="7"/>
  <c r="D1451" i="6" s="1"/>
  <c r="G1449" i="7"/>
  <c r="H1449" i="7" s="1"/>
  <c r="J1448" i="7"/>
  <c r="D1450" i="6" s="1"/>
  <c r="G1448" i="7"/>
  <c r="H1448" i="7" s="1"/>
  <c r="J1447" i="7"/>
  <c r="D1449" i="6" s="1"/>
  <c r="G1447" i="7"/>
  <c r="H1447" i="7" s="1"/>
  <c r="J1446" i="7"/>
  <c r="D1448" i="6" s="1"/>
  <c r="G1446" i="7"/>
  <c r="H1446" i="7" s="1"/>
  <c r="J1445" i="7"/>
  <c r="D1447" i="6" s="1"/>
  <c r="G1445" i="7"/>
  <c r="H1445" i="7" s="1"/>
  <c r="J1444" i="7"/>
  <c r="D1446" i="6" s="1"/>
  <c r="G1444" i="7"/>
  <c r="H1444" i="7" s="1"/>
  <c r="J1443" i="7"/>
  <c r="D1445" i="6" s="1"/>
  <c r="G1443" i="7"/>
  <c r="H1443" i="7" s="1"/>
  <c r="J1442" i="7"/>
  <c r="D1444" i="6" s="1"/>
  <c r="G1442" i="7"/>
  <c r="H1442" i="7" s="1"/>
  <c r="J1441" i="7"/>
  <c r="D1443" i="6" s="1"/>
  <c r="G1441" i="7"/>
  <c r="H1441" i="7" s="1"/>
  <c r="J1440" i="7"/>
  <c r="D1442" i="6" s="1"/>
  <c r="G1440" i="7"/>
  <c r="H1440" i="7" s="1"/>
  <c r="J1439" i="7"/>
  <c r="D1441" i="6" s="1"/>
  <c r="G1439" i="7"/>
  <c r="H1439" i="7" s="1"/>
  <c r="J1438" i="7"/>
  <c r="D1440" i="6" s="1"/>
  <c r="G1438" i="7"/>
  <c r="H1438" i="7" s="1"/>
  <c r="J1437" i="7"/>
  <c r="D1439" i="6" s="1"/>
  <c r="G1437" i="7"/>
  <c r="H1437" i="7" s="1"/>
  <c r="J1436" i="7"/>
  <c r="D1438" i="6" s="1"/>
  <c r="G1436" i="7"/>
  <c r="H1436" i="7" s="1"/>
  <c r="J1435" i="7"/>
  <c r="D1437" i="6" s="1"/>
  <c r="G1435" i="7"/>
  <c r="H1435" i="7" s="1"/>
  <c r="J1434" i="7"/>
  <c r="D1436" i="6" s="1"/>
  <c r="G1434" i="7"/>
  <c r="H1434" i="7" s="1"/>
  <c r="J1433" i="7"/>
  <c r="D1435" i="6" s="1"/>
  <c r="G1433" i="7"/>
  <c r="H1433" i="7" s="1"/>
  <c r="J1432" i="7"/>
  <c r="D1434" i="6" s="1"/>
  <c r="G1432" i="7"/>
  <c r="H1432" i="7" s="1"/>
  <c r="J1431" i="7"/>
  <c r="D1433" i="6" s="1"/>
  <c r="G1431" i="7"/>
  <c r="H1431" i="7" s="1"/>
  <c r="J1430" i="7"/>
  <c r="D1432" i="6" s="1"/>
  <c r="G1430" i="7"/>
  <c r="H1430" i="7" s="1"/>
  <c r="J1429" i="7"/>
  <c r="D1431" i="6" s="1"/>
  <c r="G1429" i="7"/>
  <c r="H1429" i="7" s="1"/>
  <c r="G1399" i="7"/>
  <c r="H1399" i="7" s="1"/>
  <c r="J1399" i="7"/>
  <c r="D1401" i="6" s="1"/>
  <c r="G1357" i="7"/>
  <c r="H1357" i="7" s="1"/>
  <c r="J1357" i="7"/>
  <c r="D1359" i="6" s="1"/>
  <c r="G1358" i="7"/>
  <c r="H1358" i="7" s="1"/>
  <c r="J1358" i="7"/>
  <c r="D1360" i="6" s="1"/>
  <c r="G1359" i="7"/>
  <c r="H1359" i="7" s="1"/>
  <c r="J1359" i="7"/>
  <c r="D1361" i="6" s="1"/>
  <c r="G1360" i="7"/>
  <c r="H1360" i="7" s="1"/>
  <c r="J1360" i="7"/>
  <c r="D1362" i="6" s="1"/>
  <c r="G1361" i="7"/>
  <c r="H1361" i="7" s="1"/>
  <c r="J1361" i="7"/>
  <c r="D1363" i="6" s="1"/>
  <c r="G1362" i="7"/>
  <c r="H1362" i="7" s="1"/>
  <c r="J1362" i="7"/>
  <c r="D1364" i="6" s="1"/>
  <c r="G1363" i="7"/>
  <c r="H1363" i="7" s="1"/>
  <c r="J1363" i="7"/>
  <c r="D1365" i="6" s="1"/>
  <c r="G1364" i="7"/>
  <c r="H1364" i="7" s="1"/>
  <c r="J1364" i="7"/>
  <c r="D1366" i="6" s="1"/>
  <c r="G1365" i="7"/>
  <c r="H1365" i="7" s="1"/>
  <c r="J1365" i="7"/>
  <c r="D1367" i="6" s="1"/>
  <c r="G1366" i="7"/>
  <c r="H1366" i="7" s="1"/>
  <c r="J1366" i="7"/>
  <c r="D1368" i="6" s="1"/>
  <c r="G1367" i="7"/>
  <c r="H1367" i="7" s="1"/>
  <c r="J1367" i="7"/>
  <c r="D1369" i="6" s="1"/>
  <c r="G1368" i="7"/>
  <c r="H1368" i="7" s="1"/>
  <c r="J1368" i="7"/>
  <c r="D1370" i="6" s="1"/>
  <c r="G1369" i="7"/>
  <c r="H1369" i="7" s="1"/>
  <c r="J1369" i="7"/>
  <c r="D1371" i="6" s="1"/>
  <c r="G1370" i="7"/>
  <c r="H1370" i="7" s="1"/>
  <c r="J1370" i="7"/>
  <c r="D1372" i="6" s="1"/>
  <c r="G1371" i="7"/>
  <c r="H1371" i="7" s="1"/>
  <c r="J1371" i="7"/>
  <c r="D1373" i="6" s="1"/>
  <c r="G1372" i="7"/>
  <c r="H1372" i="7" s="1"/>
  <c r="J1372" i="7"/>
  <c r="D1374" i="6" s="1"/>
  <c r="G1373" i="7"/>
  <c r="H1373" i="7" s="1"/>
  <c r="J1373" i="7"/>
  <c r="D1375" i="6" s="1"/>
  <c r="G1374" i="7"/>
  <c r="H1374" i="7" s="1"/>
  <c r="J1374" i="7"/>
  <c r="D1376" i="6" s="1"/>
  <c r="G1375" i="7"/>
  <c r="H1375" i="7" s="1"/>
  <c r="J1375" i="7"/>
  <c r="D1377" i="6" s="1"/>
  <c r="G1376" i="7"/>
  <c r="H1376" i="7" s="1"/>
  <c r="J1376" i="7"/>
  <c r="D1378" i="6" s="1"/>
  <c r="G1377" i="7"/>
  <c r="H1377" i="7" s="1"/>
  <c r="J1377" i="7"/>
  <c r="D1379" i="6" s="1"/>
  <c r="G1378" i="7"/>
  <c r="H1378" i="7" s="1"/>
  <c r="J1378" i="7"/>
  <c r="D1380" i="6" s="1"/>
  <c r="G1379" i="7"/>
  <c r="H1379" i="7" s="1"/>
  <c r="J1379" i="7"/>
  <c r="D1381" i="6" s="1"/>
  <c r="G1380" i="7"/>
  <c r="H1380" i="7" s="1"/>
  <c r="J1380" i="7"/>
  <c r="D1382" i="6" s="1"/>
  <c r="G1381" i="7"/>
  <c r="H1381" i="7" s="1"/>
  <c r="J1381" i="7"/>
  <c r="D1383" i="6" s="1"/>
  <c r="G1382" i="7"/>
  <c r="H1382" i="7" s="1"/>
  <c r="J1382" i="7"/>
  <c r="D1384" i="6" s="1"/>
  <c r="G1383" i="7"/>
  <c r="H1383" i="7" s="1"/>
  <c r="J1383" i="7"/>
  <c r="D1385" i="6" s="1"/>
  <c r="G1384" i="7"/>
  <c r="H1384" i="7" s="1"/>
  <c r="J1384" i="7"/>
  <c r="D1386" i="6" s="1"/>
  <c r="G1385" i="7"/>
  <c r="H1385" i="7" s="1"/>
  <c r="J1385" i="7"/>
  <c r="D1387" i="6" s="1"/>
  <c r="G1386" i="7"/>
  <c r="H1386" i="7" s="1"/>
  <c r="J1386" i="7"/>
  <c r="D1388" i="6" s="1"/>
  <c r="G1387" i="7"/>
  <c r="H1387" i="7" s="1"/>
  <c r="J1387" i="7"/>
  <c r="D1389" i="6" s="1"/>
  <c r="G1388" i="7"/>
  <c r="H1388" i="7" s="1"/>
  <c r="J1388" i="7"/>
  <c r="D1390" i="6" s="1"/>
  <c r="G1389" i="7"/>
  <c r="H1389" i="7" s="1"/>
  <c r="J1389" i="7"/>
  <c r="D1391" i="6" s="1"/>
  <c r="G1390" i="7"/>
  <c r="H1390" i="7" s="1"/>
  <c r="J1390" i="7"/>
  <c r="D1392" i="6" s="1"/>
  <c r="G1391" i="7"/>
  <c r="H1391" i="7" s="1"/>
  <c r="J1391" i="7"/>
  <c r="D1393" i="6" s="1"/>
  <c r="G1392" i="7"/>
  <c r="H1392" i="7" s="1"/>
  <c r="J1392" i="7"/>
  <c r="D1394" i="6" s="1"/>
  <c r="G1393" i="7"/>
  <c r="H1393" i="7" s="1"/>
  <c r="J1393" i="7"/>
  <c r="D1395" i="6" s="1"/>
  <c r="G1394" i="7"/>
  <c r="H1394" i="7" s="1"/>
  <c r="J1394" i="7"/>
  <c r="D1396" i="6" s="1"/>
  <c r="G1395" i="7"/>
  <c r="H1395" i="7" s="1"/>
  <c r="J1395" i="7"/>
  <c r="D1397" i="6" s="1"/>
  <c r="G1396" i="7"/>
  <c r="H1396" i="7" s="1"/>
  <c r="J1396" i="7"/>
  <c r="D1398" i="6" s="1"/>
  <c r="G1397" i="7"/>
  <c r="H1397" i="7" s="1"/>
  <c r="J1397" i="7"/>
  <c r="D1399" i="6" s="1"/>
  <c r="G1398" i="7"/>
  <c r="H1398" i="7" s="1"/>
  <c r="J1398" i="7"/>
  <c r="D1400" i="6" s="1"/>
  <c r="G1400" i="7"/>
  <c r="H1400" i="7" s="1"/>
  <c r="J1400" i="7"/>
  <c r="D1402" i="6" s="1"/>
  <c r="G1401" i="7"/>
  <c r="H1401" i="7" s="1"/>
  <c r="J1401" i="7"/>
  <c r="D1403" i="6" s="1"/>
  <c r="G1402" i="7"/>
  <c r="H1402" i="7" s="1"/>
  <c r="J1402" i="7"/>
  <c r="D1404" i="6" s="1"/>
  <c r="G1403" i="7"/>
  <c r="H1403" i="7" s="1"/>
  <c r="J1403" i="7"/>
  <c r="D1405" i="6" s="1"/>
  <c r="G1404" i="7"/>
  <c r="H1404" i="7" s="1"/>
  <c r="J1404" i="7"/>
  <c r="D1406" i="6" s="1"/>
  <c r="G1405" i="7"/>
  <c r="H1405" i="7" s="1"/>
  <c r="J1405" i="7"/>
  <c r="D1407" i="6" s="1"/>
  <c r="G1406" i="7"/>
  <c r="H1406" i="7" s="1"/>
  <c r="J1406" i="7"/>
  <c r="D1408" i="6" s="1"/>
  <c r="G1407" i="7"/>
  <c r="H1407" i="7" s="1"/>
  <c r="J1407" i="7"/>
  <c r="D1409" i="6" s="1"/>
  <c r="G1408" i="7"/>
  <c r="H1408" i="7" s="1"/>
  <c r="J1408" i="7"/>
  <c r="D1410" i="6" s="1"/>
  <c r="G1409" i="7"/>
  <c r="H1409" i="7" s="1"/>
  <c r="J1409" i="7"/>
  <c r="D1411" i="6" s="1"/>
  <c r="G1410" i="7"/>
  <c r="H1410" i="7" s="1"/>
  <c r="J1410" i="7"/>
  <c r="D1412" i="6" s="1"/>
  <c r="G1411" i="7"/>
  <c r="H1411" i="7" s="1"/>
  <c r="J1411" i="7"/>
  <c r="D1413" i="6" s="1"/>
  <c r="G1412" i="7"/>
  <c r="H1412" i="7" s="1"/>
  <c r="J1412" i="7"/>
  <c r="D1414" i="6" s="1"/>
  <c r="G1413" i="7"/>
  <c r="H1413" i="7" s="1"/>
  <c r="J1413" i="7"/>
  <c r="D1415" i="6" s="1"/>
  <c r="G1414" i="7"/>
  <c r="H1414" i="7" s="1"/>
  <c r="J1414" i="7"/>
  <c r="D1416" i="6" s="1"/>
  <c r="G1415" i="7"/>
  <c r="H1415" i="7" s="1"/>
  <c r="J1415" i="7"/>
  <c r="D1417" i="6" s="1"/>
  <c r="G1416" i="7"/>
  <c r="H1416" i="7" s="1"/>
  <c r="J1416" i="7"/>
  <c r="D1418" i="6" s="1"/>
  <c r="G1417" i="7"/>
  <c r="H1417" i="7" s="1"/>
  <c r="J1417" i="7"/>
  <c r="D1419" i="6" s="1"/>
  <c r="G1418" i="7"/>
  <c r="H1418" i="7" s="1"/>
  <c r="J1418" i="7"/>
  <c r="D1420" i="6" s="1"/>
  <c r="G1419" i="7"/>
  <c r="H1419" i="7" s="1"/>
  <c r="J1419" i="7"/>
  <c r="D1421" i="6" s="1"/>
  <c r="G1420" i="7"/>
  <c r="H1420" i="7" s="1"/>
  <c r="J1420" i="7"/>
  <c r="D1422" i="6" s="1"/>
  <c r="G1421" i="7"/>
  <c r="H1421" i="7" s="1"/>
  <c r="J1421" i="7"/>
  <c r="D1423" i="6" s="1"/>
  <c r="G1422" i="7"/>
  <c r="H1422" i="7" s="1"/>
  <c r="J1422" i="7"/>
  <c r="D1424" i="6" s="1"/>
  <c r="G1423" i="7"/>
  <c r="H1423" i="7" s="1"/>
  <c r="J1423" i="7"/>
  <c r="D1425" i="6" s="1"/>
  <c r="G1424" i="7"/>
  <c r="H1424" i="7" s="1"/>
  <c r="J1424" i="7"/>
  <c r="D1426" i="6" s="1"/>
  <c r="G1425" i="7"/>
  <c r="H1425" i="7" s="1"/>
  <c r="J1425" i="7"/>
  <c r="D1427" i="6" s="1"/>
  <c r="G1426" i="7"/>
  <c r="H1426" i="7" s="1"/>
  <c r="J1426" i="7"/>
  <c r="D1428" i="6" s="1"/>
  <c r="G1427" i="7"/>
  <c r="H1427" i="7" s="1"/>
  <c r="J1427" i="7"/>
  <c r="D1429" i="6" s="1"/>
  <c r="G1428" i="7"/>
  <c r="H1428" i="7" s="1"/>
  <c r="J1428" i="7"/>
  <c r="D1430" i="6" s="1"/>
  <c r="G1356" i="7"/>
  <c r="H1356" i="7" s="1"/>
  <c r="J1356" i="7"/>
  <c r="D1358" i="6" s="1"/>
  <c r="G1355" i="7"/>
  <c r="J1355" i="7"/>
  <c r="D1357" i="6" s="1"/>
  <c r="J1354" i="7"/>
  <c r="D1356" i="6" s="1"/>
  <c r="G1354" i="7"/>
  <c r="H1354" i="7" s="1"/>
  <c r="J1353" i="7"/>
  <c r="D1355" i="6" s="1"/>
  <c r="G1353" i="7"/>
  <c r="H1353" i="7" s="1"/>
  <c r="J1352" i="7"/>
  <c r="D1354" i="6" s="1"/>
  <c r="G1352" i="7"/>
  <c r="H1352" i="7" s="1"/>
  <c r="J1351" i="7"/>
  <c r="D1353" i="6" s="1"/>
  <c r="G1351" i="7"/>
  <c r="H1351" i="7" s="1"/>
  <c r="J1350" i="7"/>
  <c r="D1352" i="6" s="1"/>
  <c r="G1350" i="7"/>
  <c r="H1350" i="7" s="1"/>
  <c r="J1349" i="7"/>
  <c r="D1351" i="6" s="1"/>
  <c r="G1349" i="7"/>
  <c r="H1349" i="7" s="1"/>
  <c r="J1348" i="7"/>
  <c r="D1350" i="6" s="1"/>
  <c r="G1348" i="7"/>
  <c r="H1348" i="7" s="1"/>
  <c r="J1347" i="7"/>
  <c r="D1349" i="6" s="1"/>
  <c r="G1347" i="7"/>
  <c r="H1347" i="7" s="1"/>
  <c r="J1346" i="7"/>
  <c r="D1348" i="6" s="1"/>
  <c r="G1346" i="7"/>
  <c r="H1346" i="7" s="1"/>
  <c r="J1345" i="7"/>
  <c r="D1347" i="6" s="1"/>
  <c r="G1345" i="7"/>
  <c r="H1345" i="7" s="1"/>
  <c r="J1344" i="7"/>
  <c r="D1346" i="6" s="1"/>
  <c r="G1344" i="7"/>
  <c r="H1344" i="7" s="1"/>
  <c r="J1343" i="7"/>
  <c r="D1345" i="6" s="1"/>
  <c r="G1343" i="7"/>
  <c r="H1343" i="7" s="1"/>
  <c r="J1342" i="7"/>
  <c r="D1344" i="6" s="1"/>
  <c r="G1342" i="7"/>
  <c r="H1342" i="7" s="1"/>
  <c r="J1341" i="7"/>
  <c r="D1343" i="6" s="1"/>
  <c r="G1341" i="7"/>
  <c r="H1341" i="7" s="1"/>
  <c r="J1340" i="7"/>
  <c r="D1342" i="6" s="1"/>
  <c r="G1340" i="7"/>
  <c r="H1340" i="7" s="1"/>
  <c r="J1339" i="7"/>
  <c r="D1341" i="6" s="1"/>
  <c r="G1339" i="7"/>
  <c r="H1339" i="7" s="1"/>
  <c r="J1338" i="7"/>
  <c r="D1340" i="6" s="1"/>
  <c r="G1338" i="7"/>
  <c r="H1338" i="7" s="1"/>
  <c r="J1337" i="7"/>
  <c r="D1339" i="6" s="1"/>
  <c r="G1337" i="7"/>
  <c r="H1337" i="7" s="1"/>
  <c r="J1336" i="7"/>
  <c r="D1338" i="6" s="1"/>
  <c r="G1336" i="7"/>
  <c r="H1336" i="7" s="1"/>
  <c r="J1335" i="7"/>
  <c r="D1337" i="6" s="1"/>
  <c r="G1335" i="7"/>
  <c r="H1335" i="7" s="1"/>
  <c r="J1334" i="7"/>
  <c r="D1336" i="6" s="1"/>
  <c r="G1334" i="7"/>
  <c r="H1334" i="7" s="1"/>
  <c r="J1333" i="7"/>
  <c r="D1335" i="6" s="1"/>
  <c r="G1333" i="7"/>
  <c r="H1333" i="7" s="1"/>
  <c r="J1332" i="7"/>
  <c r="D1334" i="6" s="1"/>
  <c r="G1332" i="7"/>
  <c r="H1332" i="7" s="1"/>
  <c r="J1331" i="7"/>
  <c r="D1333" i="6" s="1"/>
  <c r="G1331" i="7"/>
  <c r="H1331" i="7" s="1"/>
  <c r="J1330" i="7"/>
  <c r="D1332" i="6" s="1"/>
  <c r="G1330" i="7"/>
  <c r="H1330" i="7" s="1"/>
  <c r="J1329" i="7"/>
  <c r="D1331" i="6" s="1"/>
  <c r="G1329" i="7"/>
  <c r="H1329" i="7" s="1"/>
  <c r="J1328" i="7"/>
  <c r="D1330" i="6" s="1"/>
  <c r="G1328" i="7"/>
  <c r="H1328" i="7" s="1"/>
  <c r="J1327" i="7"/>
  <c r="D1329" i="6" s="1"/>
  <c r="G1327" i="7"/>
  <c r="H1327" i="7" s="1"/>
  <c r="J1326" i="7"/>
  <c r="D1328" i="6" s="1"/>
  <c r="G1326" i="7"/>
  <c r="H1326" i="7" s="1"/>
  <c r="J1325" i="7"/>
  <c r="D1327" i="6" s="1"/>
  <c r="G1325" i="7"/>
  <c r="H1325" i="7" s="1"/>
  <c r="J1324" i="7"/>
  <c r="D1326" i="6" s="1"/>
  <c r="G1324" i="7"/>
  <c r="H1324" i="7" s="1"/>
  <c r="J1323" i="7"/>
  <c r="D1325" i="6" s="1"/>
  <c r="G1323" i="7"/>
  <c r="H1323" i="7" s="1"/>
  <c r="J1322" i="7"/>
  <c r="D1324" i="6" s="1"/>
  <c r="G1322" i="7"/>
  <c r="H1322" i="7" s="1"/>
  <c r="J1321" i="7"/>
  <c r="D1323" i="6" s="1"/>
  <c r="G1321" i="7"/>
  <c r="H1321" i="7" s="1"/>
  <c r="J1320" i="7"/>
  <c r="D1322" i="6" s="1"/>
  <c r="G1320" i="7"/>
  <c r="H1320" i="7" s="1"/>
  <c r="J1319" i="7"/>
  <c r="D1321" i="6" s="1"/>
  <c r="G1319" i="7"/>
  <c r="H1319" i="7" s="1"/>
  <c r="J1318" i="7"/>
  <c r="D1320" i="6" s="1"/>
  <c r="G1318" i="7"/>
  <c r="H1318" i="7" s="1"/>
  <c r="J1317" i="7"/>
  <c r="D1319" i="6" s="1"/>
  <c r="G1317" i="7"/>
  <c r="H1317" i="7" s="1"/>
  <c r="J1316" i="7"/>
  <c r="D1318" i="6" s="1"/>
  <c r="G1316" i="7"/>
  <c r="H1316" i="7" s="1"/>
  <c r="J1315" i="7"/>
  <c r="D1317" i="6" s="1"/>
  <c r="G1315" i="7"/>
  <c r="H1315" i="7" s="1"/>
  <c r="J1314" i="7"/>
  <c r="D1316" i="6" s="1"/>
  <c r="G1314" i="7"/>
  <c r="H1314" i="7" s="1"/>
  <c r="J1313" i="7"/>
  <c r="D1315" i="6" s="1"/>
  <c r="G1313" i="7"/>
  <c r="H1313" i="7" s="1"/>
  <c r="J1312" i="7"/>
  <c r="D1314" i="6" s="1"/>
  <c r="G1312" i="7"/>
  <c r="H1312" i="7" s="1"/>
  <c r="J1311" i="7"/>
  <c r="D1313" i="6" s="1"/>
  <c r="G1311" i="7"/>
  <c r="H1311" i="7" s="1"/>
  <c r="J1310" i="7"/>
  <c r="D1312" i="6" s="1"/>
  <c r="G1310" i="7"/>
  <c r="H1310" i="7" s="1"/>
  <c r="J1309" i="7"/>
  <c r="D1311" i="6" s="1"/>
  <c r="G1309" i="7"/>
  <c r="H1309" i="7" s="1"/>
  <c r="J1308" i="7"/>
  <c r="D1310" i="6" s="1"/>
  <c r="G1308" i="7"/>
  <c r="H1308" i="7" s="1"/>
  <c r="J1307" i="7"/>
  <c r="D1309" i="6" s="1"/>
  <c r="G1307" i="7"/>
  <c r="H1307" i="7" s="1"/>
  <c r="J1306" i="7"/>
  <c r="D1308" i="6" s="1"/>
  <c r="G1306" i="7"/>
  <c r="H1306" i="7" s="1"/>
  <c r="J1305" i="7"/>
  <c r="D1307" i="6" s="1"/>
  <c r="G1305" i="7"/>
  <c r="H1305" i="7" s="1"/>
  <c r="J1304" i="7"/>
  <c r="D1306" i="6" s="1"/>
  <c r="G1304" i="7"/>
  <c r="H1304" i="7" s="1"/>
  <c r="J1303" i="7"/>
  <c r="D1305" i="6" s="1"/>
  <c r="G1303" i="7"/>
  <c r="H1303" i="7" s="1"/>
  <c r="J1302" i="7"/>
  <c r="D1304" i="6" s="1"/>
  <c r="G1302" i="7"/>
  <c r="H1302" i="7" s="1"/>
  <c r="J1301" i="7"/>
  <c r="D1303" i="6" s="1"/>
  <c r="G1301" i="7"/>
  <c r="H1301" i="7" s="1"/>
  <c r="J1300" i="7"/>
  <c r="D1302" i="6" s="1"/>
  <c r="G1300" i="7"/>
  <c r="H1300" i="7" s="1"/>
  <c r="J1299" i="7"/>
  <c r="D1301" i="6" s="1"/>
  <c r="G1299" i="7"/>
  <c r="H1299" i="7" s="1"/>
  <c r="J1298" i="7"/>
  <c r="D1300" i="6" s="1"/>
  <c r="G1298" i="7"/>
  <c r="H1298" i="7" s="1"/>
  <c r="J1297" i="7"/>
  <c r="D1299" i="6" s="1"/>
  <c r="G1297" i="7"/>
  <c r="H1297" i="7" s="1"/>
  <c r="J1296" i="7"/>
  <c r="D1298" i="6" s="1"/>
  <c r="G1296" i="7"/>
  <c r="H1296" i="7" s="1"/>
  <c r="J1295" i="7"/>
  <c r="D1297" i="6" s="1"/>
  <c r="G1295" i="7"/>
  <c r="H1295" i="7" s="1"/>
  <c r="J1294" i="7"/>
  <c r="D1296" i="6" s="1"/>
  <c r="G1294" i="7"/>
  <c r="H1294" i="7" s="1"/>
  <c r="J1293" i="7"/>
  <c r="D1295" i="6" s="1"/>
  <c r="G1293" i="7"/>
  <c r="H1293" i="7" s="1"/>
  <c r="J1292" i="7"/>
  <c r="D1294" i="6" s="1"/>
  <c r="G1292" i="7"/>
  <c r="H1292" i="7" s="1"/>
  <c r="J1291" i="7"/>
  <c r="D1293" i="6" s="1"/>
  <c r="G1291" i="7"/>
  <c r="H1291" i="7" s="1"/>
  <c r="J1290" i="7"/>
  <c r="D1292" i="6" s="1"/>
  <c r="G1290" i="7"/>
  <c r="H1290" i="7" s="1"/>
  <c r="J1289" i="7"/>
  <c r="D1291" i="6" s="1"/>
  <c r="G1289" i="7"/>
  <c r="H1289" i="7" s="1"/>
  <c r="J1288" i="7"/>
  <c r="D1290" i="6" s="1"/>
  <c r="G1288" i="7"/>
  <c r="H1288" i="7" s="1"/>
  <c r="J1287" i="7"/>
  <c r="D1289" i="6" s="1"/>
  <c r="G1287" i="7"/>
  <c r="H1287" i="7" s="1"/>
  <c r="J1286" i="7"/>
  <c r="D1288" i="6" s="1"/>
  <c r="G1286" i="7"/>
  <c r="H1286" i="7" s="1"/>
  <c r="J1285" i="7"/>
  <c r="D1287" i="6" s="1"/>
  <c r="G1285" i="7"/>
  <c r="H1285" i="7" s="1"/>
  <c r="J1284" i="7"/>
  <c r="D1286" i="6" s="1"/>
  <c r="G1284" i="7"/>
  <c r="H1284" i="7" s="1"/>
  <c r="J1283" i="7"/>
  <c r="D1285" i="6" s="1"/>
  <c r="G1283" i="7"/>
  <c r="H1283" i="7" s="1"/>
  <c r="J1282" i="7"/>
  <c r="D1284" i="6" s="1"/>
  <c r="G1282" i="7"/>
  <c r="H1282" i="7" s="1"/>
  <c r="J1281" i="7"/>
  <c r="D1283" i="6" s="1"/>
  <c r="G1281" i="7"/>
  <c r="H1281" i="7" s="1"/>
  <c r="J1280" i="7"/>
  <c r="D1282" i="6" s="1"/>
  <c r="G1280" i="7"/>
  <c r="H1280" i="7" s="1"/>
  <c r="J1279" i="7"/>
  <c r="D1281" i="6" s="1"/>
  <c r="G1279" i="7"/>
  <c r="H1279" i="7" s="1"/>
  <c r="J1278" i="7"/>
  <c r="D1280" i="6" s="1"/>
  <c r="G1278" i="7"/>
  <c r="H1278" i="7" s="1"/>
  <c r="J1277" i="7"/>
  <c r="D1279" i="6" s="1"/>
  <c r="G1277" i="7"/>
  <c r="H1277" i="7" s="1"/>
  <c r="J1276" i="7"/>
  <c r="D1278" i="6" s="1"/>
  <c r="G1276" i="7"/>
  <c r="H1276" i="7" s="1"/>
  <c r="J1275" i="7"/>
  <c r="D1277" i="6" s="1"/>
  <c r="G1275" i="7"/>
  <c r="H1275" i="7" s="1"/>
  <c r="J1274" i="7"/>
  <c r="D1276" i="6" s="1"/>
  <c r="G1274" i="7"/>
  <c r="H1274" i="7" s="1"/>
  <c r="J1273" i="7"/>
  <c r="D1275" i="6" s="1"/>
  <c r="G1273" i="7"/>
  <c r="H1273" i="7" s="1"/>
  <c r="J1272" i="7"/>
  <c r="D1274" i="6" s="1"/>
  <c r="G1272" i="7"/>
  <c r="H1272" i="7" s="1"/>
  <c r="J1271" i="7"/>
  <c r="D1273" i="6" s="1"/>
  <c r="G1271" i="7"/>
  <c r="H1271" i="7" s="1"/>
  <c r="J1270" i="7"/>
  <c r="D1272" i="6" s="1"/>
  <c r="G1270" i="7"/>
  <c r="H1270" i="7" s="1"/>
  <c r="J1269" i="7"/>
  <c r="D1271" i="6" s="1"/>
  <c r="G1269" i="7"/>
  <c r="H1269" i="7" s="1"/>
  <c r="J1268" i="7"/>
  <c r="D1270" i="6" s="1"/>
  <c r="G1268" i="7"/>
  <c r="H1268" i="7" s="1"/>
  <c r="J1267" i="7"/>
  <c r="D1269" i="6" s="1"/>
  <c r="G1267" i="7"/>
  <c r="H1267" i="7" s="1"/>
  <c r="J1266" i="7"/>
  <c r="D1268" i="6" s="1"/>
  <c r="G1266" i="7"/>
  <c r="H1266" i="7" s="1"/>
  <c r="J1265" i="7"/>
  <c r="D1267" i="6" s="1"/>
  <c r="G1265" i="7"/>
  <c r="H1265" i="7" s="1"/>
  <c r="J1264" i="7"/>
  <c r="D1266" i="6" s="1"/>
  <c r="G1264" i="7"/>
  <c r="H1264" i="7" s="1"/>
  <c r="J1263" i="7"/>
  <c r="D1265" i="6" s="1"/>
  <c r="G1263" i="7"/>
  <c r="H1263" i="7" s="1"/>
  <c r="J1262" i="7"/>
  <c r="D1264" i="6" s="1"/>
  <c r="G1262" i="7"/>
  <c r="H1262" i="7" s="1"/>
  <c r="J1261" i="7"/>
  <c r="D1263" i="6" s="1"/>
  <c r="G1261" i="7"/>
  <c r="H1261" i="7" s="1"/>
  <c r="J1260" i="7"/>
  <c r="D1262" i="6" s="1"/>
  <c r="G1260" i="7"/>
  <c r="H1260" i="7" s="1"/>
  <c r="J1259" i="7"/>
  <c r="D1261" i="6" s="1"/>
  <c r="G1259" i="7"/>
  <c r="H1259" i="7" s="1"/>
  <c r="J1258" i="7"/>
  <c r="D1260" i="6" s="1"/>
  <c r="G1258" i="7"/>
  <c r="H1258" i="7" s="1"/>
  <c r="J1257" i="7"/>
  <c r="D1259" i="6" s="1"/>
  <c r="G1257" i="7"/>
  <c r="H1257" i="7" s="1"/>
  <c r="J1256" i="7"/>
  <c r="D1258" i="6" s="1"/>
  <c r="G1256" i="7"/>
  <c r="H1256" i="7" s="1"/>
  <c r="J1255" i="7"/>
  <c r="D1257" i="6" s="1"/>
  <c r="G1255" i="7"/>
  <c r="H1255" i="7" s="1"/>
  <c r="J1254" i="7"/>
  <c r="D1256" i="6" s="1"/>
  <c r="G1254" i="7"/>
  <c r="H1254" i="7" s="1"/>
  <c r="J1253" i="7"/>
  <c r="D1255" i="6" s="1"/>
  <c r="G1253" i="7"/>
  <c r="H1253" i="7" s="1"/>
  <c r="J1252" i="7"/>
  <c r="D1254" i="6" s="1"/>
  <c r="G1252" i="7"/>
  <c r="H1252" i="7" s="1"/>
  <c r="J1251" i="7"/>
  <c r="D1253" i="6" s="1"/>
  <c r="G1251" i="7"/>
  <c r="H1251" i="7" s="1"/>
  <c r="J1250" i="7"/>
  <c r="D1252" i="6" s="1"/>
  <c r="G1250" i="7"/>
  <c r="H1250" i="7" s="1"/>
  <c r="J1249" i="7"/>
  <c r="D1251" i="6" s="1"/>
  <c r="G1249" i="7"/>
  <c r="H1249" i="7" s="1"/>
  <c r="J1248" i="7"/>
  <c r="D1250" i="6" s="1"/>
  <c r="G1248" i="7"/>
  <c r="H1248" i="7" s="1"/>
  <c r="J1247" i="7"/>
  <c r="D1249" i="6" s="1"/>
  <c r="G1247" i="7"/>
  <c r="H1247" i="7" s="1"/>
  <c r="J1246" i="7"/>
  <c r="D1248" i="6" s="1"/>
  <c r="G1246" i="7"/>
  <c r="H1246" i="7" s="1"/>
  <c r="J1245" i="7"/>
  <c r="D1247" i="6" s="1"/>
  <c r="G1245" i="7"/>
  <c r="H1245" i="7" s="1"/>
  <c r="J1244" i="7"/>
  <c r="D1246" i="6" s="1"/>
  <c r="G1244" i="7"/>
  <c r="H1244" i="7" s="1"/>
  <c r="J1243" i="7"/>
  <c r="D1245" i="6" s="1"/>
  <c r="G1243" i="7"/>
  <c r="H1243" i="7" s="1"/>
  <c r="J1242" i="7"/>
  <c r="D1244" i="6" s="1"/>
  <c r="G1242" i="7"/>
  <c r="H1242" i="7" s="1"/>
  <c r="J1241" i="7"/>
  <c r="D1243" i="6" s="1"/>
  <c r="G1241" i="7"/>
  <c r="H1241" i="7" s="1"/>
  <c r="J1240" i="7"/>
  <c r="D1242" i="6" s="1"/>
  <c r="G1240" i="7"/>
  <c r="H1240" i="7" s="1"/>
  <c r="J1239" i="7"/>
  <c r="D1241" i="6" s="1"/>
  <c r="G1239" i="7"/>
  <c r="H1239" i="7" s="1"/>
  <c r="J1238" i="7"/>
  <c r="D1240" i="6" s="1"/>
  <c r="G1238" i="7"/>
  <c r="H1238" i="7" s="1"/>
  <c r="J1237" i="7"/>
  <c r="D1239" i="6" s="1"/>
  <c r="G1237" i="7"/>
  <c r="H1237" i="7" s="1"/>
  <c r="J1236" i="7"/>
  <c r="D1238" i="6" s="1"/>
  <c r="G1236" i="7"/>
  <c r="H1236" i="7" s="1"/>
  <c r="J1235" i="7"/>
  <c r="D1237" i="6" s="1"/>
  <c r="G1235" i="7"/>
  <c r="H1235" i="7" s="1"/>
  <c r="J1234" i="7"/>
  <c r="D1236" i="6" s="1"/>
  <c r="G1234" i="7"/>
  <c r="H1234" i="7" s="1"/>
  <c r="J1233" i="7"/>
  <c r="D1235" i="6" s="1"/>
  <c r="G1233" i="7"/>
  <c r="H1233" i="7" s="1"/>
  <c r="J1232" i="7"/>
  <c r="D1234" i="6" s="1"/>
  <c r="G1232" i="7"/>
  <c r="H1232" i="7" s="1"/>
  <c r="J1231" i="7"/>
  <c r="D1233" i="6" s="1"/>
  <c r="G1231" i="7"/>
  <c r="H1231" i="7" s="1"/>
  <c r="J1230" i="7"/>
  <c r="D1232" i="6" s="1"/>
  <c r="G1230" i="7"/>
  <c r="H1230" i="7" s="1"/>
  <c r="J1229" i="7"/>
  <c r="D1231" i="6" s="1"/>
  <c r="G1229" i="7"/>
  <c r="H1229" i="7" s="1"/>
  <c r="J1228" i="7"/>
  <c r="D1230" i="6" s="1"/>
  <c r="G1228" i="7"/>
  <c r="H1228" i="7" s="1"/>
  <c r="J1227" i="7"/>
  <c r="D1229" i="6" s="1"/>
  <c r="G1227" i="7"/>
  <c r="H1227" i="7" s="1"/>
  <c r="J1226" i="7"/>
  <c r="D1228" i="6" s="1"/>
  <c r="G1226" i="7"/>
  <c r="H1226" i="7" s="1"/>
  <c r="J1225" i="7"/>
  <c r="D1227" i="6" s="1"/>
  <c r="G1225" i="7"/>
  <c r="H1225" i="7" s="1"/>
  <c r="J1224" i="7"/>
  <c r="D1226" i="6" s="1"/>
  <c r="G1224" i="7"/>
  <c r="H1224" i="7" s="1"/>
  <c r="J1223" i="7"/>
  <c r="D1225" i="6" s="1"/>
  <c r="G1223" i="7"/>
  <c r="H1223" i="7" s="1"/>
  <c r="J1222" i="7"/>
  <c r="D1224" i="6" s="1"/>
  <c r="G1222" i="7"/>
  <c r="H1222" i="7" s="1"/>
  <c r="J1221" i="7"/>
  <c r="D1223" i="6" s="1"/>
  <c r="G1221" i="7"/>
  <c r="H1221" i="7" s="1"/>
  <c r="J1220" i="7"/>
  <c r="D1222" i="6" s="1"/>
  <c r="G1220" i="7"/>
  <c r="H1220" i="7" s="1"/>
  <c r="J1219" i="7"/>
  <c r="D1221" i="6" s="1"/>
  <c r="G1219" i="7"/>
  <c r="H1219" i="7" s="1"/>
  <c r="J1218" i="7"/>
  <c r="D1220" i="6" s="1"/>
  <c r="G1218" i="7"/>
  <c r="H1218" i="7" s="1"/>
  <c r="J1217" i="7"/>
  <c r="D1219" i="6" s="1"/>
  <c r="G1217" i="7"/>
  <c r="H1217" i="7" s="1"/>
  <c r="J1216" i="7"/>
  <c r="D1218" i="6" s="1"/>
  <c r="G1216" i="7"/>
  <c r="H1216" i="7" s="1"/>
  <c r="D1" i="1" l="1"/>
  <c r="B14" i="10"/>
  <c r="G1101" i="7" l="1"/>
  <c r="H1101" i="7" s="1"/>
  <c r="J1101" i="7"/>
  <c r="D1103" i="6" s="1"/>
  <c r="G1102" i="7"/>
  <c r="H1102" i="7" s="1"/>
  <c r="J1102" i="7"/>
  <c r="D1104" i="6" s="1"/>
  <c r="G1103" i="7"/>
  <c r="H1103" i="7" s="1"/>
  <c r="J1103" i="7"/>
  <c r="D1105" i="6" s="1"/>
  <c r="G1104" i="7"/>
  <c r="H1104" i="7" s="1"/>
  <c r="J1104" i="7"/>
  <c r="D1106" i="6" s="1"/>
  <c r="G1105" i="7"/>
  <c r="H1105" i="7" s="1"/>
  <c r="J1105" i="7"/>
  <c r="D1107" i="6" s="1"/>
  <c r="G1106" i="7"/>
  <c r="H1106" i="7" s="1"/>
  <c r="J1106" i="7"/>
  <c r="D1108" i="6" s="1"/>
  <c r="G1107" i="7"/>
  <c r="H1107" i="7" s="1"/>
  <c r="J1107" i="7"/>
  <c r="D1109" i="6" s="1"/>
  <c r="G1108" i="7"/>
  <c r="H1108" i="7" s="1"/>
  <c r="J1108" i="7"/>
  <c r="D1110" i="6" s="1"/>
  <c r="G1109" i="7"/>
  <c r="H1109" i="7" s="1"/>
  <c r="J1109" i="7"/>
  <c r="D1111" i="6" s="1"/>
  <c r="G1110" i="7"/>
  <c r="H1110" i="7" s="1"/>
  <c r="J1110" i="7"/>
  <c r="D1112" i="6" s="1"/>
  <c r="G1111" i="7"/>
  <c r="H1111" i="7" s="1"/>
  <c r="J1111" i="7"/>
  <c r="D1113" i="6" s="1"/>
  <c r="G1112" i="7"/>
  <c r="H1112" i="7" s="1"/>
  <c r="J1112" i="7"/>
  <c r="D1114" i="6" s="1"/>
  <c r="G1113" i="7"/>
  <c r="H1113" i="7" s="1"/>
  <c r="J1113" i="7"/>
  <c r="D1115" i="6" s="1"/>
  <c r="G1114" i="7"/>
  <c r="H1114" i="7" s="1"/>
  <c r="J1114" i="7"/>
  <c r="D1116" i="6" s="1"/>
  <c r="G1115" i="7"/>
  <c r="H1115" i="7" s="1"/>
  <c r="J1115" i="7"/>
  <c r="D1117" i="6" s="1"/>
  <c r="G1116" i="7"/>
  <c r="H1116" i="7" s="1"/>
  <c r="J1116" i="7"/>
  <c r="D1118" i="6" s="1"/>
  <c r="G1117" i="7"/>
  <c r="H1117" i="7" s="1"/>
  <c r="J1117" i="7"/>
  <c r="D1119" i="6" s="1"/>
  <c r="G1118" i="7"/>
  <c r="H1118" i="7" s="1"/>
  <c r="J1118" i="7"/>
  <c r="D1120" i="6" s="1"/>
  <c r="G1119" i="7"/>
  <c r="H1119" i="7" s="1"/>
  <c r="J1119" i="7"/>
  <c r="D1121" i="6" s="1"/>
  <c r="G1120" i="7"/>
  <c r="H1120" i="7" s="1"/>
  <c r="J1120" i="7"/>
  <c r="D1122" i="6" s="1"/>
  <c r="G1121" i="7"/>
  <c r="H1121" i="7" s="1"/>
  <c r="J1121" i="7"/>
  <c r="D1123" i="6" s="1"/>
  <c r="G1122" i="7"/>
  <c r="H1122" i="7" s="1"/>
  <c r="J1122" i="7"/>
  <c r="D1124" i="6" s="1"/>
  <c r="G1123" i="7"/>
  <c r="H1123" i="7" s="1"/>
  <c r="J1123" i="7"/>
  <c r="D1125" i="6" s="1"/>
  <c r="G1124" i="7"/>
  <c r="H1124" i="7" s="1"/>
  <c r="J1124" i="7"/>
  <c r="D1126" i="6" s="1"/>
  <c r="G1125" i="7"/>
  <c r="H1125" i="7" s="1"/>
  <c r="J1125" i="7"/>
  <c r="D1127" i="6" s="1"/>
  <c r="G1126" i="7"/>
  <c r="H1126" i="7" s="1"/>
  <c r="J1126" i="7"/>
  <c r="D1128" i="6" s="1"/>
  <c r="G1127" i="7"/>
  <c r="H1127" i="7" s="1"/>
  <c r="J1127" i="7"/>
  <c r="D1129" i="6" s="1"/>
  <c r="G1128" i="7"/>
  <c r="H1128" i="7" s="1"/>
  <c r="J1128" i="7"/>
  <c r="D1130" i="6" s="1"/>
  <c r="G1129" i="7"/>
  <c r="H1129" i="7" s="1"/>
  <c r="J1129" i="7"/>
  <c r="D1131" i="6" s="1"/>
  <c r="G1130" i="7"/>
  <c r="H1130" i="7" s="1"/>
  <c r="J1130" i="7"/>
  <c r="D1132" i="6" s="1"/>
  <c r="G1131" i="7"/>
  <c r="H1131" i="7" s="1"/>
  <c r="J1131" i="7"/>
  <c r="D1133" i="6" s="1"/>
  <c r="G1132" i="7"/>
  <c r="H1132" i="7" s="1"/>
  <c r="J1132" i="7"/>
  <c r="D1134" i="6" s="1"/>
  <c r="G1133" i="7"/>
  <c r="H1133" i="7" s="1"/>
  <c r="J1133" i="7"/>
  <c r="D1135" i="6" s="1"/>
  <c r="G1134" i="7"/>
  <c r="H1134" i="7" s="1"/>
  <c r="J1134" i="7"/>
  <c r="D1136" i="6" s="1"/>
  <c r="G1135" i="7"/>
  <c r="H1135" i="7" s="1"/>
  <c r="J1135" i="7"/>
  <c r="D1137" i="6" s="1"/>
  <c r="G1136" i="7"/>
  <c r="H1136" i="7" s="1"/>
  <c r="J1136" i="7"/>
  <c r="D1138" i="6" s="1"/>
  <c r="G1137" i="7"/>
  <c r="H1137" i="7" s="1"/>
  <c r="J1137" i="7"/>
  <c r="D1139" i="6" s="1"/>
  <c r="G1138" i="7"/>
  <c r="H1138" i="7" s="1"/>
  <c r="J1138" i="7"/>
  <c r="D1140" i="6" s="1"/>
  <c r="G1139" i="7"/>
  <c r="H1139" i="7" s="1"/>
  <c r="J1139" i="7"/>
  <c r="D1141" i="6" s="1"/>
  <c r="G1140" i="7"/>
  <c r="H1140" i="7" s="1"/>
  <c r="J1140" i="7"/>
  <c r="D1142" i="6" s="1"/>
  <c r="G1141" i="7"/>
  <c r="H1141" i="7" s="1"/>
  <c r="J1141" i="7"/>
  <c r="D1143" i="6" s="1"/>
  <c r="G1142" i="7"/>
  <c r="H1142" i="7" s="1"/>
  <c r="J1142" i="7"/>
  <c r="D1144" i="6" s="1"/>
  <c r="G1143" i="7"/>
  <c r="H1143" i="7" s="1"/>
  <c r="J1143" i="7"/>
  <c r="D1145" i="6" s="1"/>
  <c r="G1144" i="7"/>
  <c r="H1144" i="7" s="1"/>
  <c r="J1144" i="7"/>
  <c r="D1146" i="6" s="1"/>
  <c r="G1145" i="7"/>
  <c r="H1145" i="7" s="1"/>
  <c r="J1145" i="7"/>
  <c r="D1147" i="6" s="1"/>
  <c r="G1146" i="7"/>
  <c r="H1146" i="7" s="1"/>
  <c r="J1146" i="7"/>
  <c r="D1148" i="6" s="1"/>
  <c r="G1147" i="7"/>
  <c r="H1147" i="7" s="1"/>
  <c r="J1147" i="7"/>
  <c r="D1149" i="6" s="1"/>
  <c r="G1148" i="7"/>
  <c r="H1148" i="7" s="1"/>
  <c r="J1148" i="7"/>
  <c r="D1150" i="6" s="1"/>
  <c r="G1149" i="7"/>
  <c r="H1149" i="7" s="1"/>
  <c r="J1149" i="7"/>
  <c r="D1151" i="6" s="1"/>
  <c r="G1150" i="7"/>
  <c r="H1150" i="7" s="1"/>
  <c r="J1150" i="7"/>
  <c r="D1152" i="6" s="1"/>
  <c r="G1151" i="7"/>
  <c r="H1151" i="7" s="1"/>
  <c r="J1151" i="7"/>
  <c r="D1153" i="6" s="1"/>
  <c r="G1152" i="7"/>
  <c r="H1152" i="7" s="1"/>
  <c r="J1152" i="7"/>
  <c r="D1154" i="6" s="1"/>
  <c r="G1153" i="7"/>
  <c r="H1153" i="7" s="1"/>
  <c r="J1153" i="7"/>
  <c r="D1155" i="6" s="1"/>
  <c r="G1154" i="7"/>
  <c r="H1154" i="7" s="1"/>
  <c r="J1154" i="7"/>
  <c r="D1156" i="6" s="1"/>
  <c r="G1155" i="7"/>
  <c r="H1155" i="7" s="1"/>
  <c r="J1155" i="7"/>
  <c r="D1157" i="6" s="1"/>
  <c r="G1156" i="7"/>
  <c r="H1156" i="7" s="1"/>
  <c r="J1156" i="7"/>
  <c r="D1158" i="6" s="1"/>
  <c r="G1157" i="7"/>
  <c r="H1157" i="7" s="1"/>
  <c r="J1157" i="7"/>
  <c r="D1159" i="6" s="1"/>
  <c r="G1158" i="7"/>
  <c r="H1158" i="7" s="1"/>
  <c r="J1158" i="7"/>
  <c r="D1160" i="6" s="1"/>
  <c r="G1159" i="7"/>
  <c r="H1159" i="7" s="1"/>
  <c r="J1159" i="7"/>
  <c r="D1161" i="6" s="1"/>
  <c r="G1160" i="7"/>
  <c r="H1160" i="7" s="1"/>
  <c r="J1160" i="7"/>
  <c r="D1162" i="6" s="1"/>
  <c r="G1161" i="7"/>
  <c r="H1161" i="7" s="1"/>
  <c r="J1161" i="7"/>
  <c r="D1163" i="6" s="1"/>
  <c r="G1162" i="7"/>
  <c r="H1162" i="7" s="1"/>
  <c r="J1162" i="7"/>
  <c r="D1164" i="6" s="1"/>
  <c r="G1163" i="7"/>
  <c r="H1163" i="7" s="1"/>
  <c r="J1163" i="7"/>
  <c r="D1165" i="6" s="1"/>
  <c r="G1164" i="7"/>
  <c r="H1164" i="7" s="1"/>
  <c r="J1164" i="7"/>
  <c r="D1166" i="6" s="1"/>
  <c r="G1165" i="7"/>
  <c r="H1165" i="7" s="1"/>
  <c r="J1165" i="7"/>
  <c r="D1167" i="6" s="1"/>
  <c r="G1166" i="7"/>
  <c r="H1166" i="7" s="1"/>
  <c r="J1166" i="7"/>
  <c r="D1168" i="6" s="1"/>
  <c r="G1167" i="7"/>
  <c r="H1167" i="7" s="1"/>
  <c r="J1167" i="7"/>
  <c r="D1169" i="6" s="1"/>
  <c r="G1168" i="7"/>
  <c r="H1168" i="7" s="1"/>
  <c r="J1168" i="7"/>
  <c r="D1170" i="6" s="1"/>
  <c r="G1169" i="7"/>
  <c r="H1169" i="7" s="1"/>
  <c r="J1169" i="7"/>
  <c r="D1171" i="6" s="1"/>
  <c r="G1170" i="7"/>
  <c r="H1170" i="7" s="1"/>
  <c r="J1170" i="7"/>
  <c r="D1172" i="6" s="1"/>
  <c r="G1171" i="7"/>
  <c r="H1171" i="7" s="1"/>
  <c r="J1171" i="7"/>
  <c r="D1173" i="6" s="1"/>
  <c r="G1172" i="7"/>
  <c r="H1172" i="7" s="1"/>
  <c r="J1172" i="7"/>
  <c r="D1174" i="6" s="1"/>
  <c r="G1173" i="7"/>
  <c r="H1173" i="7" s="1"/>
  <c r="J1173" i="7"/>
  <c r="D1175" i="6" s="1"/>
  <c r="G1174" i="7"/>
  <c r="H1174" i="7" s="1"/>
  <c r="J1174" i="7"/>
  <c r="D1176" i="6" s="1"/>
  <c r="G1175" i="7"/>
  <c r="H1175" i="7" s="1"/>
  <c r="J1175" i="7"/>
  <c r="D1177" i="6" s="1"/>
  <c r="G1176" i="7"/>
  <c r="H1176" i="7" s="1"/>
  <c r="J1176" i="7"/>
  <c r="D1178" i="6" s="1"/>
  <c r="G1177" i="7"/>
  <c r="H1177" i="7" s="1"/>
  <c r="J1177" i="7"/>
  <c r="D1179" i="6" s="1"/>
  <c r="G1178" i="7"/>
  <c r="H1178" i="7" s="1"/>
  <c r="J1178" i="7"/>
  <c r="D1180" i="6" s="1"/>
  <c r="G1179" i="7"/>
  <c r="H1179" i="7" s="1"/>
  <c r="J1179" i="7"/>
  <c r="D1181" i="6" s="1"/>
  <c r="G1180" i="7"/>
  <c r="H1180" i="7" s="1"/>
  <c r="J1180" i="7"/>
  <c r="D1182" i="6" s="1"/>
  <c r="G1181" i="7"/>
  <c r="H1181" i="7" s="1"/>
  <c r="J1181" i="7"/>
  <c r="D1183" i="6" s="1"/>
  <c r="G1182" i="7"/>
  <c r="H1182" i="7" s="1"/>
  <c r="J1182" i="7"/>
  <c r="D1184" i="6" s="1"/>
  <c r="G1183" i="7"/>
  <c r="H1183" i="7" s="1"/>
  <c r="J1183" i="7"/>
  <c r="D1185" i="6" s="1"/>
  <c r="G1184" i="7"/>
  <c r="H1184" i="7" s="1"/>
  <c r="J1184" i="7"/>
  <c r="D1186" i="6" s="1"/>
  <c r="G1185" i="7"/>
  <c r="H1185" i="7" s="1"/>
  <c r="J1185" i="7"/>
  <c r="D1187" i="6" s="1"/>
  <c r="G1186" i="7"/>
  <c r="H1186" i="7" s="1"/>
  <c r="J1186" i="7"/>
  <c r="D1188" i="6" s="1"/>
  <c r="G1187" i="7"/>
  <c r="H1187" i="7" s="1"/>
  <c r="J1187" i="7"/>
  <c r="D1189" i="6" s="1"/>
  <c r="G1188" i="7"/>
  <c r="H1188" i="7" s="1"/>
  <c r="J1188" i="7"/>
  <c r="D1190" i="6" s="1"/>
  <c r="G1189" i="7"/>
  <c r="H1189" i="7" s="1"/>
  <c r="J1189" i="7"/>
  <c r="D1191" i="6" s="1"/>
  <c r="G1190" i="7"/>
  <c r="H1190" i="7" s="1"/>
  <c r="J1190" i="7"/>
  <c r="D1192" i="6" s="1"/>
  <c r="G1191" i="7"/>
  <c r="H1191" i="7" s="1"/>
  <c r="J1191" i="7"/>
  <c r="D1193" i="6" s="1"/>
  <c r="G1192" i="7"/>
  <c r="H1192" i="7" s="1"/>
  <c r="J1192" i="7"/>
  <c r="D1194" i="6" s="1"/>
  <c r="G1193" i="7"/>
  <c r="H1193" i="7" s="1"/>
  <c r="J1193" i="7"/>
  <c r="D1195" i="6" s="1"/>
  <c r="G1194" i="7"/>
  <c r="H1194" i="7" s="1"/>
  <c r="J1194" i="7"/>
  <c r="D1196" i="6" s="1"/>
  <c r="G1195" i="7"/>
  <c r="H1195" i="7" s="1"/>
  <c r="J1195" i="7"/>
  <c r="D1197" i="6" s="1"/>
  <c r="G1196" i="7"/>
  <c r="H1196" i="7" s="1"/>
  <c r="J1196" i="7"/>
  <c r="D1198" i="6" s="1"/>
  <c r="G1197" i="7"/>
  <c r="H1197" i="7" s="1"/>
  <c r="J1197" i="7"/>
  <c r="D1199" i="6" s="1"/>
  <c r="G1198" i="7"/>
  <c r="H1198" i="7" s="1"/>
  <c r="J1198" i="7"/>
  <c r="D1200" i="6" s="1"/>
  <c r="G1199" i="7"/>
  <c r="H1199" i="7" s="1"/>
  <c r="J1199" i="7"/>
  <c r="D1201" i="6" s="1"/>
  <c r="G1200" i="7"/>
  <c r="H1200" i="7" s="1"/>
  <c r="J1200" i="7"/>
  <c r="D1202" i="6" s="1"/>
  <c r="G1201" i="7"/>
  <c r="H1201" i="7" s="1"/>
  <c r="J1201" i="7"/>
  <c r="D1203" i="6" s="1"/>
  <c r="G1202" i="7"/>
  <c r="H1202" i="7" s="1"/>
  <c r="J1202" i="7"/>
  <c r="D1204" i="6" s="1"/>
  <c r="G1203" i="7"/>
  <c r="H1203" i="7" s="1"/>
  <c r="J1203" i="7"/>
  <c r="D1205" i="6" s="1"/>
  <c r="G1204" i="7"/>
  <c r="H1204" i="7" s="1"/>
  <c r="J1204" i="7"/>
  <c r="D1206" i="6" s="1"/>
  <c r="G1205" i="7"/>
  <c r="H1205" i="7" s="1"/>
  <c r="J1205" i="7"/>
  <c r="D1207" i="6" s="1"/>
  <c r="G1206" i="7"/>
  <c r="H1206" i="7" s="1"/>
  <c r="J1206" i="7"/>
  <c r="D1208" i="6" s="1"/>
  <c r="G1207" i="7"/>
  <c r="H1207" i="7" s="1"/>
  <c r="J1207" i="7"/>
  <c r="D1209" i="6" s="1"/>
  <c r="G1208" i="7"/>
  <c r="H1208" i="7" s="1"/>
  <c r="J1208" i="7"/>
  <c r="D1210" i="6" s="1"/>
  <c r="G1209" i="7"/>
  <c r="H1209" i="7" s="1"/>
  <c r="J1209" i="7"/>
  <c r="D1211" i="6" s="1"/>
  <c r="G1210" i="7"/>
  <c r="H1210" i="7" s="1"/>
  <c r="J1210" i="7"/>
  <c r="D1212" i="6" s="1"/>
  <c r="G1211" i="7"/>
  <c r="H1211" i="7" s="1"/>
  <c r="J1211" i="7"/>
  <c r="D1213" i="6" s="1"/>
  <c r="G1212" i="7"/>
  <c r="H1212" i="7" s="1"/>
  <c r="J1212" i="7"/>
  <c r="D1214" i="6" s="1"/>
  <c r="G1213" i="7"/>
  <c r="H1213" i="7" s="1"/>
  <c r="J1213" i="7"/>
  <c r="D1215" i="6" s="1"/>
  <c r="G1214" i="7"/>
  <c r="H1214" i="7" s="1"/>
  <c r="J1214" i="7"/>
  <c r="D1216" i="6" s="1"/>
  <c r="G1215" i="7"/>
  <c r="H1215" i="7" s="1"/>
  <c r="J1215" i="7"/>
  <c r="D1217" i="6" s="1"/>
  <c r="J1100" i="7"/>
  <c r="D1102" i="6" s="1"/>
  <c r="G1100" i="7"/>
  <c r="H1100" i="7" s="1"/>
  <c r="J1099" i="7"/>
  <c r="D1101" i="6" s="1"/>
  <c r="G1099" i="7"/>
  <c r="H1099" i="7" s="1"/>
  <c r="J1098" i="7"/>
  <c r="D1100" i="6" s="1"/>
  <c r="G1098" i="7"/>
  <c r="H1098" i="7" s="1"/>
  <c r="J1097" i="7"/>
  <c r="D1099" i="6" s="1"/>
  <c r="G1097" i="7"/>
  <c r="H1097" i="7" s="1"/>
  <c r="J1096" i="7"/>
  <c r="D1098" i="6" s="1"/>
  <c r="G1096" i="7"/>
  <c r="H1096" i="7" s="1"/>
  <c r="J1095" i="7"/>
  <c r="D1097" i="6" s="1"/>
  <c r="G1095" i="7"/>
  <c r="H1095" i="7" s="1"/>
  <c r="J1094" i="7"/>
  <c r="D1096" i="6" s="1"/>
  <c r="G1094" i="7"/>
  <c r="H1094" i="7" s="1"/>
  <c r="J1093" i="7"/>
  <c r="D1095" i="6" s="1"/>
  <c r="G1093" i="7"/>
  <c r="H1093" i="7" s="1"/>
  <c r="J1092" i="7"/>
  <c r="D1094" i="6" s="1"/>
  <c r="G1092" i="7"/>
  <c r="H1092" i="7" s="1"/>
  <c r="J1091" i="7"/>
  <c r="D1093" i="6" s="1"/>
  <c r="G1091" i="7"/>
  <c r="H1091" i="7" s="1"/>
  <c r="J1090" i="7"/>
  <c r="D1092" i="6" s="1"/>
  <c r="G1090" i="7"/>
  <c r="H1090" i="7" s="1"/>
  <c r="J1089" i="7"/>
  <c r="D1091" i="6" s="1"/>
  <c r="G1089" i="7"/>
  <c r="H1089" i="7" s="1"/>
  <c r="J1088" i="7"/>
  <c r="D1090" i="6" s="1"/>
  <c r="G1088" i="7"/>
  <c r="H1088" i="7" s="1"/>
  <c r="J1087" i="7"/>
  <c r="D1089" i="6" s="1"/>
  <c r="G1087" i="7"/>
  <c r="H1087" i="7" s="1"/>
  <c r="J1086" i="7"/>
  <c r="D1088" i="6" s="1"/>
  <c r="G1086" i="7"/>
  <c r="H1086" i="7" s="1"/>
  <c r="J1085" i="7"/>
  <c r="D1087" i="6" s="1"/>
  <c r="G1085" i="7"/>
  <c r="H1085" i="7" s="1"/>
  <c r="J1084" i="7"/>
  <c r="D1086" i="6" s="1"/>
  <c r="G1084" i="7"/>
  <c r="H1084" i="7" s="1"/>
  <c r="J1083" i="7"/>
  <c r="D1085" i="6" s="1"/>
  <c r="G1083" i="7"/>
  <c r="H1083" i="7" s="1"/>
  <c r="J1082" i="7"/>
  <c r="D1084" i="6" s="1"/>
  <c r="G1082" i="7"/>
  <c r="H1082" i="7" s="1"/>
  <c r="J1081" i="7"/>
  <c r="D1083" i="6" s="1"/>
  <c r="G1081" i="7"/>
  <c r="H1081" i="7" s="1"/>
  <c r="J1080" i="7"/>
  <c r="D1082" i="6" s="1"/>
  <c r="G1080" i="7"/>
  <c r="H1080" i="7" s="1"/>
  <c r="J1079" i="7"/>
  <c r="D1081" i="6" s="1"/>
  <c r="G1079" i="7"/>
  <c r="H1079" i="7" s="1"/>
  <c r="J1078" i="7"/>
  <c r="D1080" i="6" s="1"/>
  <c r="G1078" i="7"/>
  <c r="H1078" i="7" s="1"/>
  <c r="J1077" i="7"/>
  <c r="D1079" i="6" s="1"/>
  <c r="G1077" i="7"/>
  <c r="H1077" i="7" s="1"/>
  <c r="J1076" i="7"/>
  <c r="D1078" i="6" s="1"/>
  <c r="G1076" i="7"/>
  <c r="H1076" i="7" s="1"/>
  <c r="J1075" i="7"/>
  <c r="D1077" i="6" s="1"/>
  <c r="G1075" i="7"/>
  <c r="H1075" i="7" s="1"/>
  <c r="J1074" i="7"/>
  <c r="D1076" i="6" s="1"/>
  <c r="G1074" i="7"/>
  <c r="H1074" i="7" s="1"/>
  <c r="J1073" i="7"/>
  <c r="D1075" i="6" s="1"/>
  <c r="G1073" i="7"/>
  <c r="H1073" i="7" s="1"/>
  <c r="J1072" i="7"/>
  <c r="D1074" i="6" s="1"/>
  <c r="G1072" i="7"/>
  <c r="H1072" i="7" s="1"/>
  <c r="J1071" i="7"/>
  <c r="D1073" i="6" s="1"/>
  <c r="G1071" i="7"/>
  <c r="H1071" i="7" s="1"/>
  <c r="J1070" i="7"/>
  <c r="D1072" i="6" s="1"/>
  <c r="G1070" i="7"/>
  <c r="H1070" i="7" s="1"/>
  <c r="J1069" i="7"/>
  <c r="D1071" i="6" s="1"/>
  <c r="G1069" i="7"/>
  <c r="H1069" i="7" s="1"/>
  <c r="J1068" i="7"/>
  <c r="D1070" i="6" s="1"/>
  <c r="G1068" i="7"/>
  <c r="H1068" i="7" s="1"/>
  <c r="J1067" i="7"/>
  <c r="D1069" i="6" s="1"/>
  <c r="G1067" i="7"/>
  <c r="H1067" i="7" s="1"/>
  <c r="J1066" i="7"/>
  <c r="D1068" i="6" s="1"/>
  <c r="G1066" i="7"/>
  <c r="H1066" i="7" s="1"/>
  <c r="J1065" i="7"/>
  <c r="D1067" i="6" s="1"/>
  <c r="G1065" i="7"/>
  <c r="H1065" i="7" s="1"/>
  <c r="J1064" i="7"/>
  <c r="D1066" i="6" s="1"/>
  <c r="G1064" i="7"/>
  <c r="H1064" i="7" s="1"/>
  <c r="J1063" i="7"/>
  <c r="D1065" i="6" s="1"/>
  <c r="G1063" i="7"/>
  <c r="H1063" i="7" s="1"/>
  <c r="J1062" i="7"/>
  <c r="D1064" i="6" s="1"/>
  <c r="G1062" i="7"/>
  <c r="H1062" i="7" s="1"/>
  <c r="J1061" i="7"/>
  <c r="D1063" i="6" s="1"/>
  <c r="G1061" i="7"/>
  <c r="H1061" i="7" s="1"/>
  <c r="J1060" i="7"/>
  <c r="D1062" i="6" s="1"/>
  <c r="G1060" i="7"/>
  <c r="H1060" i="7" s="1"/>
  <c r="J1059" i="7"/>
  <c r="D1061" i="6" s="1"/>
  <c r="G1059" i="7"/>
  <c r="H1059" i="7" s="1"/>
  <c r="J1058" i="7"/>
  <c r="D1060" i="6" s="1"/>
  <c r="G1058" i="7"/>
  <c r="H1058" i="7" s="1"/>
  <c r="J1057" i="7"/>
  <c r="D1059" i="6" s="1"/>
  <c r="G1057" i="7"/>
  <c r="H1057" i="7" s="1"/>
  <c r="J1056" i="7"/>
  <c r="D1058" i="6" s="1"/>
  <c r="G1056" i="7"/>
  <c r="H1056" i="7" s="1"/>
  <c r="J1055" i="7"/>
  <c r="D1057" i="6" s="1"/>
  <c r="G1055" i="7"/>
  <c r="H1055" i="7" s="1"/>
  <c r="J1054" i="7"/>
  <c r="D1056" i="6" s="1"/>
  <c r="G1054" i="7"/>
  <c r="H1054" i="7" s="1"/>
  <c r="J1053" i="7"/>
  <c r="D1055" i="6" s="1"/>
  <c r="G1053" i="7"/>
  <c r="H1053" i="7" s="1"/>
  <c r="J1052" i="7"/>
  <c r="D1054" i="6" s="1"/>
  <c r="G1052" i="7"/>
  <c r="H1052" i="7" s="1"/>
  <c r="J1051" i="7"/>
  <c r="D1053" i="6" s="1"/>
  <c r="G1051" i="7"/>
  <c r="H1051" i="7" s="1"/>
  <c r="J1050" i="7"/>
  <c r="D1052" i="6" s="1"/>
  <c r="G1050" i="7"/>
  <c r="H1050" i="7" s="1"/>
  <c r="J1049" i="7"/>
  <c r="D1051" i="6" s="1"/>
  <c r="G1049" i="7"/>
  <c r="H1049" i="7" s="1"/>
  <c r="J1048" i="7"/>
  <c r="D1050" i="6" s="1"/>
  <c r="G1048" i="7"/>
  <c r="H1048" i="7" s="1"/>
  <c r="J1047" i="7"/>
  <c r="D1049" i="6" s="1"/>
  <c r="G1047" i="7"/>
  <c r="H1047" i="7" s="1"/>
  <c r="J1046" i="7"/>
  <c r="D1048" i="6" s="1"/>
  <c r="G1046" i="7"/>
  <c r="H1046" i="7" s="1"/>
  <c r="J1045" i="7"/>
  <c r="D1047" i="6" s="1"/>
  <c r="G1045" i="7"/>
  <c r="H1045" i="7" s="1"/>
  <c r="J1044" i="7"/>
  <c r="D1046" i="6" s="1"/>
  <c r="G1044" i="7"/>
  <c r="H1044" i="7" s="1"/>
  <c r="J1043" i="7"/>
  <c r="D1045" i="6" s="1"/>
  <c r="G1043" i="7"/>
  <c r="H1043" i="7" s="1"/>
  <c r="J1042" i="7"/>
  <c r="D1044" i="6" s="1"/>
  <c r="G1042" i="7"/>
  <c r="H1042" i="7" s="1"/>
  <c r="J1041" i="7"/>
  <c r="D1043" i="6" s="1"/>
  <c r="G1041" i="7"/>
  <c r="H1041" i="7" s="1"/>
  <c r="J1040" i="7"/>
  <c r="D1042" i="6" s="1"/>
  <c r="G1040" i="7"/>
  <c r="H1040" i="7" s="1"/>
  <c r="J1039" i="7"/>
  <c r="D1041" i="6" s="1"/>
  <c r="G1039" i="7"/>
  <c r="H1039" i="7" s="1"/>
  <c r="J1038" i="7"/>
  <c r="D1040" i="6" s="1"/>
  <c r="G1038" i="7"/>
  <c r="H1038" i="7" s="1"/>
  <c r="J1037" i="7"/>
  <c r="D1039" i="6" s="1"/>
  <c r="G1037" i="7"/>
  <c r="H1037" i="7" s="1"/>
  <c r="J1036" i="7"/>
  <c r="D1038" i="6" s="1"/>
  <c r="G1036" i="7"/>
  <c r="H1036" i="7" s="1"/>
  <c r="J1035" i="7"/>
  <c r="D1037" i="6" s="1"/>
  <c r="G1035" i="7"/>
  <c r="H1035" i="7" s="1"/>
  <c r="J1034" i="7"/>
  <c r="D1036" i="6" s="1"/>
  <c r="G1034" i="7"/>
  <c r="H1034" i="7" s="1"/>
  <c r="J1033" i="7"/>
  <c r="D1035" i="6" s="1"/>
  <c r="G1033" i="7"/>
  <c r="H1033" i="7" s="1"/>
  <c r="J1032" i="7"/>
  <c r="D1034" i="6" s="1"/>
  <c r="G1032" i="7"/>
  <c r="H1032" i="7" s="1"/>
  <c r="J1031" i="7"/>
  <c r="D1033" i="6" s="1"/>
  <c r="G1031" i="7"/>
  <c r="H1031" i="7" s="1"/>
  <c r="J1030" i="7"/>
  <c r="D1032" i="6" s="1"/>
  <c r="G1030" i="7"/>
  <c r="H1030" i="7" s="1"/>
  <c r="J1029" i="7"/>
  <c r="D1031" i="6" s="1"/>
  <c r="G1029" i="7"/>
  <c r="H1029" i="7" s="1"/>
  <c r="J1028" i="7"/>
  <c r="D1030" i="6" s="1"/>
  <c r="G1028" i="7"/>
  <c r="H1028" i="7" s="1"/>
  <c r="J1027" i="7"/>
  <c r="D1029" i="6" s="1"/>
  <c r="G1027" i="7"/>
  <c r="H1027" i="7" s="1"/>
  <c r="J1026" i="7"/>
  <c r="D1028" i="6" s="1"/>
  <c r="G1026" i="7"/>
  <c r="H1026" i="7" s="1"/>
  <c r="J1025" i="7"/>
  <c r="D1027" i="6" s="1"/>
  <c r="G1025" i="7"/>
  <c r="H1025" i="7" s="1"/>
  <c r="J1024" i="7"/>
  <c r="D1026" i="6" s="1"/>
  <c r="G1024" i="7"/>
  <c r="H1024" i="7" s="1"/>
  <c r="J1023" i="7"/>
  <c r="D1025" i="6" s="1"/>
  <c r="G1023" i="7"/>
  <c r="H1023" i="7" s="1"/>
  <c r="J1022" i="7"/>
  <c r="D1024" i="6" s="1"/>
  <c r="G1022" i="7"/>
  <c r="H1022" i="7" s="1"/>
  <c r="J1021" i="7"/>
  <c r="D1023" i="6" s="1"/>
  <c r="G1021" i="7"/>
  <c r="H1021" i="7" s="1"/>
  <c r="J1020" i="7"/>
  <c r="D1022" i="6" s="1"/>
  <c r="G1020" i="7"/>
  <c r="H1020" i="7" s="1"/>
  <c r="J1019" i="7"/>
  <c r="D1021" i="6" s="1"/>
  <c r="G1019" i="7"/>
  <c r="H1019" i="7" s="1"/>
  <c r="J1018" i="7"/>
  <c r="D1020" i="6" s="1"/>
  <c r="G1018" i="7"/>
  <c r="H1018" i="7" s="1"/>
  <c r="J1017" i="7"/>
  <c r="D1019" i="6" s="1"/>
  <c r="G1017" i="7"/>
  <c r="H1017" i="7" s="1"/>
  <c r="J1016" i="7"/>
  <c r="D1018" i="6" s="1"/>
  <c r="G1016" i="7"/>
  <c r="H1016" i="7" s="1"/>
  <c r="J1015" i="7"/>
  <c r="D1017" i="6" s="1"/>
  <c r="G1015" i="7"/>
  <c r="H1015" i="7" s="1"/>
  <c r="J1014" i="7"/>
  <c r="D1016" i="6" s="1"/>
  <c r="G1014" i="7"/>
  <c r="H1014" i="7" s="1"/>
  <c r="J1013" i="7"/>
  <c r="D1015" i="6" s="1"/>
  <c r="G1013" i="7"/>
  <c r="H1013" i="7" s="1"/>
  <c r="J1012" i="7"/>
  <c r="D1014" i="6" s="1"/>
  <c r="G1012" i="7"/>
  <c r="H1012" i="7" s="1"/>
  <c r="J1011" i="7"/>
  <c r="D1013" i="6" s="1"/>
  <c r="G1011" i="7"/>
  <c r="H1011" i="7" s="1"/>
  <c r="J1010" i="7"/>
  <c r="D1012" i="6" s="1"/>
  <c r="G1010" i="7"/>
  <c r="H1010" i="7" s="1"/>
  <c r="J1009" i="7"/>
  <c r="D1011" i="6" s="1"/>
  <c r="G1009" i="7"/>
  <c r="H1009" i="7" s="1"/>
  <c r="J1008" i="7"/>
  <c r="D1010" i="6" s="1"/>
  <c r="G1008" i="7"/>
  <c r="H1008" i="7" s="1"/>
  <c r="J1007" i="7"/>
  <c r="D1009" i="6" s="1"/>
  <c r="G1007" i="7"/>
  <c r="H1007" i="7" s="1"/>
  <c r="J1006" i="7"/>
  <c r="D1008" i="6" s="1"/>
  <c r="G1006" i="7"/>
  <c r="H1006" i="7" s="1"/>
  <c r="J1005" i="7"/>
  <c r="D1007" i="6" s="1"/>
  <c r="G1005" i="7"/>
  <c r="H1005" i="7" s="1"/>
  <c r="J1004" i="7"/>
  <c r="D1006" i="6" s="1"/>
  <c r="G1004" i="7"/>
  <c r="H1004" i="7" s="1"/>
  <c r="J1003" i="7"/>
  <c r="D1005" i="6" s="1"/>
  <c r="G1003" i="7"/>
  <c r="H1003" i="7" s="1"/>
  <c r="J1002" i="7"/>
  <c r="D1004" i="6" s="1"/>
  <c r="G1002" i="7"/>
  <c r="H1002" i="7" s="1"/>
  <c r="J1001" i="7"/>
  <c r="D1003" i="6" s="1"/>
  <c r="G1001" i="7"/>
  <c r="H1001" i="7" s="1"/>
  <c r="J1000" i="7"/>
  <c r="D1002" i="6" s="1"/>
  <c r="G1000" i="7"/>
  <c r="H1000" i="7" s="1"/>
  <c r="J999" i="7"/>
  <c r="D1001" i="6" s="1"/>
  <c r="G999" i="7"/>
  <c r="H999" i="7" s="1"/>
  <c r="J998" i="7"/>
  <c r="D1000" i="6" s="1"/>
  <c r="G998" i="7"/>
  <c r="H998" i="7" s="1"/>
  <c r="J997" i="7"/>
  <c r="D999" i="6" s="1"/>
  <c r="G997" i="7"/>
  <c r="H997" i="7" s="1"/>
  <c r="J996" i="7"/>
  <c r="D998" i="6" s="1"/>
  <c r="G996" i="7"/>
  <c r="H996" i="7" s="1"/>
  <c r="J995" i="7"/>
  <c r="D997" i="6" s="1"/>
  <c r="G995" i="7"/>
  <c r="H995" i="7" s="1"/>
  <c r="J994" i="7"/>
  <c r="D996" i="6" s="1"/>
  <c r="G994" i="7"/>
  <c r="H994" i="7" s="1"/>
  <c r="J993" i="7"/>
  <c r="D995" i="6" s="1"/>
  <c r="G993" i="7"/>
  <c r="H993" i="7" s="1"/>
  <c r="J992" i="7"/>
  <c r="D994" i="6" s="1"/>
  <c r="G992" i="7"/>
  <c r="H992" i="7" s="1"/>
  <c r="J991" i="7"/>
  <c r="D993" i="6" s="1"/>
  <c r="G991" i="7"/>
  <c r="H991" i="7" s="1"/>
  <c r="J990" i="7"/>
  <c r="D992" i="6" s="1"/>
  <c r="G990" i="7"/>
  <c r="H990" i="7" s="1"/>
  <c r="J989" i="7"/>
  <c r="D991" i="6" s="1"/>
  <c r="G989" i="7"/>
  <c r="H989" i="7" s="1"/>
  <c r="J988" i="7"/>
  <c r="D990" i="6" s="1"/>
  <c r="G988" i="7"/>
  <c r="H988" i="7" s="1"/>
  <c r="J987" i="7"/>
  <c r="D989" i="6" s="1"/>
  <c r="G987" i="7"/>
  <c r="H987" i="7" s="1"/>
  <c r="J986" i="7"/>
  <c r="D988" i="6" s="1"/>
  <c r="G986" i="7"/>
  <c r="H986" i="7" s="1"/>
  <c r="J985" i="7"/>
  <c r="D987" i="6" s="1"/>
  <c r="G985" i="7"/>
  <c r="H985" i="7" s="1"/>
  <c r="J984" i="7"/>
  <c r="D986" i="6" s="1"/>
  <c r="G984" i="7"/>
  <c r="H984" i="7" s="1"/>
  <c r="J983" i="7"/>
  <c r="D985" i="6" s="1"/>
  <c r="G983" i="7"/>
  <c r="H983" i="7" s="1"/>
  <c r="J982" i="7"/>
  <c r="D984" i="6" s="1"/>
  <c r="G982" i="7"/>
  <c r="H982" i="7" s="1"/>
  <c r="J981" i="7"/>
  <c r="D983" i="6" s="1"/>
  <c r="G981" i="7"/>
  <c r="H981" i="7" s="1"/>
  <c r="J980" i="7"/>
  <c r="D982" i="6" s="1"/>
  <c r="G980" i="7"/>
  <c r="H980" i="7" s="1"/>
  <c r="J979" i="7"/>
  <c r="D981" i="6" s="1"/>
  <c r="G979" i="7"/>
  <c r="H979" i="7" s="1"/>
  <c r="J978" i="7"/>
  <c r="D980" i="6" s="1"/>
  <c r="G978" i="7"/>
  <c r="H978" i="7" s="1"/>
  <c r="J977" i="7"/>
  <c r="D979" i="6" s="1"/>
  <c r="G977" i="7"/>
  <c r="H977" i="7" s="1"/>
  <c r="J976" i="7"/>
  <c r="D978" i="6" s="1"/>
  <c r="G976" i="7"/>
  <c r="H976" i="7" s="1"/>
  <c r="J975" i="7"/>
  <c r="D977" i="6" s="1"/>
  <c r="G975" i="7"/>
  <c r="H975" i="7" s="1"/>
  <c r="J974" i="7"/>
  <c r="D976" i="6" s="1"/>
  <c r="G974" i="7"/>
  <c r="H974" i="7" s="1"/>
  <c r="J973" i="7"/>
  <c r="D975" i="6" s="1"/>
  <c r="G973" i="7"/>
  <c r="H973" i="7" s="1"/>
  <c r="J972" i="7"/>
  <c r="D974" i="6" s="1"/>
  <c r="G972" i="7"/>
  <c r="H972" i="7" s="1"/>
  <c r="J971" i="7"/>
  <c r="D973" i="6" s="1"/>
  <c r="G971" i="7"/>
  <c r="H971" i="7" s="1"/>
  <c r="J970" i="7"/>
  <c r="D972" i="6" s="1"/>
  <c r="G970" i="7"/>
  <c r="H970" i="7" s="1"/>
  <c r="J969" i="7"/>
  <c r="D971" i="6" s="1"/>
  <c r="G969" i="7"/>
  <c r="H969" i="7" s="1"/>
  <c r="J968" i="7"/>
  <c r="D970" i="6" s="1"/>
  <c r="G968" i="7"/>
  <c r="H968" i="7" s="1"/>
  <c r="J967" i="7"/>
  <c r="D969" i="6" s="1"/>
  <c r="G967" i="7"/>
  <c r="H967" i="7" s="1"/>
  <c r="J966" i="7"/>
  <c r="D968" i="6" s="1"/>
  <c r="G966" i="7"/>
  <c r="H966" i="7" s="1"/>
  <c r="J965" i="7"/>
  <c r="D967" i="6" s="1"/>
  <c r="G965" i="7"/>
  <c r="H965" i="7" s="1"/>
  <c r="J964" i="7"/>
  <c r="D966" i="6" s="1"/>
  <c r="G964" i="7"/>
  <c r="H964" i="7" s="1"/>
  <c r="J963" i="7"/>
  <c r="D965" i="6" s="1"/>
  <c r="G963" i="7"/>
  <c r="H963" i="7" s="1"/>
  <c r="J962" i="7"/>
  <c r="D964" i="6" s="1"/>
  <c r="G962" i="7"/>
  <c r="H962" i="7" s="1"/>
  <c r="J961" i="7"/>
  <c r="D963" i="6" s="1"/>
  <c r="G961" i="7"/>
  <c r="H961" i="7" s="1"/>
  <c r="J960" i="7"/>
  <c r="D962" i="6" s="1"/>
  <c r="G960" i="7"/>
  <c r="H960" i="7" s="1"/>
  <c r="J959" i="7"/>
  <c r="D961" i="6" s="1"/>
  <c r="G959" i="7"/>
  <c r="H959" i="7" s="1"/>
  <c r="J958" i="7"/>
  <c r="D960" i="6" s="1"/>
  <c r="G958" i="7"/>
  <c r="H958" i="7" s="1"/>
  <c r="J957" i="7"/>
  <c r="D959" i="6" s="1"/>
  <c r="G957" i="7"/>
  <c r="H957" i="7" s="1"/>
  <c r="J956" i="7"/>
  <c r="D958" i="6" s="1"/>
  <c r="G956" i="7"/>
  <c r="H956" i="7" s="1"/>
  <c r="J955" i="7"/>
  <c r="D957" i="6" s="1"/>
  <c r="G955" i="7"/>
  <c r="H955" i="7" s="1"/>
  <c r="J954" i="7"/>
  <c r="D956" i="6" s="1"/>
  <c r="G954" i="7"/>
  <c r="H954" i="7" s="1"/>
  <c r="J953" i="7"/>
  <c r="D955" i="6" s="1"/>
  <c r="G953" i="7"/>
  <c r="H953" i="7" s="1"/>
  <c r="J952" i="7"/>
  <c r="D954" i="6" s="1"/>
  <c r="G952" i="7"/>
  <c r="H952" i="7" s="1"/>
  <c r="J951" i="7"/>
  <c r="D953" i="6" s="1"/>
  <c r="G951" i="7"/>
  <c r="H951" i="7" s="1"/>
  <c r="J950" i="7"/>
  <c r="D952" i="6" s="1"/>
  <c r="G950" i="7"/>
  <c r="H950" i="7" s="1"/>
  <c r="J949" i="7"/>
  <c r="D951" i="6" s="1"/>
  <c r="G949" i="7"/>
  <c r="H949" i="7" s="1"/>
  <c r="J948" i="7"/>
  <c r="D950" i="6" s="1"/>
  <c r="G948" i="7"/>
  <c r="H948" i="7" s="1"/>
  <c r="J947" i="7"/>
  <c r="D949" i="6" s="1"/>
  <c r="G947" i="7"/>
  <c r="H947" i="7" s="1"/>
  <c r="J946" i="7"/>
  <c r="D948" i="6" s="1"/>
  <c r="G946" i="7"/>
  <c r="H946" i="7" s="1"/>
  <c r="J945" i="7"/>
  <c r="D947" i="6" s="1"/>
  <c r="G945" i="7"/>
  <c r="H945" i="7" s="1"/>
  <c r="J944" i="7"/>
  <c r="D946" i="6" s="1"/>
  <c r="G944" i="7"/>
  <c r="H944" i="7" s="1"/>
  <c r="J943" i="7"/>
  <c r="D945" i="6" s="1"/>
  <c r="G943" i="7"/>
  <c r="H943" i="7" s="1"/>
  <c r="J942" i="7"/>
  <c r="D944" i="6" s="1"/>
  <c r="G942" i="7"/>
  <c r="H942" i="7" s="1"/>
  <c r="J941" i="7"/>
  <c r="D943" i="6" s="1"/>
  <c r="G941" i="7"/>
  <c r="H941" i="7" s="1"/>
  <c r="J940" i="7"/>
  <c r="D942" i="6" s="1"/>
  <c r="G940" i="7"/>
  <c r="H940" i="7" s="1"/>
  <c r="J939" i="7"/>
  <c r="D941" i="6" s="1"/>
  <c r="G939" i="7"/>
  <c r="H939" i="7" s="1"/>
  <c r="J938" i="7"/>
  <c r="D940" i="6" s="1"/>
  <c r="G938" i="7"/>
  <c r="H938" i="7" s="1"/>
  <c r="J937" i="7"/>
  <c r="D939" i="6" s="1"/>
  <c r="G937" i="7"/>
  <c r="H937" i="7" s="1"/>
  <c r="J936" i="7"/>
  <c r="D938" i="6" s="1"/>
  <c r="G936" i="7"/>
  <c r="H936" i="7" s="1"/>
  <c r="J935" i="7"/>
  <c r="D937" i="6" s="1"/>
  <c r="G935" i="7"/>
  <c r="H935" i="7" s="1"/>
  <c r="J934" i="7"/>
  <c r="D936" i="6" s="1"/>
  <c r="G934" i="7"/>
  <c r="H934" i="7" s="1"/>
  <c r="J933" i="7"/>
  <c r="D935" i="6" s="1"/>
  <c r="G933" i="7"/>
  <c r="H933" i="7" s="1"/>
  <c r="J932" i="7"/>
  <c r="D934" i="6" s="1"/>
  <c r="G932" i="7"/>
  <c r="H932" i="7" s="1"/>
  <c r="J931" i="7"/>
  <c r="D933" i="6" s="1"/>
  <c r="G931" i="7"/>
  <c r="H931" i="7" s="1"/>
  <c r="J930" i="7"/>
  <c r="D932" i="6" s="1"/>
  <c r="G930" i="7"/>
  <c r="H930" i="7" s="1"/>
  <c r="J929" i="7"/>
  <c r="D931" i="6" s="1"/>
  <c r="G929" i="7"/>
  <c r="H929" i="7" s="1"/>
  <c r="J928" i="7"/>
  <c r="D930" i="6" s="1"/>
  <c r="G928" i="7"/>
  <c r="H928" i="7" s="1"/>
  <c r="J927" i="7"/>
  <c r="D929" i="6" s="1"/>
  <c r="G927" i="7"/>
  <c r="H927" i="7" s="1"/>
  <c r="J926" i="7"/>
  <c r="D928" i="6" s="1"/>
  <c r="G926" i="7"/>
  <c r="H926" i="7" s="1"/>
  <c r="J925" i="7"/>
  <c r="D927" i="6" s="1"/>
  <c r="G925" i="7"/>
  <c r="H925" i="7" s="1"/>
  <c r="J924" i="7"/>
  <c r="D926" i="6" s="1"/>
  <c r="G924" i="7"/>
  <c r="H924" i="7" s="1"/>
  <c r="J923" i="7"/>
  <c r="D925" i="6" s="1"/>
  <c r="G923" i="7"/>
  <c r="H923" i="7" s="1"/>
  <c r="J922" i="7"/>
  <c r="D924" i="6" s="1"/>
  <c r="G922" i="7"/>
  <c r="H922" i="7" s="1"/>
  <c r="J921" i="7"/>
  <c r="D923" i="6" s="1"/>
  <c r="G921" i="7"/>
  <c r="H921" i="7" s="1"/>
  <c r="J920" i="7"/>
  <c r="D922" i="6" s="1"/>
  <c r="G920" i="7"/>
  <c r="H920" i="7" s="1"/>
  <c r="J919" i="7"/>
  <c r="D921" i="6" s="1"/>
  <c r="G919" i="7"/>
  <c r="H919" i="7" s="1"/>
  <c r="J918" i="7"/>
  <c r="D920" i="6" s="1"/>
  <c r="G918" i="7"/>
  <c r="H918" i="7" s="1"/>
  <c r="J917" i="7"/>
  <c r="D919" i="6" s="1"/>
  <c r="G917" i="7"/>
  <c r="H917" i="7" s="1"/>
  <c r="J916" i="7"/>
  <c r="D918" i="6" s="1"/>
  <c r="G916" i="7"/>
  <c r="H916" i="7" s="1"/>
  <c r="J915" i="7"/>
  <c r="D917" i="6" s="1"/>
  <c r="G915" i="7"/>
  <c r="H915" i="7" s="1"/>
  <c r="J914" i="7"/>
  <c r="D916" i="6" s="1"/>
  <c r="G914" i="7"/>
  <c r="H914" i="7" s="1"/>
  <c r="J913" i="7"/>
  <c r="D915" i="6" s="1"/>
  <c r="G913" i="7"/>
  <c r="H913" i="7" s="1"/>
  <c r="J912" i="7"/>
  <c r="D914" i="6" s="1"/>
  <c r="G912" i="7"/>
  <c r="H912" i="7" s="1"/>
  <c r="J911" i="7"/>
  <c r="D913" i="6" s="1"/>
  <c r="G911" i="7"/>
  <c r="H911" i="7" s="1"/>
  <c r="J910" i="7"/>
  <c r="D912" i="6" s="1"/>
  <c r="G910" i="7"/>
  <c r="H910" i="7" s="1"/>
  <c r="J909" i="7"/>
  <c r="D911" i="6" s="1"/>
  <c r="G909" i="7"/>
  <c r="H909" i="7" s="1"/>
  <c r="J908" i="7"/>
  <c r="D910" i="6" s="1"/>
  <c r="G908" i="7"/>
  <c r="H908" i="7" s="1"/>
  <c r="J907" i="7"/>
  <c r="D909" i="6" s="1"/>
  <c r="G907" i="7"/>
  <c r="H907" i="7" s="1"/>
  <c r="J906" i="7"/>
  <c r="D908" i="6" s="1"/>
  <c r="G906" i="7"/>
  <c r="H906" i="7" s="1"/>
  <c r="J905" i="7"/>
  <c r="D907" i="6" s="1"/>
  <c r="G905" i="7"/>
  <c r="H905" i="7" s="1"/>
  <c r="J904" i="7"/>
  <c r="D906" i="6" s="1"/>
  <c r="G904" i="7"/>
  <c r="H904" i="7" s="1"/>
  <c r="J903" i="7"/>
  <c r="D905" i="6" s="1"/>
  <c r="G903" i="7"/>
  <c r="H903" i="7" s="1"/>
  <c r="J902" i="7"/>
  <c r="D904" i="6" s="1"/>
  <c r="G902" i="7"/>
  <c r="H902" i="7" s="1"/>
  <c r="J901" i="7"/>
  <c r="D903" i="6" s="1"/>
  <c r="G901" i="7"/>
  <c r="H901" i="7" s="1"/>
  <c r="J900" i="7"/>
  <c r="D902" i="6" s="1"/>
  <c r="G900" i="7"/>
  <c r="H900" i="7" s="1"/>
  <c r="J899" i="7"/>
  <c r="D901" i="6" s="1"/>
  <c r="G899" i="7"/>
  <c r="H899" i="7" s="1"/>
  <c r="J898" i="7"/>
  <c r="D900" i="6" s="1"/>
  <c r="G898" i="7"/>
  <c r="H898" i="7" s="1"/>
  <c r="J897" i="7"/>
  <c r="D899" i="6" s="1"/>
  <c r="G897" i="7"/>
  <c r="H897" i="7" s="1"/>
  <c r="J896" i="7"/>
  <c r="D898" i="6" s="1"/>
  <c r="G896" i="7"/>
  <c r="H896" i="7" s="1"/>
  <c r="J895" i="7"/>
  <c r="D897" i="6" s="1"/>
  <c r="G895" i="7"/>
  <c r="H895" i="7" s="1"/>
  <c r="J894" i="7"/>
  <c r="D896" i="6" s="1"/>
  <c r="G894" i="7"/>
  <c r="H894" i="7" s="1"/>
  <c r="J893" i="7"/>
  <c r="D895" i="6" s="1"/>
  <c r="G893" i="7"/>
  <c r="H893" i="7" s="1"/>
  <c r="J892" i="7"/>
  <c r="D894" i="6" s="1"/>
  <c r="G892" i="7"/>
  <c r="H892" i="7" s="1"/>
  <c r="J891" i="7"/>
  <c r="D893" i="6" s="1"/>
  <c r="G891" i="7"/>
  <c r="H891" i="7" s="1"/>
  <c r="J890" i="7"/>
  <c r="D892" i="6" s="1"/>
  <c r="G890" i="7"/>
  <c r="H890" i="7" s="1"/>
  <c r="J889" i="7"/>
  <c r="D891" i="6" s="1"/>
  <c r="G889" i="7"/>
  <c r="H889" i="7" s="1"/>
  <c r="J888" i="7"/>
  <c r="D890" i="6" s="1"/>
  <c r="G888" i="7"/>
  <c r="H888" i="7" s="1"/>
  <c r="J887" i="7"/>
  <c r="D889" i="6" s="1"/>
  <c r="G887" i="7"/>
  <c r="H887" i="7" s="1"/>
  <c r="J886" i="7"/>
  <c r="D888" i="6" s="1"/>
  <c r="G886" i="7"/>
  <c r="H886" i="7" s="1"/>
  <c r="J885" i="7"/>
  <c r="D887" i="6" s="1"/>
  <c r="G885" i="7"/>
  <c r="H885" i="7" s="1"/>
  <c r="J884" i="7"/>
  <c r="D886" i="6" s="1"/>
  <c r="G884" i="7"/>
  <c r="H884" i="7" s="1"/>
  <c r="J883" i="7"/>
  <c r="D885" i="6" s="1"/>
  <c r="G883" i="7"/>
  <c r="H883" i="7" s="1"/>
  <c r="J882" i="7"/>
  <c r="D884" i="6" s="1"/>
  <c r="G882" i="7"/>
  <c r="H882" i="7" s="1"/>
  <c r="J881" i="7"/>
  <c r="D883" i="6" s="1"/>
  <c r="G881" i="7"/>
  <c r="H881" i="7" s="1"/>
  <c r="J880" i="7"/>
  <c r="D882" i="6" s="1"/>
  <c r="G880" i="7"/>
  <c r="H880" i="7" s="1"/>
  <c r="J879" i="7"/>
  <c r="D881" i="6" s="1"/>
  <c r="G879" i="7"/>
  <c r="H879" i="7" s="1"/>
  <c r="J878" i="7"/>
  <c r="D880" i="6" s="1"/>
  <c r="G878" i="7"/>
  <c r="H878" i="7" s="1"/>
  <c r="J877" i="7"/>
  <c r="D879" i="6" s="1"/>
  <c r="G877" i="7"/>
  <c r="H877" i="7" s="1"/>
  <c r="J876" i="7"/>
  <c r="D878" i="6" s="1"/>
  <c r="G876" i="7"/>
  <c r="H876" i="7" s="1"/>
  <c r="J875" i="7"/>
  <c r="D877" i="6" s="1"/>
  <c r="G875" i="7"/>
  <c r="H875" i="7" s="1"/>
  <c r="J874" i="7"/>
  <c r="D876" i="6" s="1"/>
  <c r="G874" i="7"/>
  <c r="H874" i="7" s="1"/>
  <c r="J873" i="7"/>
  <c r="D875" i="6" s="1"/>
  <c r="G873" i="7"/>
  <c r="H873" i="7" s="1"/>
  <c r="J872" i="7"/>
  <c r="D874" i="6" s="1"/>
  <c r="G872" i="7"/>
  <c r="H872" i="7" s="1"/>
  <c r="J871" i="7"/>
  <c r="D873" i="6" s="1"/>
  <c r="G871" i="7"/>
  <c r="H871" i="7" s="1"/>
  <c r="J870" i="7"/>
  <c r="D872" i="6" s="1"/>
  <c r="G870" i="7"/>
  <c r="H870" i="7" s="1"/>
  <c r="J869" i="7"/>
  <c r="D871" i="6" s="1"/>
  <c r="G869" i="7"/>
  <c r="H869" i="7" s="1"/>
  <c r="J868" i="7"/>
  <c r="D870" i="6" s="1"/>
  <c r="G868" i="7"/>
  <c r="H868" i="7" s="1"/>
  <c r="J867" i="7"/>
  <c r="D869" i="6" s="1"/>
  <c r="G867" i="7"/>
  <c r="H867" i="7" s="1"/>
  <c r="J866" i="7"/>
  <c r="D868" i="6" s="1"/>
  <c r="G866" i="7"/>
  <c r="H866" i="7" s="1"/>
  <c r="J865" i="7"/>
  <c r="D867" i="6" s="1"/>
  <c r="G865" i="7"/>
  <c r="H865" i="7" s="1"/>
  <c r="J864" i="7"/>
  <c r="D866" i="6" s="1"/>
  <c r="G864" i="7"/>
  <c r="H864" i="7" s="1"/>
  <c r="J863" i="7"/>
  <c r="D865" i="6" s="1"/>
  <c r="G863" i="7"/>
  <c r="H863" i="7" s="1"/>
  <c r="J862" i="7"/>
  <c r="D864" i="6" s="1"/>
  <c r="G862" i="7"/>
  <c r="H862" i="7" s="1"/>
  <c r="J861" i="7"/>
  <c r="D863" i="6" s="1"/>
  <c r="G861" i="7"/>
  <c r="H861" i="7" s="1"/>
  <c r="J860" i="7"/>
  <c r="D862" i="6" s="1"/>
  <c r="G860" i="7"/>
  <c r="H860" i="7" s="1"/>
  <c r="J859" i="7"/>
  <c r="D861" i="6" s="1"/>
  <c r="G859" i="7"/>
  <c r="H859" i="7" s="1"/>
  <c r="J858" i="7"/>
  <c r="D860" i="6" s="1"/>
  <c r="G858" i="7"/>
  <c r="H858" i="7" s="1"/>
  <c r="J857" i="7"/>
  <c r="D859" i="6" s="1"/>
  <c r="G857" i="7"/>
  <c r="H857" i="7" s="1"/>
  <c r="J856" i="7"/>
  <c r="D858" i="6" s="1"/>
  <c r="G856" i="7"/>
  <c r="H856" i="7" s="1"/>
  <c r="J855" i="7"/>
  <c r="D857" i="6" s="1"/>
  <c r="G855" i="7"/>
  <c r="H855" i="7" s="1"/>
  <c r="J854" i="7"/>
  <c r="D856" i="6" s="1"/>
  <c r="G854" i="7"/>
  <c r="H854" i="7" s="1"/>
  <c r="J853" i="7"/>
  <c r="D855" i="6" s="1"/>
  <c r="G853" i="7"/>
  <c r="H853" i="7" s="1"/>
  <c r="J852" i="7"/>
  <c r="D854" i="6" s="1"/>
  <c r="G852" i="7"/>
  <c r="H852" i="7" s="1"/>
  <c r="J851" i="7"/>
  <c r="D853" i="6" s="1"/>
  <c r="G851" i="7"/>
  <c r="H851" i="7" s="1"/>
  <c r="J850" i="7"/>
  <c r="D852" i="6" s="1"/>
  <c r="G850" i="7"/>
  <c r="H850" i="7" s="1"/>
  <c r="J849" i="7"/>
  <c r="D851" i="6" s="1"/>
  <c r="G849" i="7"/>
  <c r="H849" i="7" s="1"/>
  <c r="J848" i="7"/>
  <c r="D850" i="6" s="1"/>
  <c r="G848" i="7"/>
  <c r="H848" i="7" s="1"/>
  <c r="J847" i="7"/>
  <c r="D849" i="6" s="1"/>
  <c r="G847" i="7"/>
  <c r="H847" i="7" s="1"/>
  <c r="J846" i="7"/>
  <c r="D848" i="6" s="1"/>
  <c r="G846" i="7"/>
  <c r="H846" i="7" s="1"/>
  <c r="J845" i="7"/>
  <c r="D847" i="6" s="1"/>
  <c r="G845" i="7"/>
  <c r="H845" i="7" s="1"/>
  <c r="J844" i="7"/>
  <c r="D846" i="6" s="1"/>
  <c r="G844" i="7"/>
  <c r="H844" i="7" s="1"/>
  <c r="J843" i="7"/>
  <c r="D845" i="6" s="1"/>
  <c r="G843" i="7"/>
  <c r="H843" i="7" s="1"/>
  <c r="J842" i="7"/>
  <c r="D844" i="6" s="1"/>
  <c r="G842" i="7"/>
  <c r="H842" i="7" s="1"/>
  <c r="J841" i="7"/>
  <c r="D843" i="6" s="1"/>
  <c r="G841" i="7"/>
  <c r="H841" i="7" s="1"/>
  <c r="J840" i="7"/>
  <c r="D842" i="6" s="1"/>
  <c r="G840" i="7"/>
  <c r="H840" i="7" s="1"/>
  <c r="J839" i="7"/>
  <c r="D841" i="6" s="1"/>
  <c r="G839" i="7"/>
  <c r="H839" i="7" s="1"/>
  <c r="J838" i="7"/>
  <c r="D840" i="6" s="1"/>
  <c r="G838" i="7"/>
  <c r="H838" i="7" s="1"/>
  <c r="J837" i="7"/>
  <c r="D839" i="6" s="1"/>
  <c r="G837" i="7"/>
  <c r="H837" i="7" s="1"/>
  <c r="J836" i="7"/>
  <c r="D838" i="6" s="1"/>
  <c r="G836" i="7"/>
  <c r="H836" i="7" s="1"/>
  <c r="J835" i="7"/>
  <c r="D837" i="6" s="1"/>
  <c r="G835" i="7"/>
  <c r="H835" i="7" s="1"/>
  <c r="J834" i="7"/>
  <c r="D836" i="6" s="1"/>
  <c r="G834" i="7"/>
  <c r="H834" i="7" s="1"/>
  <c r="J833" i="7"/>
  <c r="D835" i="6" s="1"/>
  <c r="G833" i="7"/>
  <c r="H833" i="7" s="1"/>
  <c r="J832" i="7"/>
  <c r="D834" i="6" s="1"/>
  <c r="G832" i="7"/>
  <c r="H832" i="7" s="1"/>
  <c r="J831" i="7"/>
  <c r="D833" i="6" s="1"/>
  <c r="G831" i="7"/>
  <c r="H831" i="7" s="1"/>
  <c r="J830" i="7"/>
  <c r="D832" i="6" s="1"/>
  <c r="G830" i="7"/>
  <c r="H830" i="7" s="1"/>
  <c r="J829" i="7"/>
  <c r="D831" i="6" s="1"/>
  <c r="G829" i="7"/>
  <c r="H829" i="7" s="1"/>
  <c r="J828" i="7"/>
  <c r="D830" i="6" s="1"/>
  <c r="G828" i="7"/>
  <c r="H828" i="7" s="1"/>
  <c r="J827" i="7"/>
  <c r="D829" i="6" s="1"/>
  <c r="G827" i="7"/>
  <c r="H827" i="7" s="1"/>
  <c r="J826" i="7"/>
  <c r="D828" i="6" s="1"/>
  <c r="G826" i="7"/>
  <c r="H826" i="7" s="1"/>
  <c r="J825" i="7"/>
  <c r="D827" i="6" s="1"/>
  <c r="G825" i="7"/>
  <c r="H825" i="7" s="1"/>
  <c r="J824" i="7"/>
  <c r="D826" i="6" s="1"/>
  <c r="G824" i="7"/>
  <c r="H824" i="7" s="1"/>
  <c r="J823" i="7"/>
  <c r="D825" i="6" s="1"/>
  <c r="G823" i="7"/>
  <c r="H823" i="7" s="1"/>
  <c r="J822" i="7"/>
  <c r="D824" i="6" s="1"/>
  <c r="G822" i="7"/>
  <c r="H822" i="7" s="1"/>
  <c r="J821" i="7"/>
  <c r="D823" i="6" s="1"/>
  <c r="G821" i="7"/>
  <c r="H821" i="7" s="1"/>
  <c r="J820" i="7"/>
  <c r="D822" i="6" s="1"/>
  <c r="G820" i="7"/>
  <c r="H820" i="7" s="1"/>
  <c r="J819" i="7"/>
  <c r="D821" i="6" s="1"/>
  <c r="G819" i="7"/>
  <c r="H819" i="7" s="1"/>
  <c r="J818" i="7"/>
  <c r="D820" i="6" s="1"/>
  <c r="G818" i="7"/>
  <c r="H818" i="7" s="1"/>
  <c r="J817" i="7"/>
  <c r="D819" i="6" s="1"/>
  <c r="G817" i="7"/>
  <c r="H817" i="7" s="1"/>
  <c r="J816" i="7"/>
  <c r="D818" i="6" s="1"/>
  <c r="G816" i="7"/>
  <c r="H816" i="7" s="1"/>
  <c r="J815" i="7"/>
  <c r="D817" i="6" s="1"/>
  <c r="G815" i="7"/>
  <c r="H815" i="7" s="1"/>
  <c r="J814" i="7"/>
  <c r="D816" i="6" s="1"/>
  <c r="G814" i="7"/>
  <c r="H814" i="7" s="1"/>
  <c r="J813" i="7"/>
  <c r="D815" i="6" s="1"/>
  <c r="G813" i="7"/>
  <c r="H813" i="7" s="1"/>
  <c r="J812" i="7"/>
  <c r="D814" i="6" s="1"/>
  <c r="G812" i="7"/>
  <c r="H812" i="7" s="1"/>
  <c r="J811" i="7"/>
  <c r="D813" i="6" s="1"/>
  <c r="G811" i="7"/>
  <c r="H811" i="7" s="1"/>
  <c r="J810" i="7"/>
  <c r="D812" i="6" s="1"/>
  <c r="G810" i="7"/>
  <c r="H810" i="7" s="1"/>
  <c r="J809" i="7"/>
  <c r="D811" i="6" s="1"/>
  <c r="G809" i="7"/>
  <c r="H809" i="7" s="1"/>
  <c r="J808" i="7"/>
  <c r="D810" i="6" s="1"/>
  <c r="G808" i="7"/>
  <c r="H808" i="7" s="1"/>
  <c r="J807" i="7"/>
  <c r="D809" i="6" s="1"/>
  <c r="G807" i="7"/>
  <c r="H807" i="7" s="1"/>
  <c r="J806" i="7"/>
  <c r="D808" i="6" s="1"/>
  <c r="G806" i="7"/>
  <c r="H806" i="7" s="1"/>
  <c r="J805" i="7"/>
  <c r="D807" i="6" s="1"/>
  <c r="G805" i="7"/>
  <c r="H805" i="7" s="1"/>
  <c r="J804" i="7"/>
  <c r="D806" i="6" s="1"/>
  <c r="G804" i="7"/>
  <c r="H804" i="7" s="1"/>
  <c r="J803" i="7"/>
  <c r="D805" i="6" s="1"/>
  <c r="G803" i="7"/>
  <c r="H803" i="7" s="1"/>
  <c r="J802" i="7"/>
  <c r="D804" i="6" s="1"/>
  <c r="G802" i="7"/>
  <c r="H802" i="7" s="1"/>
  <c r="J801" i="7"/>
  <c r="D803" i="6" s="1"/>
  <c r="G801" i="7"/>
  <c r="H801" i="7" s="1"/>
  <c r="J800" i="7"/>
  <c r="D802" i="6" s="1"/>
  <c r="G800" i="7"/>
  <c r="H800" i="7" s="1"/>
  <c r="J799" i="7"/>
  <c r="D801" i="6" s="1"/>
  <c r="G799" i="7"/>
  <c r="H799" i="7" s="1"/>
  <c r="J798" i="7"/>
  <c r="D800" i="6" s="1"/>
  <c r="G798" i="7"/>
  <c r="H798" i="7" s="1"/>
  <c r="J797" i="7"/>
  <c r="D799" i="6" s="1"/>
  <c r="G797" i="7"/>
  <c r="H797" i="7" s="1"/>
  <c r="J796" i="7"/>
  <c r="D798" i="6" s="1"/>
  <c r="G796" i="7"/>
  <c r="H796" i="7" s="1"/>
  <c r="J795" i="7"/>
  <c r="D797" i="6" s="1"/>
  <c r="G795" i="7"/>
  <c r="H795" i="7" s="1"/>
  <c r="J794" i="7"/>
  <c r="D796" i="6" s="1"/>
  <c r="G794" i="7"/>
  <c r="H794" i="7" s="1"/>
  <c r="J793" i="7"/>
  <c r="D795" i="6" s="1"/>
  <c r="G793" i="7"/>
  <c r="H793" i="7" s="1"/>
  <c r="J792" i="7"/>
  <c r="D794" i="6" s="1"/>
  <c r="G792" i="7"/>
  <c r="H792" i="7" s="1"/>
  <c r="J791" i="7"/>
  <c r="D793" i="6" s="1"/>
  <c r="G791" i="7"/>
  <c r="H791" i="7" s="1"/>
  <c r="J790" i="7"/>
  <c r="D792" i="6" s="1"/>
  <c r="G790" i="7"/>
  <c r="H790" i="7" s="1"/>
  <c r="J789" i="7"/>
  <c r="D791" i="6" s="1"/>
  <c r="G789" i="7"/>
  <c r="H789" i="7" s="1"/>
  <c r="J788" i="7"/>
  <c r="D790" i="6" s="1"/>
  <c r="G788" i="7"/>
  <c r="H788" i="7" s="1"/>
  <c r="J787" i="7"/>
  <c r="D789" i="6" s="1"/>
  <c r="G787" i="7"/>
  <c r="H787" i="7" s="1"/>
  <c r="J786" i="7"/>
  <c r="D788" i="6" s="1"/>
  <c r="G786" i="7"/>
  <c r="H786" i="7" s="1"/>
  <c r="J785" i="7"/>
  <c r="D787" i="6" s="1"/>
  <c r="G785" i="7"/>
  <c r="H785" i="7" s="1"/>
  <c r="J784" i="7"/>
  <c r="D786" i="6" s="1"/>
  <c r="G784" i="7"/>
  <c r="H784" i="7" s="1"/>
  <c r="J783" i="7"/>
  <c r="D785" i="6" s="1"/>
  <c r="G783" i="7"/>
  <c r="H783" i="7" s="1"/>
  <c r="J782" i="7"/>
  <c r="D784" i="6" s="1"/>
  <c r="G782" i="7"/>
  <c r="H782" i="7" s="1"/>
  <c r="J781" i="7"/>
  <c r="D783" i="6" s="1"/>
  <c r="G781" i="7"/>
  <c r="H781" i="7" s="1"/>
  <c r="J780" i="7"/>
  <c r="D782" i="6" s="1"/>
  <c r="G780" i="7"/>
  <c r="H780" i="7" s="1"/>
  <c r="J779" i="7"/>
  <c r="D781" i="6" s="1"/>
  <c r="G779" i="7"/>
  <c r="H779" i="7" s="1"/>
  <c r="J778" i="7"/>
  <c r="D780" i="6" s="1"/>
  <c r="G778" i="7"/>
  <c r="H778" i="7" s="1"/>
  <c r="J777" i="7"/>
  <c r="D779" i="6" s="1"/>
  <c r="G777" i="7"/>
  <c r="H777" i="7" s="1"/>
  <c r="J776" i="7"/>
  <c r="D778" i="6" s="1"/>
  <c r="G776" i="7"/>
  <c r="H776" i="7" s="1"/>
  <c r="J775" i="7"/>
  <c r="D777" i="6" s="1"/>
  <c r="G775" i="7"/>
  <c r="H775" i="7" s="1"/>
  <c r="J774" i="7"/>
  <c r="D776" i="6" s="1"/>
  <c r="G774" i="7"/>
  <c r="H774" i="7" s="1"/>
  <c r="J773" i="7"/>
  <c r="D775" i="6" s="1"/>
  <c r="G773" i="7"/>
  <c r="H773" i="7" s="1"/>
  <c r="J772" i="7"/>
  <c r="D774" i="6" s="1"/>
  <c r="G772" i="7"/>
  <c r="H772" i="7" s="1"/>
  <c r="J771" i="7"/>
  <c r="D773" i="6" s="1"/>
  <c r="G771" i="7"/>
  <c r="H771" i="7" s="1"/>
  <c r="J770" i="7"/>
  <c r="D772" i="6" s="1"/>
  <c r="G770" i="7"/>
  <c r="H770" i="7" s="1"/>
  <c r="J769" i="7"/>
  <c r="D771" i="6" s="1"/>
  <c r="G769" i="7"/>
  <c r="H769" i="7" s="1"/>
  <c r="J768" i="7"/>
  <c r="D770" i="6" s="1"/>
  <c r="G768" i="7"/>
  <c r="H768" i="7" s="1"/>
  <c r="J767" i="7"/>
  <c r="D769" i="6" s="1"/>
  <c r="G767" i="7"/>
  <c r="H767" i="7" s="1"/>
  <c r="J766" i="7"/>
  <c r="D768" i="6" s="1"/>
  <c r="G766" i="7"/>
  <c r="H766" i="7" s="1"/>
  <c r="J765" i="7"/>
  <c r="D767" i="6" s="1"/>
  <c r="G765" i="7"/>
  <c r="H765" i="7" s="1"/>
  <c r="J764" i="7"/>
  <c r="D766" i="6" s="1"/>
  <c r="G764" i="7"/>
  <c r="H764" i="7" s="1"/>
  <c r="J763" i="7"/>
  <c r="D765" i="6" s="1"/>
  <c r="G763" i="7"/>
  <c r="H763" i="7" s="1"/>
  <c r="J762" i="7"/>
  <c r="D764" i="6" s="1"/>
  <c r="G762" i="7"/>
  <c r="H762" i="7" s="1"/>
  <c r="J761" i="7"/>
  <c r="D763" i="6" s="1"/>
  <c r="G761" i="7"/>
  <c r="H761" i="7" s="1"/>
  <c r="J760" i="7"/>
  <c r="D762" i="6" s="1"/>
  <c r="G760" i="7"/>
  <c r="H760" i="7" s="1"/>
  <c r="J759" i="7"/>
  <c r="D761" i="6" s="1"/>
  <c r="G759" i="7"/>
  <c r="H759" i="7" s="1"/>
  <c r="J758" i="7"/>
  <c r="D760" i="6" s="1"/>
  <c r="G758" i="7"/>
  <c r="H758" i="7" s="1"/>
  <c r="J757" i="7"/>
  <c r="D759" i="6" s="1"/>
  <c r="G757" i="7"/>
  <c r="H757" i="7" s="1"/>
  <c r="J756" i="7"/>
  <c r="D758" i="6" s="1"/>
  <c r="G756" i="7"/>
  <c r="H756" i="7" s="1"/>
  <c r="J755" i="7"/>
  <c r="D757" i="6" s="1"/>
  <c r="G755" i="7"/>
  <c r="H755" i="7" s="1"/>
  <c r="J754" i="7"/>
  <c r="D756" i="6" s="1"/>
  <c r="G754" i="7"/>
  <c r="H754" i="7" s="1"/>
  <c r="J753" i="7"/>
  <c r="D755" i="6" s="1"/>
  <c r="G753" i="7"/>
  <c r="H753" i="7" s="1"/>
  <c r="J752" i="7"/>
  <c r="D754" i="6" s="1"/>
  <c r="G752" i="7"/>
  <c r="H752" i="7" s="1"/>
  <c r="J751" i="7"/>
  <c r="D753" i="6" s="1"/>
  <c r="G751" i="7"/>
  <c r="H751" i="7" s="1"/>
  <c r="J750" i="7"/>
  <c r="D752" i="6" s="1"/>
  <c r="G750" i="7"/>
  <c r="H750" i="7" s="1"/>
  <c r="J749" i="7"/>
  <c r="D751" i="6" s="1"/>
  <c r="G749" i="7"/>
  <c r="H749" i="7" s="1"/>
  <c r="J748" i="7"/>
  <c r="D750" i="6" s="1"/>
  <c r="G748" i="7"/>
  <c r="H748" i="7" s="1"/>
  <c r="J747" i="7"/>
  <c r="D749" i="6" s="1"/>
  <c r="G747" i="7"/>
  <c r="H747" i="7" s="1"/>
  <c r="J746" i="7"/>
  <c r="D748" i="6" s="1"/>
  <c r="G746" i="7"/>
  <c r="H746" i="7" s="1"/>
  <c r="J745" i="7"/>
  <c r="D747" i="6" s="1"/>
  <c r="G745" i="7"/>
  <c r="H745" i="7" s="1"/>
  <c r="J744" i="7"/>
  <c r="D746" i="6" s="1"/>
  <c r="G744" i="7"/>
  <c r="H744" i="7" s="1"/>
  <c r="J743" i="7"/>
  <c r="D745" i="6" s="1"/>
  <c r="G743" i="7"/>
  <c r="H743" i="7" s="1"/>
  <c r="J742" i="7"/>
  <c r="D744" i="6" s="1"/>
  <c r="G742" i="7"/>
  <c r="H742" i="7" s="1"/>
  <c r="J741" i="7"/>
  <c r="D743" i="6" s="1"/>
  <c r="G741" i="7"/>
  <c r="H741" i="7" s="1"/>
  <c r="J740" i="7"/>
  <c r="D742" i="6" s="1"/>
  <c r="G740" i="7"/>
  <c r="H740" i="7" s="1"/>
  <c r="J739" i="7"/>
  <c r="D741" i="6" s="1"/>
  <c r="G739" i="7"/>
  <c r="H739" i="7" s="1"/>
  <c r="J738" i="7"/>
  <c r="D740" i="6" s="1"/>
  <c r="G738" i="7"/>
  <c r="H738" i="7" s="1"/>
  <c r="J737" i="7"/>
  <c r="D739" i="6" s="1"/>
  <c r="G737" i="7"/>
  <c r="H737" i="7" s="1"/>
  <c r="J736" i="7"/>
  <c r="D738" i="6" s="1"/>
  <c r="G736" i="7"/>
  <c r="H736" i="7" s="1"/>
  <c r="J735" i="7"/>
  <c r="D737" i="6" s="1"/>
  <c r="G735" i="7"/>
  <c r="H735" i="7" s="1"/>
  <c r="J734" i="7"/>
  <c r="D736" i="6" s="1"/>
  <c r="G734" i="7"/>
  <c r="H734" i="7" s="1"/>
  <c r="J733" i="7"/>
  <c r="D735" i="6" s="1"/>
  <c r="G733" i="7"/>
  <c r="H733" i="7" s="1"/>
  <c r="J732" i="7"/>
  <c r="D734" i="6" s="1"/>
  <c r="G732" i="7"/>
  <c r="H732" i="7" s="1"/>
  <c r="J731" i="7"/>
  <c r="D733" i="6" s="1"/>
  <c r="G731" i="7"/>
  <c r="H731" i="7" s="1"/>
  <c r="J730" i="7"/>
  <c r="D732" i="6" s="1"/>
  <c r="G730" i="7"/>
  <c r="H730" i="7" s="1"/>
  <c r="J729" i="7"/>
  <c r="D731" i="6" s="1"/>
  <c r="G729" i="7"/>
  <c r="H729" i="7" s="1"/>
  <c r="J728" i="7"/>
  <c r="D730" i="6" s="1"/>
  <c r="G728" i="7"/>
  <c r="H728" i="7" s="1"/>
  <c r="J727" i="7"/>
  <c r="D729" i="6" s="1"/>
  <c r="G727" i="7"/>
  <c r="H727" i="7" s="1"/>
  <c r="J726" i="7"/>
  <c r="D728" i="6" s="1"/>
  <c r="G726" i="7"/>
  <c r="H726" i="7" s="1"/>
  <c r="J725" i="7"/>
  <c r="D727" i="6" s="1"/>
  <c r="G725" i="7"/>
  <c r="H725" i="7" s="1"/>
  <c r="J724" i="7"/>
  <c r="D726" i="6" s="1"/>
  <c r="G724" i="7"/>
  <c r="H724" i="7" s="1"/>
  <c r="J723" i="7"/>
  <c r="D725" i="6" s="1"/>
  <c r="G723" i="7"/>
  <c r="H723" i="7" s="1"/>
  <c r="J722" i="7"/>
  <c r="D724" i="6" s="1"/>
  <c r="G722" i="7"/>
  <c r="H722" i="7" s="1"/>
  <c r="J721" i="7"/>
  <c r="D723" i="6" s="1"/>
  <c r="G721" i="7"/>
  <c r="H721" i="7" s="1"/>
  <c r="J720" i="7"/>
  <c r="D722" i="6" s="1"/>
  <c r="G720" i="7"/>
  <c r="H720" i="7" s="1"/>
  <c r="J719" i="7"/>
  <c r="D721" i="6" s="1"/>
  <c r="G719" i="7"/>
  <c r="H719" i="7" s="1"/>
  <c r="J718" i="7"/>
  <c r="D720" i="6" s="1"/>
  <c r="G718" i="7"/>
  <c r="H718" i="7" s="1"/>
  <c r="J717" i="7"/>
  <c r="D719" i="6" s="1"/>
  <c r="G717" i="7"/>
  <c r="H717" i="7" s="1"/>
  <c r="J716" i="7"/>
  <c r="D718" i="6" s="1"/>
  <c r="G716" i="7"/>
  <c r="H716" i="7" s="1"/>
  <c r="J715" i="7"/>
  <c r="D717" i="6" s="1"/>
  <c r="G715" i="7"/>
  <c r="H715" i="7" s="1"/>
  <c r="J714" i="7"/>
  <c r="D716" i="6" s="1"/>
  <c r="G714" i="7"/>
  <c r="H714" i="7" s="1"/>
  <c r="J713" i="7"/>
  <c r="D715" i="6" s="1"/>
  <c r="G713" i="7"/>
  <c r="H713" i="7" s="1"/>
  <c r="J712" i="7"/>
  <c r="D714" i="6" s="1"/>
  <c r="G712" i="7"/>
  <c r="H712" i="7" s="1"/>
  <c r="J711" i="7"/>
  <c r="D713" i="6" s="1"/>
  <c r="G711" i="7"/>
  <c r="H711" i="7" s="1"/>
  <c r="J710" i="7"/>
  <c r="D712" i="6" s="1"/>
  <c r="G710" i="7"/>
  <c r="H710" i="7" s="1"/>
  <c r="J709" i="7"/>
  <c r="D711" i="6" s="1"/>
  <c r="G709" i="7"/>
  <c r="H709" i="7" s="1"/>
  <c r="J708" i="7"/>
  <c r="D710" i="6" s="1"/>
  <c r="G708" i="7"/>
  <c r="H708" i="7" s="1"/>
  <c r="J707" i="7"/>
  <c r="D709" i="6" s="1"/>
  <c r="G707" i="7"/>
  <c r="H707" i="7" s="1"/>
  <c r="J706" i="7"/>
  <c r="D708" i="6" s="1"/>
  <c r="G706" i="7"/>
  <c r="H706" i="7" s="1"/>
  <c r="J705" i="7"/>
  <c r="D707" i="6" s="1"/>
  <c r="G705" i="7"/>
  <c r="H705" i="7" s="1"/>
  <c r="J704" i="7"/>
  <c r="D706" i="6" s="1"/>
  <c r="G704" i="7"/>
  <c r="H704" i="7" s="1"/>
  <c r="J703" i="7"/>
  <c r="D705" i="6" s="1"/>
  <c r="G703" i="7"/>
  <c r="H703" i="7" s="1"/>
  <c r="J702" i="7"/>
  <c r="D704" i="6" s="1"/>
  <c r="G702" i="7"/>
  <c r="H702" i="7" s="1"/>
  <c r="J701" i="7"/>
  <c r="D703" i="6" s="1"/>
  <c r="G701" i="7"/>
  <c r="H701" i="7" s="1"/>
  <c r="J700" i="7"/>
  <c r="D702" i="6" s="1"/>
  <c r="G700" i="7"/>
  <c r="H700" i="7" s="1"/>
  <c r="J699" i="7"/>
  <c r="D701" i="6" s="1"/>
  <c r="G699" i="7"/>
  <c r="H699" i="7" s="1"/>
  <c r="J698" i="7"/>
  <c r="D700" i="6" s="1"/>
  <c r="G698" i="7"/>
  <c r="H698" i="7" s="1"/>
  <c r="J697" i="7"/>
  <c r="D699" i="6" s="1"/>
  <c r="G697" i="7"/>
  <c r="H697" i="7" s="1"/>
  <c r="J696" i="7"/>
  <c r="D698" i="6" s="1"/>
  <c r="G696" i="7"/>
  <c r="H696" i="7" s="1"/>
  <c r="J695" i="7"/>
  <c r="D697" i="6" s="1"/>
  <c r="G695" i="7"/>
  <c r="H695" i="7" s="1"/>
  <c r="J694" i="7"/>
  <c r="D696" i="6" s="1"/>
  <c r="G694" i="7"/>
  <c r="H694" i="7" s="1"/>
  <c r="J693" i="7"/>
  <c r="D695" i="6" s="1"/>
  <c r="G693" i="7"/>
  <c r="H693" i="7" s="1"/>
  <c r="J692" i="7"/>
  <c r="D694" i="6" s="1"/>
  <c r="G692" i="7"/>
  <c r="H692" i="7" s="1"/>
  <c r="J691" i="7"/>
  <c r="D693" i="6" s="1"/>
  <c r="G691" i="7"/>
  <c r="H691" i="7" s="1"/>
  <c r="J690" i="7"/>
  <c r="D692" i="6" s="1"/>
  <c r="G690" i="7"/>
  <c r="H690" i="7" s="1"/>
  <c r="J689" i="7"/>
  <c r="D691" i="6" s="1"/>
  <c r="G689" i="7"/>
  <c r="H689" i="7" s="1"/>
  <c r="J688" i="7"/>
  <c r="D690" i="6" s="1"/>
  <c r="G688" i="7"/>
  <c r="H688" i="7" s="1"/>
  <c r="J687" i="7"/>
  <c r="D689" i="6" s="1"/>
  <c r="G687" i="7"/>
  <c r="H687" i="7" s="1"/>
  <c r="J686" i="7"/>
  <c r="D688" i="6" s="1"/>
  <c r="G686" i="7"/>
  <c r="H686" i="7" s="1"/>
  <c r="J685" i="7"/>
  <c r="D687" i="6" s="1"/>
  <c r="G685" i="7"/>
  <c r="H685" i="7" s="1"/>
  <c r="J684" i="7"/>
  <c r="D686" i="6" s="1"/>
  <c r="G684" i="7"/>
  <c r="H684" i="7" s="1"/>
  <c r="J683" i="7"/>
  <c r="D685" i="6" s="1"/>
  <c r="G683" i="7"/>
  <c r="H683" i="7" s="1"/>
  <c r="J682" i="7"/>
  <c r="D684" i="6" s="1"/>
  <c r="G682" i="7"/>
  <c r="H682" i="7" s="1"/>
  <c r="J681" i="7"/>
  <c r="D683" i="6" s="1"/>
  <c r="G681" i="7"/>
  <c r="H681" i="7" s="1"/>
  <c r="J680" i="7"/>
  <c r="D682" i="6" s="1"/>
  <c r="G680" i="7"/>
  <c r="H680" i="7" s="1"/>
  <c r="J679" i="7"/>
  <c r="D681" i="6" s="1"/>
  <c r="G679" i="7"/>
  <c r="H679" i="7" s="1"/>
  <c r="J678" i="7"/>
  <c r="D680" i="6" s="1"/>
  <c r="G678" i="7"/>
  <c r="H678" i="7" s="1"/>
  <c r="J677" i="7"/>
  <c r="D679" i="6" s="1"/>
  <c r="G677" i="7"/>
  <c r="H677" i="7" s="1"/>
  <c r="J676" i="7"/>
  <c r="D678" i="6" s="1"/>
  <c r="G676" i="7"/>
  <c r="H676" i="7" s="1"/>
  <c r="J675" i="7"/>
  <c r="D677" i="6" s="1"/>
  <c r="G675" i="7"/>
  <c r="H675" i="7" s="1"/>
  <c r="J674" i="7"/>
  <c r="D676" i="6" s="1"/>
  <c r="G674" i="7"/>
  <c r="H674" i="7" s="1"/>
  <c r="J673" i="7"/>
  <c r="D675" i="6" s="1"/>
  <c r="G673" i="7"/>
  <c r="H673" i="7" s="1"/>
  <c r="J672" i="7"/>
  <c r="D674" i="6" s="1"/>
  <c r="G672" i="7"/>
  <c r="H672" i="7" s="1"/>
  <c r="J671" i="7"/>
  <c r="D673" i="6" s="1"/>
  <c r="G671" i="7"/>
  <c r="H671" i="7" s="1"/>
  <c r="J670" i="7"/>
  <c r="D672" i="6" s="1"/>
  <c r="G670" i="7"/>
  <c r="H670" i="7" s="1"/>
  <c r="J669" i="7"/>
  <c r="D671" i="6" s="1"/>
  <c r="G669" i="7"/>
  <c r="H669" i="7" s="1"/>
  <c r="J668" i="7"/>
  <c r="D670" i="6" s="1"/>
  <c r="G668" i="7"/>
  <c r="H668" i="7" s="1"/>
  <c r="J667" i="7"/>
  <c r="D669" i="6" s="1"/>
  <c r="G667" i="7"/>
  <c r="H667" i="7" s="1"/>
  <c r="J666" i="7"/>
  <c r="D668" i="6" s="1"/>
  <c r="G666" i="7"/>
  <c r="H666" i="7" s="1"/>
  <c r="J665" i="7"/>
  <c r="D667" i="6" s="1"/>
  <c r="G665" i="7"/>
  <c r="H665" i="7" s="1"/>
  <c r="J664" i="7"/>
  <c r="D666" i="6" s="1"/>
  <c r="G664" i="7"/>
  <c r="H664" i="7" s="1"/>
  <c r="J663" i="7"/>
  <c r="D665" i="6" s="1"/>
  <c r="G663" i="7"/>
  <c r="H663" i="7" s="1"/>
  <c r="J662" i="7"/>
  <c r="D664" i="6" s="1"/>
  <c r="G662" i="7"/>
  <c r="H662" i="7" s="1"/>
  <c r="J661" i="7"/>
  <c r="D663" i="6" s="1"/>
  <c r="G661" i="7"/>
  <c r="H661" i="7" s="1"/>
  <c r="J660" i="7"/>
  <c r="D662" i="6" s="1"/>
  <c r="G660" i="7"/>
  <c r="H660" i="7" s="1"/>
  <c r="J659" i="7"/>
  <c r="D661" i="6" s="1"/>
  <c r="G659" i="7"/>
  <c r="H659" i="7" s="1"/>
  <c r="J658" i="7"/>
  <c r="D660" i="6" s="1"/>
  <c r="G658" i="7"/>
  <c r="H658" i="7" s="1"/>
  <c r="J657" i="7"/>
  <c r="D659" i="6" s="1"/>
  <c r="G657" i="7"/>
  <c r="H657" i="7" s="1"/>
  <c r="J656" i="7"/>
  <c r="D658" i="6" s="1"/>
  <c r="G656" i="7"/>
  <c r="H656" i="7" s="1"/>
  <c r="J655" i="7"/>
  <c r="D657" i="6" s="1"/>
  <c r="G655" i="7"/>
  <c r="H655" i="7" s="1"/>
  <c r="J654" i="7"/>
  <c r="D656" i="6" s="1"/>
  <c r="G654" i="7"/>
  <c r="H654" i="7" s="1"/>
  <c r="J653" i="7"/>
  <c r="D655" i="6" s="1"/>
  <c r="G653" i="7"/>
  <c r="H653" i="7" s="1"/>
  <c r="J652" i="7"/>
  <c r="D654" i="6" s="1"/>
  <c r="G652" i="7"/>
  <c r="H652" i="7" s="1"/>
  <c r="J651" i="7"/>
  <c r="D653" i="6" s="1"/>
  <c r="G651" i="7"/>
  <c r="H651" i="7" s="1"/>
  <c r="J650" i="7"/>
  <c r="D652" i="6" s="1"/>
  <c r="G650" i="7"/>
  <c r="H650" i="7" s="1"/>
  <c r="J649" i="7"/>
  <c r="D651" i="6" s="1"/>
  <c r="G649" i="7"/>
  <c r="H649" i="7" s="1"/>
  <c r="J648" i="7"/>
  <c r="D650" i="6" s="1"/>
  <c r="G648" i="7"/>
  <c r="H648" i="7" s="1"/>
  <c r="J647" i="7"/>
  <c r="D649" i="6" s="1"/>
  <c r="G647" i="7"/>
  <c r="H647" i="7" s="1"/>
  <c r="J646" i="7"/>
  <c r="D648" i="6" s="1"/>
  <c r="G646" i="7"/>
  <c r="H646" i="7" s="1"/>
  <c r="J645" i="7"/>
  <c r="D647" i="6" s="1"/>
  <c r="G645" i="7"/>
  <c r="H645" i="7" s="1"/>
  <c r="J644" i="7"/>
  <c r="D646" i="6" s="1"/>
  <c r="G644" i="7"/>
  <c r="H644" i="7" s="1"/>
  <c r="J643" i="7"/>
  <c r="D645" i="6" s="1"/>
  <c r="G643" i="7"/>
  <c r="H643" i="7" s="1"/>
  <c r="J642" i="7"/>
  <c r="D644" i="6" s="1"/>
  <c r="G642" i="7"/>
  <c r="H642" i="7" s="1"/>
  <c r="J641" i="7"/>
  <c r="D643" i="6" s="1"/>
  <c r="G641" i="7"/>
  <c r="H641" i="7" s="1"/>
  <c r="J640" i="7"/>
  <c r="D642" i="6" s="1"/>
  <c r="G640" i="7"/>
  <c r="H640" i="7" s="1"/>
  <c r="J639" i="7"/>
  <c r="D641" i="6" s="1"/>
  <c r="G639" i="7"/>
  <c r="H639" i="7" s="1"/>
  <c r="J638" i="7"/>
  <c r="D640" i="6" s="1"/>
  <c r="G638" i="7"/>
  <c r="H638" i="7" s="1"/>
  <c r="J637" i="7"/>
  <c r="D639" i="6" s="1"/>
  <c r="G637" i="7"/>
  <c r="H637" i="7" s="1"/>
  <c r="J636" i="7"/>
  <c r="D638" i="6" s="1"/>
  <c r="G636" i="7"/>
  <c r="H636" i="7" s="1"/>
  <c r="J635" i="7"/>
  <c r="D637" i="6" s="1"/>
  <c r="G635" i="7"/>
  <c r="H635" i="7" s="1"/>
  <c r="J634" i="7"/>
  <c r="D636" i="6" s="1"/>
  <c r="G634" i="7"/>
  <c r="H634" i="7" s="1"/>
  <c r="J633" i="7"/>
  <c r="D635" i="6" s="1"/>
  <c r="G633" i="7"/>
  <c r="H633" i="7" s="1"/>
  <c r="J632" i="7"/>
  <c r="D634" i="6" s="1"/>
  <c r="G632" i="7"/>
  <c r="H632" i="7" s="1"/>
  <c r="J631" i="7"/>
  <c r="D633" i="6" s="1"/>
  <c r="G631" i="7"/>
  <c r="H631" i="7" s="1"/>
  <c r="J630" i="7"/>
  <c r="D632" i="6" s="1"/>
  <c r="G630" i="7"/>
  <c r="H630" i="7" s="1"/>
  <c r="J629" i="7"/>
  <c r="D631" i="6" s="1"/>
  <c r="G629" i="7"/>
  <c r="H629" i="7" s="1"/>
  <c r="J628" i="7"/>
  <c r="D630" i="6" s="1"/>
  <c r="G628" i="7"/>
  <c r="H628" i="7" s="1"/>
  <c r="J627" i="7"/>
  <c r="D629" i="6" s="1"/>
  <c r="G627" i="7"/>
  <c r="H627" i="7" s="1"/>
  <c r="J626" i="7"/>
  <c r="D628" i="6" s="1"/>
  <c r="G626" i="7"/>
  <c r="H626" i="7" s="1"/>
  <c r="J625" i="7"/>
  <c r="D627" i="6" s="1"/>
  <c r="G625" i="7"/>
  <c r="H625" i="7" s="1"/>
  <c r="J624" i="7"/>
  <c r="D626" i="6" s="1"/>
  <c r="G624" i="7"/>
  <c r="H624" i="7" s="1"/>
  <c r="J623" i="7"/>
  <c r="D625" i="6" s="1"/>
  <c r="G623" i="7"/>
  <c r="H623" i="7" s="1"/>
  <c r="J622" i="7"/>
  <c r="D624" i="6" s="1"/>
  <c r="G622" i="7"/>
  <c r="H622" i="7" s="1"/>
  <c r="J621" i="7"/>
  <c r="D623" i="6" s="1"/>
  <c r="G621" i="7"/>
  <c r="H621" i="7" s="1"/>
  <c r="J620" i="7"/>
  <c r="D622" i="6" s="1"/>
  <c r="G620" i="7"/>
  <c r="H620" i="7" s="1"/>
  <c r="J619" i="7"/>
  <c r="D621" i="6" s="1"/>
  <c r="G619" i="7"/>
  <c r="H619" i="7" s="1"/>
  <c r="J618" i="7"/>
  <c r="D620" i="6" s="1"/>
  <c r="G618" i="7"/>
  <c r="H618" i="7" s="1"/>
  <c r="J617" i="7"/>
  <c r="D619" i="6" s="1"/>
  <c r="G617" i="7"/>
  <c r="H617" i="7" s="1"/>
  <c r="J616" i="7"/>
  <c r="D618" i="6" s="1"/>
  <c r="G616" i="7"/>
  <c r="H616" i="7" s="1"/>
  <c r="J615" i="7"/>
  <c r="D617" i="6" s="1"/>
  <c r="G615" i="7"/>
  <c r="H615" i="7" s="1"/>
  <c r="J614" i="7"/>
  <c r="D616" i="6" s="1"/>
  <c r="G614" i="7"/>
  <c r="H614" i="7" s="1"/>
  <c r="J613" i="7"/>
  <c r="D615" i="6" s="1"/>
  <c r="G613" i="7"/>
  <c r="H613" i="7" s="1"/>
  <c r="J612" i="7"/>
  <c r="D614" i="6" s="1"/>
  <c r="G612" i="7"/>
  <c r="H612" i="7" s="1"/>
  <c r="J611" i="7"/>
  <c r="D613" i="6" s="1"/>
  <c r="G611" i="7"/>
  <c r="H611" i="7" s="1"/>
  <c r="J610" i="7"/>
  <c r="D612" i="6" s="1"/>
  <c r="G610" i="7"/>
  <c r="H610" i="7" s="1"/>
  <c r="J609" i="7"/>
  <c r="D611" i="6" s="1"/>
  <c r="G609" i="7"/>
  <c r="H609" i="7" s="1"/>
  <c r="J608" i="7"/>
  <c r="D610" i="6" s="1"/>
  <c r="G608" i="7"/>
  <c r="H608" i="7" s="1"/>
  <c r="J607" i="7"/>
  <c r="D609" i="6" s="1"/>
  <c r="G607" i="7"/>
  <c r="H607" i="7" s="1"/>
  <c r="J606" i="7"/>
  <c r="D608" i="6" s="1"/>
  <c r="G606" i="7"/>
  <c r="H606" i="7" s="1"/>
  <c r="J605" i="7"/>
  <c r="D607" i="6" s="1"/>
  <c r="G605" i="7"/>
  <c r="H605" i="7" s="1"/>
  <c r="J604" i="7"/>
  <c r="D606" i="6" s="1"/>
  <c r="G604" i="7"/>
  <c r="H604" i="7" s="1"/>
  <c r="J603" i="7"/>
  <c r="D605" i="6" s="1"/>
  <c r="G603" i="7"/>
  <c r="H603" i="7" s="1"/>
  <c r="J602" i="7"/>
  <c r="D604" i="6" s="1"/>
  <c r="G602" i="7"/>
  <c r="H602" i="7" s="1"/>
  <c r="J601" i="7"/>
  <c r="D603" i="6" s="1"/>
  <c r="G601" i="7"/>
  <c r="H601" i="7" s="1"/>
  <c r="J600" i="7"/>
  <c r="D602" i="6" s="1"/>
  <c r="G600" i="7"/>
  <c r="H600" i="7" s="1"/>
  <c r="J599" i="7"/>
  <c r="D601" i="6" s="1"/>
  <c r="G599" i="7"/>
  <c r="H599" i="7" s="1"/>
  <c r="J598" i="7"/>
  <c r="D600" i="6" s="1"/>
  <c r="G598" i="7"/>
  <c r="H598" i="7" s="1"/>
  <c r="J597" i="7"/>
  <c r="D599" i="6" s="1"/>
  <c r="G597" i="7"/>
  <c r="H597" i="7" s="1"/>
  <c r="J596" i="7"/>
  <c r="D598" i="6" s="1"/>
  <c r="G596" i="7"/>
  <c r="H596" i="7" s="1"/>
  <c r="J595" i="7"/>
  <c r="D597" i="6" s="1"/>
  <c r="G595" i="7"/>
  <c r="H595" i="7" s="1"/>
  <c r="J594" i="7"/>
  <c r="D596" i="6" s="1"/>
  <c r="G594" i="7"/>
  <c r="H594" i="7" s="1"/>
  <c r="J593" i="7"/>
  <c r="D595" i="6" s="1"/>
  <c r="G593" i="7"/>
  <c r="H593" i="7" s="1"/>
  <c r="J592" i="7"/>
  <c r="D594" i="6" s="1"/>
  <c r="G592" i="7"/>
  <c r="H592" i="7" s="1"/>
  <c r="J591" i="7"/>
  <c r="D593" i="6" s="1"/>
  <c r="G591" i="7"/>
  <c r="H591" i="7" s="1"/>
  <c r="J590" i="7"/>
  <c r="D592" i="6" s="1"/>
  <c r="G590" i="7"/>
  <c r="H590" i="7" s="1"/>
  <c r="J589" i="7"/>
  <c r="D591" i="6" s="1"/>
  <c r="G589" i="7"/>
  <c r="H589" i="7" s="1"/>
  <c r="J588" i="7"/>
  <c r="D590" i="6" s="1"/>
  <c r="G588" i="7"/>
  <c r="H588" i="7" s="1"/>
  <c r="J587" i="7"/>
  <c r="D589" i="6" s="1"/>
  <c r="G587" i="7"/>
  <c r="H587" i="7" s="1"/>
  <c r="J586" i="7"/>
  <c r="D588" i="6" s="1"/>
  <c r="G586" i="7"/>
  <c r="H586" i="7" s="1"/>
  <c r="J585" i="7"/>
  <c r="D587" i="6" s="1"/>
  <c r="G585" i="7"/>
  <c r="H585" i="7" s="1"/>
  <c r="J584" i="7"/>
  <c r="D586" i="6" s="1"/>
  <c r="G584" i="7"/>
  <c r="H584" i="7" s="1"/>
  <c r="J583" i="7"/>
  <c r="D585" i="6" s="1"/>
  <c r="G583" i="7"/>
  <c r="H583" i="7" s="1"/>
  <c r="J582" i="7"/>
  <c r="D584" i="6" s="1"/>
  <c r="G582" i="7"/>
  <c r="H582" i="7" s="1"/>
  <c r="J581" i="7"/>
  <c r="D583" i="6" s="1"/>
  <c r="G581" i="7"/>
  <c r="H581" i="7" s="1"/>
  <c r="J580" i="7"/>
  <c r="D582" i="6" s="1"/>
  <c r="G580" i="7"/>
  <c r="H580" i="7" s="1"/>
  <c r="J579" i="7"/>
  <c r="D581" i="6" s="1"/>
  <c r="G579" i="7"/>
  <c r="H579" i="7" s="1"/>
  <c r="J578" i="7"/>
  <c r="D580" i="6" s="1"/>
  <c r="G578" i="7"/>
  <c r="H578" i="7" s="1"/>
  <c r="J577" i="7"/>
  <c r="D579" i="6" s="1"/>
  <c r="G577" i="7"/>
  <c r="H577" i="7" s="1"/>
  <c r="J576" i="7"/>
  <c r="D578" i="6" s="1"/>
  <c r="G576" i="7"/>
  <c r="H576" i="7" s="1"/>
  <c r="J575" i="7"/>
  <c r="D577" i="6" s="1"/>
  <c r="G575" i="7"/>
  <c r="H575" i="7" s="1"/>
  <c r="J574" i="7"/>
  <c r="D576" i="6" s="1"/>
  <c r="G574" i="7"/>
  <c r="H574" i="7" s="1"/>
  <c r="J573" i="7"/>
  <c r="D575" i="6" s="1"/>
  <c r="G573" i="7"/>
  <c r="H573" i="7" s="1"/>
  <c r="J572" i="7"/>
  <c r="D574" i="6" s="1"/>
  <c r="G572" i="7"/>
  <c r="H572" i="7" s="1"/>
  <c r="J571" i="7"/>
  <c r="D573" i="6" s="1"/>
  <c r="G571" i="7"/>
  <c r="H571" i="7" s="1"/>
  <c r="J570" i="7"/>
  <c r="D572" i="6" s="1"/>
  <c r="G570" i="7"/>
  <c r="H570" i="7" s="1"/>
  <c r="J569" i="7"/>
  <c r="D571" i="6" s="1"/>
  <c r="G569" i="7"/>
  <c r="H569" i="7" s="1"/>
  <c r="J568" i="7"/>
  <c r="D570" i="6" s="1"/>
  <c r="G568" i="7"/>
  <c r="H568" i="7" s="1"/>
  <c r="J567" i="7"/>
  <c r="D569" i="6" s="1"/>
  <c r="G567" i="7"/>
  <c r="H567" i="7" s="1"/>
  <c r="J566" i="7"/>
  <c r="D568" i="6" s="1"/>
  <c r="G566" i="7"/>
  <c r="H566" i="7" s="1"/>
  <c r="J565" i="7"/>
  <c r="D567" i="6" s="1"/>
  <c r="G565" i="7"/>
  <c r="H565" i="7" s="1"/>
  <c r="J564" i="7"/>
  <c r="D566" i="6" s="1"/>
  <c r="G564" i="7"/>
  <c r="H564" i="7" s="1"/>
  <c r="J563" i="7"/>
  <c r="D565" i="6" s="1"/>
  <c r="G563" i="7"/>
  <c r="H563" i="7" s="1"/>
  <c r="J562" i="7"/>
  <c r="D564" i="6" s="1"/>
  <c r="G562" i="7"/>
  <c r="H562" i="7" s="1"/>
  <c r="J561" i="7"/>
  <c r="D563" i="6" s="1"/>
  <c r="G561" i="7"/>
  <c r="H561" i="7" s="1"/>
  <c r="J560" i="7"/>
  <c r="D562" i="6" s="1"/>
  <c r="G560" i="7"/>
  <c r="H560" i="7" s="1"/>
  <c r="J559" i="7"/>
  <c r="D561" i="6" s="1"/>
  <c r="G559" i="7"/>
  <c r="H559" i="7" s="1"/>
  <c r="J558" i="7"/>
  <c r="D560" i="6" s="1"/>
  <c r="G558" i="7"/>
  <c r="H558" i="7" s="1"/>
  <c r="J557" i="7"/>
  <c r="D559" i="6" s="1"/>
  <c r="G557" i="7"/>
  <c r="H557" i="7" s="1"/>
  <c r="J556" i="7"/>
  <c r="D558" i="6" s="1"/>
  <c r="G556" i="7"/>
  <c r="H556" i="7" s="1"/>
  <c r="J555" i="7"/>
  <c r="D557" i="6" s="1"/>
  <c r="G555" i="7"/>
  <c r="H555" i="7" s="1"/>
  <c r="J554" i="7"/>
  <c r="D556" i="6" s="1"/>
  <c r="G554" i="7"/>
  <c r="H554" i="7" s="1"/>
  <c r="J553" i="7"/>
  <c r="D555" i="6" s="1"/>
  <c r="G553" i="7"/>
  <c r="H553" i="7" s="1"/>
  <c r="J552" i="7"/>
  <c r="D554" i="6" s="1"/>
  <c r="G552" i="7"/>
  <c r="H552" i="7" s="1"/>
  <c r="J551" i="7"/>
  <c r="D553" i="6" s="1"/>
  <c r="G551" i="7"/>
  <c r="H551" i="7" s="1"/>
  <c r="J550" i="7"/>
  <c r="D552" i="6" s="1"/>
  <c r="G550" i="7"/>
  <c r="H550" i="7" s="1"/>
  <c r="J549" i="7"/>
  <c r="D551" i="6" s="1"/>
  <c r="G549" i="7"/>
  <c r="H549" i="7" s="1"/>
  <c r="J548" i="7"/>
  <c r="D550" i="6" s="1"/>
  <c r="G548" i="7"/>
  <c r="H548" i="7" s="1"/>
  <c r="J547" i="7"/>
  <c r="D549" i="6" s="1"/>
  <c r="G547" i="7"/>
  <c r="H547" i="7" s="1"/>
  <c r="J546" i="7"/>
  <c r="D548" i="6" s="1"/>
  <c r="G546" i="7"/>
  <c r="H546" i="7" s="1"/>
  <c r="J545" i="7"/>
  <c r="D547" i="6" s="1"/>
  <c r="G545" i="7"/>
  <c r="H545" i="7" s="1"/>
  <c r="J544" i="7"/>
  <c r="D546" i="6" s="1"/>
  <c r="G544" i="7"/>
  <c r="H544" i="7" s="1"/>
  <c r="J543" i="7"/>
  <c r="D545" i="6" s="1"/>
  <c r="G543" i="7"/>
  <c r="H543" i="7" s="1"/>
  <c r="J542" i="7"/>
  <c r="D544" i="6" s="1"/>
  <c r="G542" i="7"/>
  <c r="H542" i="7" s="1"/>
  <c r="J541" i="7"/>
  <c r="D543" i="6" s="1"/>
  <c r="G541" i="7"/>
  <c r="H541" i="7" s="1"/>
  <c r="J540" i="7"/>
  <c r="D542" i="6" s="1"/>
  <c r="G540" i="7"/>
  <c r="H540" i="7" s="1"/>
  <c r="J539" i="7"/>
  <c r="D541" i="6" s="1"/>
  <c r="G539" i="7"/>
  <c r="H539" i="7" s="1"/>
  <c r="J538" i="7"/>
  <c r="D540" i="6" s="1"/>
  <c r="G538" i="7"/>
  <c r="H538" i="7" s="1"/>
  <c r="J537" i="7"/>
  <c r="D539" i="6" s="1"/>
  <c r="G537" i="7"/>
  <c r="H537" i="7" s="1"/>
  <c r="J536" i="7"/>
  <c r="D538" i="6" s="1"/>
  <c r="G536" i="7"/>
  <c r="H536" i="7" s="1"/>
  <c r="J535" i="7"/>
  <c r="D537" i="6" s="1"/>
  <c r="G535" i="7"/>
  <c r="H535" i="7" s="1"/>
  <c r="J534" i="7"/>
  <c r="D536" i="6" s="1"/>
  <c r="G534" i="7"/>
  <c r="H534" i="7" s="1"/>
  <c r="J533" i="7"/>
  <c r="D535" i="6" s="1"/>
  <c r="G533" i="7"/>
  <c r="H533" i="7" s="1"/>
  <c r="J532" i="7"/>
  <c r="D534" i="6" s="1"/>
  <c r="G532" i="7"/>
  <c r="H532" i="7" s="1"/>
  <c r="J531" i="7"/>
  <c r="D533" i="6" s="1"/>
  <c r="G531" i="7"/>
  <c r="H531" i="7" s="1"/>
  <c r="J530" i="7"/>
  <c r="D532" i="6" s="1"/>
  <c r="G530" i="7"/>
  <c r="H530" i="7" s="1"/>
  <c r="J529" i="7"/>
  <c r="D531" i="6" s="1"/>
  <c r="G529" i="7"/>
  <c r="H529" i="7" s="1"/>
  <c r="J528" i="7"/>
  <c r="D530" i="6" s="1"/>
  <c r="G528" i="7"/>
  <c r="H528" i="7" s="1"/>
  <c r="J527" i="7"/>
  <c r="D529" i="6" s="1"/>
  <c r="G527" i="7"/>
  <c r="H527" i="7" s="1"/>
  <c r="J526" i="7"/>
  <c r="D528" i="6" s="1"/>
  <c r="G526" i="7"/>
  <c r="H526" i="7" s="1"/>
  <c r="J525" i="7"/>
  <c r="D527" i="6" s="1"/>
  <c r="G525" i="7"/>
  <c r="H525" i="7" s="1"/>
  <c r="J524" i="7"/>
  <c r="D526" i="6" s="1"/>
  <c r="G524" i="7"/>
  <c r="H524" i="7" s="1"/>
  <c r="J523" i="7"/>
  <c r="D525" i="6" s="1"/>
  <c r="G523" i="7"/>
  <c r="H523" i="7" s="1"/>
  <c r="J522" i="7"/>
  <c r="D524" i="6" s="1"/>
  <c r="G522" i="7"/>
  <c r="H522" i="7" s="1"/>
  <c r="J521" i="7"/>
  <c r="D523" i="6" s="1"/>
  <c r="G521" i="7"/>
  <c r="H521" i="7" s="1"/>
  <c r="J520" i="7"/>
  <c r="D522" i="6" s="1"/>
  <c r="G520" i="7"/>
  <c r="H520" i="7" s="1"/>
  <c r="J519" i="7"/>
  <c r="D521" i="6" s="1"/>
  <c r="G519" i="7"/>
  <c r="H519" i="7" s="1"/>
  <c r="J518" i="7"/>
  <c r="D520" i="6" s="1"/>
  <c r="G518" i="7"/>
  <c r="H518" i="7" s="1"/>
  <c r="J517" i="7"/>
  <c r="D519" i="6" s="1"/>
  <c r="G517" i="7"/>
  <c r="H517" i="7" s="1"/>
  <c r="J516" i="7"/>
  <c r="D518" i="6" s="1"/>
  <c r="G516" i="7"/>
  <c r="H516" i="7" s="1"/>
  <c r="J515" i="7"/>
  <c r="D517" i="6" s="1"/>
  <c r="G515" i="7"/>
  <c r="H515" i="7" s="1"/>
  <c r="J514" i="7"/>
  <c r="D516" i="6" s="1"/>
  <c r="G514" i="7"/>
  <c r="H514" i="7" s="1"/>
  <c r="J513" i="7"/>
  <c r="D515" i="6" s="1"/>
  <c r="G513" i="7"/>
  <c r="H513" i="7" s="1"/>
  <c r="J512" i="7"/>
  <c r="D514" i="6" s="1"/>
  <c r="G512" i="7"/>
  <c r="H512" i="7" s="1"/>
  <c r="J511" i="7"/>
  <c r="D513" i="6" s="1"/>
  <c r="G511" i="7"/>
  <c r="H511" i="7" s="1"/>
  <c r="J510" i="7"/>
  <c r="D512" i="6" s="1"/>
  <c r="G510" i="7"/>
  <c r="H510" i="7" s="1"/>
  <c r="J509" i="7"/>
  <c r="D511" i="6" s="1"/>
  <c r="G509" i="7"/>
  <c r="H509" i="7" s="1"/>
  <c r="J508" i="7"/>
  <c r="D510" i="6" s="1"/>
  <c r="G508" i="7"/>
  <c r="H508" i="7" s="1"/>
  <c r="J507" i="7"/>
  <c r="D509" i="6" s="1"/>
  <c r="G507" i="7"/>
  <c r="H507" i="7" s="1"/>
  <c r="J506" i="7"/>
  <c r="D508" i="6" s="1"/>
  <c r="G506" i="7"/>
  <c r="H506" i="7" s="1"/>
  <c r="J505" i="7"/>
  <c r="D507" i="6" s="1"/>
  <c r="G505" i="7"/>
  <c r="H505" i="7" s="1"/>
  <c r="J504" i="7"/>
  <c r="D506" i="6" s="1"/>
  <c r="G504" i="7"/>
  <c r="H504" i="7" s="1"/>
  <c r="J503" i="7"/>
  <c r="D505" i="6" s="1"/>
  <c r="G503" i="7"/>
  <c r="H503" i="7" s="1"/>
  <c r="J502" i="7"/>
  <c r="D504" i="6" s="1"/>
  <c r="G502" i="7"/>
  <c r="H502" i="7" s="1"/>
  <c r="J501" i="7"/>
  <c r="D503" i="6" s="1"/>
  <c r="G501" i="7"/>
  <c r="H501" i="7" s="1"/>
  <c r="J500" i="7"/>
  <c r="D502" i="6" s="1"/>
  <c r="G500" i="7"/>
  <c r="H500" i="7" s="1"/>
  <c r="J499" i="7"/>
  <c r="D501" i="6" s="1"/>
  <c r="G499" i="7"/>
  <c r="H499" i="7" s="1"/>
  <c r="J498" i="7"/>
  <c r="D500" i="6" s="1"/>
  <c r="G498" i="7"/>
  <c r="H498" i="7" s="1"/>
  <c r="J497" i="7"/>
  <c r="D499" i="6" s="1"/>
  <c r="G497" i="7"/>
  <c r="H497" i="7" s="1"/>
  <c r="J496" i="7"/>
  <c r="D498" i="6" s="1"/>
  <c r="G496" i="7"/>
  <c r="H496" i="7" s="1"/>
  <c r="J495" i="7"/>
  <c r="D497" i="6" s="1"/>
  <c r="G495" i="7"/>
  <c r="H495" i="7" s="1"/>
  <c r="J494" i="7"/>
  <c r="D496" i="6" s="1"/>
  <c r="G494" i="7"/>
  <c r="H494" i="7" s="1"/>
  <c r="J493" i="7"/>
  <c r="D495" i="6" s="1"/>
  <c r="G493" i="7"/>
  <c r="H493" i="7" s="1"/>
  <c r="J492" i="7"/>
  <c r="D494" i="6" s="1"/>
  <c r="G492" i="7"/>
  <c r="H492" i="7" s="1"/>
  <c r="J491" i="7"/>
  <c r="D493" i="6" s="1"/>
  <c r="G491" i="7"/>
  <c r="H491" i="7" s="1"/>
  <c r="J490" i="7"/>
  <c r="D492" i="6" s="1"/>
  <c r="G490" i="7"/>
  <c r="H490" i="7" s="1"/>
  <c r="J489" i="7"/>
  <c r="D491" i="6" s="1"/>
  <c r="G489" i="7"/>
  <c r="H489" i="7" s="1"/>
  <c r="J488" i="7"/>
  <c r="D490" i="6" s="1"/>
  <c r="G488" i="7"/>
  <c r="H488" i="7" s="1"/>
  <c r="J487" i="7"/>
  <c r="D489" i="6" s="1"/>
  <c r="G487" i="7"/>
  <c r="H487" i="7" s="1"/>
  <c r="J486" i="7"/>
  <c r="D488" i="6" s="1"/>
  <c r="G486" i="7"/>
  <c r="H486" i="7" s="1"/>
  <c r="J485" i="7"/>
  <c r="D487" i="6" s="1"/>
  <c r="G485" i="7"/>
  <c r="H485" i="7" s="1"/>
  <c r="J484" i="7"/>
  <c r="D486" i="6" s="1"/>
  <c r="G484" i="7"/>
  <c r="H484" i="7" s="1"/>
  <c r="J483" i="7"/>
  <c r="D485" i="6" s="1"/>
  <c r="G483" i="7"/>
  <c r="H483" i="7" s="1"/>
  <c r="J482" i="7"/>
  <c r="D484" i="6" s="1"/>
  <c r="G482" i="7"/>
  <c r="H482" i="7" s="1"/>
  <c r="J481" i="7"/>
  <c r="D483" i="6" s="1"/>
  <c r="G481" i="7"/>
  <c r="H481" i="7" s="1"/>
  <c r="J480" i="7"/>
  <c r="D482" i="6" s="1"/>
  <c r="G480" i="7"/>
  <c r="H480" i="7" s="1"/>
  <c r="J479" i="7"/>
  <c r="D481" i="6" s="1"/>
  <c r="G479" i="7"/>
  <c r="H479" i="7" s="1"/>
  <c r="J478" i="7"/>
  <c r="D480" i="6" s="1"/>
  <c r="G478" i="7"/>
  <c r="H478" i="7" s="1"/>
  <c r="J477" i="7"/>
  <c r="D479" i="6" s="1"/>
  <c r="G477" i="7"/>
  <c r="H477" i="7" s="1"/>
  <c r="J476" i="7"/>
  <c r="D478" i="6" s="1"/>
  <c r="G476" i="7"/>
  <c r="H476" i="7" s="1"/>
  <c r="J475" i="7"/>
  <c r="D477" i="6" s="1"/>
  <c r="G475" i="7"/>
  <c r="H475" i="7" s="1"/>
  <c r="J474" i="7"/>
  <c r="D476" i="6" s="1"/>
  <c r="G474" i="7"/>
  <c r="H474" i="7" s="1"/>
  <c r="J473" i="7"/>
  <c r="D475" i="6" s="1"/>
  <c r="G473" i="7"/>
  <c r="H473" i="7" s="1"/>
  <c r="J472" i="7"/>
  <c r="D474" i="6" s="1"/>
  <c r="G472" i="7"/>
  <c r="H472" i="7" s="1"/>
  <c r="J471" i="7"/>
  <c r="D473" i="6" s="1"/>
  <c r="G471" i="7"/>
  <c r="H471" i="7" s="1"/>
  <c r="J470" i="7"/>
  <c r="D472" i="6" s="1"/>
  <c r="G470" i="7"/>
  <c r="H470" i="7" s="1"/>
  <c r="J469" i="7"/>
  <c r="D471" i="6" s="1"/>
  <c r="G469" i="7"/>
  <c r="H469" i="7" s="1"/>
  <c r="J468" i="7"/>
  <c r="D470" i="6" s="1"/>
  <c r="G468" i="7"/>
  <c r="H468" i="7" s="1"/>
  <c r="J467" i="7"/>
  <c r="D469" i="6" s="1"/>
  <c r="G467" i="7"/>
  <c r="H467" i="7" s="1"/>
  <c r="J466" i="7"/>
  <c r="D468" i="6" s="1"/>
  <c r="G466" i="7"/>
  <c r="H466" i="7" s="1"/>
  <c r="J465" i="7"/>
  <c r="D467" i="6" s="1"/>
  <c r="G465" i="7"/>
  <c r="H465" i="7" s="1"/>
  <c r="J464" i="7"/>
  <c r="D466" i="6" s="1"/>
  <c r="G464" i="7"/>
  <c r="H464" i="7" s="1"/>
  <c r="J463" i="7"/>
  <c r="D465" i="6" s="1"/>
  <c r="G463" i="7"/>
  <c r="H463" i="7" s="1"/>
  <c r="J462" i="7"/>
  <c r="D464" i="6" s="1"/>
  <c r="G462" i="7"/>
  <c r="H462" i="7" s="1"/>
  <c r="J461" i="7"/>
  <c r="D463" i="6" s="1"/>
  <c r="G461" i="7"/>
  <c r="H461" i="7" s="1"/>
  <c r="J460" i="7"/>
  <c r="D462" i="6" s="1"/>
  <c r="G460" i="7"/>
  <c r="H460" i="7" s="1"/>
  <c r="J459" i="7"/>
  <c r="D461" i="6" s="1"/>
  <c r="G459" i="7"/>
  <c r="H459" i="7" s="1"/>
  <c r="J458" i="7"/>
  <c r="D460" i="6" s="1"/>
  <c r="G458" i="7"/>
  <c r="H458" i="7" s="1"/>
  <c r="J457" i="7"/>
  <c r="D459" i="6" s="1"/>
  <c r="G457" i="7"/>
  <c r="H457" i="7" s="1"/>
  <c r="J456" i="7"/>
  <c r="D458" i="6" s="1"/>
  <c r="G456" i="7"/>
  <c r="H456" i="7" s="1"/>
  <c r="J455" i="7"/>
  <c r="D457" i="6" s="1"/>
  <c r="G455" i="7"/>
  <c r="H455" i="7" s="1"/>
  <c r="J454" i="7"/>
  <c r="D456" i="6" s="1"/>
  <c r="G454" i="7"/>
  <c r="H454" i="7" s="1"/>
  <c r="J453" i="7"/>
  <c r="D455" i="6" s="1"/>
  <c r="G453" i="7"/>
  <c r="H453" i="7" s="1"/>
  <c r="J452" i="7"/>
  <c r="D454" i="6" s="1"/>
  <c r="G452" i="7"/>
  <c r="H452" i="7" s="1"/>
  <c r="J451" i="7"/>
  <c r="D453" i="6" s="1"/>
  <c r="G451" i="7"/>
  <c r="H451" i="7" s="1"/>
  <c r="J450" i="7"/>
  <c r="D452" i="6" s="1"/>
  <c r="G450" i="7"/>
  <c r="H450" i="7" s="1"/>
  <c r="J449" i="7"/>
  <c r="D451" i="6" s="1"/>
  <c r="G449" i="7"/>
  <c r="H449" i="7" s="1"/>
  <c r="J448" i="7"/>
  <c r="D450" i="6" s="1"/>
  <c r="G448" i="7"/>
  <c r="H448" i="7" s="1"/>
  <c r="J447" i="7"/>
  <c r="D449" i="6" s="1"/>
  <c r="G447" i="7"/>
  <c r="H447" i="7" s="1"/>
  <c r="J446" i="7"/>
  <c r="D448" i="6" s="1"/>
  <c r="G446" i="7"/>
  <c r="H446" i="7" s="1"/>
  <c r="J445" i="7"/>
  <c r="D447" i="6" s="1"/>
  <c r="G445" i="7"/>
  <c r="H445" i="7" s="1"/>
  <c r="J444" i="7"/>
  <c r="D446" i="6" s="1"/>
  <c r="G444" i="7"/>
  <c r="H444" i="7" s="1"/>
  <c r="J443" i="7"/>
  <c r="D445" i="6" s="1"/>
  <c r="G443" i="7"/>
  <c r="H443" i="7" s="1"/>
  <c r="J442" i="7"/>
  <c r="D444" i="6" s="1"/>
  <c r="G442" i="7"/>
  <c r="H442" i="7" s="1"/>
  <c r="J441" i="7"/>
  <c r="D443" i="6" s="1"/>
  <c r="G441" i="7"/>
  <c r="H441" i="7" s="1"/>
  <c r="J440" i="7"/>
  <c r="D442" i="6" s="1"/>
  <c r="G440" i="7"/>
  <c r="H440" i="7" s="1"/>
  <c r="J439" i="7"/>
  <c r="D441" i="6" s="1"/>
  <c r="G439" i="7"/>
  <c r="H439" i="7" s="1"/>
  <c r="J438" i="7"/>
  <c r="D440" i="6" s="1"/>
  <c r="G438" i="7"/>
  <c r="H438" i="7" s="1"/>
  <c r="J437" i="7"/>
  <c r="D439" i="6" s="1"/>
  <c r="G437" i="7"/>
  <c r="H437" i="7" s="1"/>
  <c r="J436" i="7"/>
  <c r="D438" i="6" s="1"/>
  <c r="G436" i="7"/>
  <c r="H436" i="7" s="1"/>
  <c r="J435" i="7"/>
  <c r="D437" i="6" s="1"/>
  <c r="G435" i="7"/>
  <c r="H435" i="7" s="1"/>
  <c r="J434" i="7"/>
  <c r="D436" i="6" s="1"/>
  <c r="G434" i="7"/>
  <c r="H434" i="7" s="1"/>
  <c r="J433" i="7"/>
  <c r="D435" i="6" s="1"/>
  <c r="G433" i="7"/>
  <c r="H433" i="7" s="1"/>
  <c r="J432" i="7"/>
  <c r="D434" i="6" s="1"/>
  <c r="G432" i="7"/>
  <c r="H432" i="7" s="1"/>
  <c r="J431" i="7"/>
  <c r="D433" i="6" s="1"/>
  <c r="G431" i="7"/>
  <c r="H431" i="7" s="1"/>
  <c r="J430" i="7"/>
  <c r="D432" i="6" s="1"/>
  <c r="G430" i="7"/>
  <c r="H430" i="7" s="1"/>
  <c r="J429" i="7"/>
  <c r="D431" i="6" s="1"/>
  <c r="G429" i="7"/>
  <c r="H429" i="7" s="1"/>
  <c r="J428" i="7"/>
  <c r="D430" i="6" s="1"/>
  <c r="G428" i="7"/>
  <c r="H428" i="7" s="1"/>
  <c r="J427" i="7"/>
  <c r="D429" i="6" s="1"/>
  <c r="G427" i="7"/>
  <c r="H427" i="7" s="1"/>
  <c r="J426" i="7"/>
  <c r="D428" i="6" s="1"/>
  <c r="G426" i="7"/>
  <c r="H426" i="7" s="1"/>
  <c r="J425" i="7"/>
  <c r="D427" i="6" s="1"/>
  <c r="G425" i="7"/>
  <c r="H425" i="7" s="1"/>
  <c r="J424" i="7"/>
  <c r="D426" i="6" s="1"/>
  <c r="G424" i="7"/>
  <c r="H424" i="7" s="1"/>
  <c r="J423" i="7"/>
  <c r="D425" i="6" s="1"/>
  <c r="G423" i="7"/>
  <c r="H423" i="7" s="1"/>
  <c r="J422" i="7"/>
  <c r="D424" i="6" s="1"/>
  <c r="G422" i="7"/>
  <c r="H422" i="7" s="1"/>
  <c r="J421" i="7"/>
  <c r="D423" i="6" s="1"/>
  <c r="G421" i="7"/>
  <c r="H421" i="7" s="1"/>
  <c r="J420" i="7"/>
  <c r="D422" i="6" s="1"/>
  <c r="G420" i="7"/>
  <c r="H420" i="7" s="1"/>
  <c r="J419" i="7"/>
  <c r="D421" i="6" s="1"/>
  <c r="G419" i="7"/>
  <c r="H419" i="7" s="1"/>
  <c r="J418" i="7"/>
  <c r="D420" i="6" s="1"/>
  <c r="G418" i="7"/>
  <c r="H418" i="7" s="1"/>
  <c r="J417" i="7"/>
  <c r="D419" i="6" s="1"/>
  <c r="G417" i="7"/>
  <c r="H417" i="7" s="1"/>
  <c r="J416" i="7"/>
  <c r="D418" i="6" s="1"/>
  <c r="G416" i="7"/>
  <c r="H416" i="7" s="1"/>
  <c r="J415" i="7"/>
  <c r="D417" i="6" s="1"/>
  <c r="G415" i="7"/>
  <c r="H415" i="7" s="1"/>
  <c r="J414" i="7"/>
  <c r="D416" i="6" s="1"/>
  <c r="G414" i="7"/>
  <c r="H414" i="7" s="1"/>
  <c r="J413" i="7"/>
  <c r="D415" i="6" s="1"/>
  <c r="G413" i="7"/>
  <c r="H413" i="7" s="1"/>
  <c r="J412" i="7"/>
  <c r="D414" i="6" s="1"/>
  <c r="G412" i="7"/>
  <c r="H412" i="7" s="1"/>
  <c r="J411" i="7"/>
  <c r="D413" i="6" s="1"/>
  <c r="G411" i="7"/>
  <c r="H411" i="7" s="1"/>
  <c r="J410" i="7"/>
  <c r="D412" i="6" s="1"/>
  <c r="G410" i="7"/>
  <c r="H410" i="7" s="1"/>
  <c r="J409" i="7"/>
  <c r="D411" i="6" s="1"/>
  <c r="G409" i="7"/>
  <c r="H409" i="7" s="1"/>
  <c r="J408" i="7"/>
  <c r="D410" i="6" s="1"/>
  <c r="G408" i="7"/>
  <c r="H408" i="7" s="1"/>
  <c r="J407" i="7"/>
  <c r="D409" i="6" s="1"/>
  <c r="G407" i="7"/>
  <c r="H407" i="7" s="1"/>
  <c r="J406" i="7"/>
  <c r="D408" i="6" s="1"/>
  <c r="G406" i="7"/>
  <c r="H406" i="7" s="1"/>
  <c r="J405" i="7"/>
  <c r="D407" i="6" s="1"/>
  <c r="G405" i="7"/>
  <c r="H405" i="7" s="1"/>
  <c r="J404" i="7"/>
  <c r="D406" i="6" s="1"/>
  <c r="G404" i="7"/>
  <c r="H404" i="7" s="1"/>
  <c r="J403" i="7"/>
  <c r="D405" i="6" s="1"/>
  <c r="G403" i="7"/>
  <c r="H403" i="7" s="1"/>
  <c r="J402" i="7"/>
  <c r="D404" i="6" s="1"/>
  <c r="G402" i="7"/>
  <c r="H402" i="7" s="1"/>
  <c r="J401" i="7"/>
  <c r="D403" i="6" s="1"/>
  <c r="G401" i="7"/>
  <c r="H401" i="7" s="1"/>
  <c r="J400" i="7"/>
  <c r="D402" i="6" s="1"/>
  <c r="G400" i="7"/>
  <c r="H400" i="7" s="1"/>
  <c r="J399" i="7"/>
  <c r="D401" i="6" s="1"/>
  <c r="G399" i="7"/>
  <c r="H399" i="7" s="1"/>
  <c r="J398" i="7"/>
  <c r="D400" i="6" s="1"/>
  <c r="G398" i="7"/>
  <c r="H398" i="7" s="1"/>
  <c r="J397" i="7"/>
  <c r="D399" i="6" s="1"/>
  <c r="G397" i="7"/>
  <c r="H397" i="7" s="1"/>
  <c r="J396" i="7"/>
  <c r="D398" i="6" s="1"/>
  <c r="G396" i="7"/>
  <c r="H396" i="7" s="1"/>
  <c r="J395" i="7"/>
  <c r="D397" i="6" s="1"/>
  <c r="G395" i="7"/>
  <c r="H395" i="7" s="1"/>
  <c r="J394" i="7"/>
  <c r="D396" i="6" s="1"/>
  <c r="G394" i="7"/>
  <c r="H394" i="7" s="1"/>
  <c r="J393" i="7"/>
  <c r="D395" i="6" s="1"/>
  <c r="G393" i="7"/>
  <c r="H393" i="7" s="1"/>
  <c r="J392" i="7"/>
  <c r="D394" i="6" s="1"/>
  <c r="G392" i="7"/>
  <c r="H392" i="7" s="1"/>
  <c r="J391" i="7"/>
  <c r="D393" i="6" s="1"/>
  <c r="G391" i="7"/>
  <c r="H391" i="7" s="1"/>
  <c r="J390" i="7"/>
  <c r="D392" i="6" s="1"/>
  <c r="G390" i="7"/>
  <c r="H390" i="7" s="1"/>
  <c r="J389" i="7"/>
  <c r="D391" i="6" s="1"/>
  <c r="G389" i="7"/>
  <c r="H389" i="7" s="1"/>
  <c r="J388" i="7"/>
  <c r="D390" i="6" s="1"/>
  <c r="G388" i="7"/>
  <c r="H388" i="7" s="1"/>
  <c r="J387" i="7"/>
  <c r="D389" i="6" s="1"/>
  <c r="G387" i="7"/>
  <c r="H387" i="7" s="1"/>
  <c r="J386" i="7"/>
  <c r="D388" i="6" s="1"/>
  <c r="G386" i="7"/>
  <c r="H386" i="7" s="1"/>
  <c r="J385" i="7"/>
  <c r="D387" i="6" s="1"/>
  <c r="G385" i="7"/>
  <c r="H385" i="7" s="1"/>
  <c r="J384" i="7"/>
  <c r="D386" i="6" s="1"/>
  <c r="G384" i="7"/>
  <c r="H384" i="7" s="1"/>
  <c r="J383" i="7"/>
  <c r="D385" i="6" s="1"/>
  <c r="G383" i="7"/>
  <c r="H383" i="7" s="1"/>
  <c r="J382" i="7"/>
  <c r="D384" i="6" s="1"/>
  <c r="G382" i="7"/>
  <c r="H382" i="7" s="1"/>
  <c r="J381" i="7"/>
  <c r="D383" i="6" s="1"/>
  <c r="G381" i="7"/>
  <c r="H381" i="7" s="1"/>
  <c r="J380" i="7"/>
  <c r="D382" i="6" s="1"/>
  <c r="G380" i="7"/>
  <c r="H380" i="7" s="1"/>
  <c r="J379" i="7"/>
  <c r="D381" i="6" s="1"/>
  <c r="G379" i="7"/>
  <c r="H379" i="7" s="1"/>
  <c r="J378" i="7"/>
  <c r="D380" i="6" s="1"/>
  <c r="G378" i="7"/>
  <c r="H378" i="7" s="1"/>
  <c r="J377" i="7"/>
  <c r="D379" i="6" s="1"/>
  <c r="G377" i="7"/>
  <c r="H377" i="7" s="1"/>
  <c r="J376" i="7"/>
  <c r="D378" i="6" s="1"/>
  <c r="G376" i="7"/>
  <c r="H376" i="7" s="1"/>
  <c r="J375" i="7"/>
  <c r="D377" i="6" s="1"/>
  <c r="G375" i="7"/>
  <c r="H375" i="7" s="1"/>
  <c r="J374" i="7"/>
  <c r="D376" i="6" s="1"/>
  <c r="G374" i="7"/>
  <c r="H374" i="7" s="1"/>
  <c r="J373" i="7"/>
  <c r="D375" i="6" s="1"/>
  <c r="G373" i="7"/>
  <c r="H373" i="7" s="1"/>
  <c r="J372" i="7"/>
  <c r="D374" i="6" s="1"/>
  <c r="G372" i="7"/>
  <c r="H372" i="7" s="1"/>
  <c r="J371" i="7"/>
  <c r="D373" i="6" s="1"/>
  <c r="G371" i="7"/>
  <c r="H371" i="7" s="1"/>
  <c r="J370" i="7"/>
  <c r="D372" i="6" s="1"/>
  <c r="G370" i="7"/>
  <c r="H370" i="7" s="1"/>
  <c r="J369" i="7"/>
  <c r="D371" i="6" s="1"/>
  <c r="G369" i="7"/>
  <c r="H369" i="7" s="1"/>
  <c r="J368" i="7"/>
  <c r="D370" i="6" s="1"/>
  <c r="G368" i="7"/>
  <c r="H368" i="7" s="1"/>
  <c r="J367" i="7"/>
  <c r="D369" i="6" s="1"/>
  <c r="G367" i="7"/>
  <c r="H367" i="7" s="1"/>
  <c r="J366" i="7"/>
  <c r="D368" i="6" s="1"/>
  <c r="G366" i="7"/>
  <c r="H366" i="7" s="1"/>
  <c r="J365" i="7"/>
  <c r="D367" i="6" s="1"/>
  <c r="G365" i="7"/>
  <c r="H365" i="7" s="1"/>
  <c r="J364" i="7"/>
  <c r="D366" i="6" s="1"/>
  <c r="G364" i="7"/>
  <c r="H364" i="7" s="1"/>
  <c r="J363" i="7"/>
  <c r="D365" i="6" s="1"/>
  <c r="G363" i="7"/>
  <c r="H363" i="7" s="1"/>
  <c r="J362" i="7"/>
  <c r="D364" i="6" s="1"/>
  <c r="G362" i="7"/>
  <c r="H362" i="7" s="1"/>
  <c r="J361" i="7"/>
  <c r="D363" i="6" s="1"/>
  <c r="G361" i="7"/>
  <c r="H361" i="7" s="1"/>
  <c r="J360" i="7"/>
  <c r="D362" i="6" s="1"/>
  <c r="G360" i="7"/>
  <c r="H360" i="7" s="1"/>
  <c r="J359" i="7"/>
  <c r="D361" i="6" s="1"/>
  <c r="G359" i="7"/>
  <c r="H359" i="7" s="1"/>
  <c r="J358" i="7"/>
  <c r="D360" i="6" s="1"/>
  <c r="G358" i="7"/>
  <c r="H358" i="7" s="1"/>
  <c r="J357" i="7"/>
  <c r="D359" i="6" s="1"/>
  <c r="G357" i="7"/>
  <c r="H357" i="7" s="1"/>
  <c r="J356" i="7"/>
  <c r="D358" i="6" s="1"/>
  <c r="G356" i="7"/>
  <c r="H356" i="7" s="1"/>
  <c r="J355" i="7"/>
  <c r="D357" i="6" s="1"/>
  <c r="G355" i="7"/>
  <c r="H355" i="7" s="1"/>
  <c r="J354" i="7"/>
  <c r="D356" i="6" s="1"/>
  <c r="G354" i="7"/>
  <c r="H354" i="7" s="1"/>
  <c r="J353" i="7"/>
  <c r="D355" i="6" s="1"/>
  <c r="G353" i="7"/>
  <c r="H353" i="7" s="1"/>
  <c r="J352" i="7"/>
  <c r="D354" i="6" s="1"/>
  <c r="G352" i="7"/>
  <c r="H352" i="7" s="1"/>
  <c r="J351" i="7"/>
  <c r="D353" i="6" s="1"/>
  <c r="G351" i="7"/>
  <c r="H351" i="7" s="1"/>
  <c r="J350" i="7"/>
  <c r="D352" i="6" s="1"/>
  <c r="G350" i="7"/>
  <c r="H350" i="7" s="1"/>
  <c r="J349" i="7"/>
  <c r="D351" i="6" s="1"/>
  <c r="G349" i="7"/>
  <c r="H349" i="7" s="1"/>
  <c r="J348" i="7"/>
  <c r="D350" i="6" s="1"/>
  <c r="G348" i="7"/>
  <c r="H348" i="7" s="1"/>
  <c r="J347" i="7"/>
  <c r="D349" i="6" s="1"/>
  <c r="G347" i="7"/>
  <c r="H347" i="7" s="1"/>
  <c r="J346" i="7"/>
  <c r="D348" i="6" s="1"/>
  <c r="G346" i="7"/>
  <c r="H346" i="7" s="1"/>
  <c r="J345" i="7"/>
  <c r="D347" i="6" s="1"/>
  <c r="G345" i="7"/>
  <c r="H345" i="7" s="1"/>
  <c r="J344" i="7"/>
  <c r="D346" i="6" s="1"/>
  <c r="G344" i="7"/>
  <c r="H344" i="7" s="1"/>
  <c r="J343" i="7"/>
  <c r="D345" i="6" s="1"/>
  <c r="G343" i="7"/>
  <c r="H343" i="7" s="1"/>
  <c r="J342" i="7"/>
  <c r="D344" i="6" s="1"/>
  <c r="G342" i="7"/>
  <c r="H342" i="7" s="1"/>
  <c r="J341" i="7"/>
  <c r="D343" i="6" s="1"/>
  <c r="G341" i="7"/>
  <c r="H341" i="7" s="1"/>
  <c r="J340" i="7"/>
  <c r="D342" i="6" s="1"/>
  <c r="G340" i="7"/>
  <c r="H340" i="7" s="1"/>
  <c r="J339" i="7"/>
  <c r="D341" i="6" s="1"/>
  <c r="H339" i="7"/>
  <c r="J338" i="7"/>
  <c r="D340" i="6" s="1"/>
  <c r="G338" i="7"/>
  <c r="H338" i="7" s="1"/>
  <c r="J337" i="7"/>
  <c r="D339" i="6" s="1"/>
  <c r="G337" i="7"/>
  <c r="H337" i="7" s="1"/>
  <c r="J336" i="7"/>
  <c r="D338" i="6" s="1"/>
  <c r="G336" i="7"/>
  <c r="H336" i="7" s="1"/>
  <c r="J335" i="7"/>
  <c r="D337" i="6" s="1"/>
  <c r="G335" i="7"/>
  <c r="H335" i="7" s="1"/>
  <c r="J334" i="7"/>
  <c r="D336" i="6" s="1"/>
  <c r="G334" i="7"/>
  <c r="H334" i="7" s="1"/>
  <c r="J333" i="7"/>
  <c r="D335" i="6" s="1"/>
  <c r="G333" i="7"/>
  <c r="H333" i="7" s="1"/>
  <c r="J332" i="7"/>
  <c r="D334" i="6" s="1"/>
  <c r="G332" i="7"/>
  <c r="H332" i="7" s="1"/>
  <c r="J331" i="7"/>
  <c r="D333" i="6" s="1"/>
  <c r="G331" i="7"/>
  <c r="H331" i="7" s="1"/>
  <c r="J330" i="7"/>
  <c r="D332" i="6" s="1"/>
  <c r="G330" i="7"/>
  <c r="H330" i="7" s="1"/>
  <c r="J329" i="7"/>
  <c r="D331" i="6" s="1"/>
  <c r="G329" i="7"/>
  <c r="H329" i="7" s="1"/>
  <c r="J328" i="7"/>
  <c r="D330" i="6" s="1"/>
  <c r="G328" i="7"/>
  <c r="H328" i="7" s="1"/>
  <c r="J327" i="7"/>
  <c r="D329" i="6" s="1"/>
  <c r="G327" i="7"/>
  <c r="H327" i="7" s="1"/>
  <c r="J326" i="7"/>
  <c r="D328" i="6" s="1"/>
  <c r="G326" i="7"/>
  <c r="H326" i="7" s="1"/>
  <c r="J325" i="7"/>
  <c r="D327" i="6" s="1"/>
  <c r="G325" i="7"/>
  <c r="H325" i="7" s="1"/>
  <c r="J324" i="7"/>
  <c r="D326" i="6" s="1"/>
  <c r="G324" i="7"/>
  <c r="H324" i="7" s="1"/>
  <c r="J323" i="7"/>
  <c r="D325" i="6" s="1"/>
  <c r="G323" i="7"/>
  <c r="H323" i="7" s="1"/>
  <c r="J322" i="7"/>
  <c r="D324" i="6" s="1"/>
  <c r="G322" i="7"/>
  <c r="H322" i="7" s="1"/>
  <c r="J321" i="7"/>
  <c r="D323" i="6" s="1"/>
  <c r="G321" i="7"/>
  <c r="H321" i="7" s="1"/>
  <c r="J320" i="7"/>
  <c r="D322" i="6" s="1"/>
  <c r="G320" i="7"/>
  <c r="H320" i="7" s="1"/>
  <c r="J319" i="7"/>
  <c r="D321" i="6" s="1"/>
  <c r="G319" i="7"/>
  <c r="H319" i="7" s="1"/>
  <c r="J318" i="7"/>
  <c r="D320" i="6" s="1"/>
  <c r="G318" i="7"/>
  <c r="H318" i="7" s="1"/>
  <c r="J317" i="7"/>
  <c r="D319" i="6" s="1"/>
  <c r="G317" i="7"/>
  <c r="H317" i="7" s="1"/>
  <c r="J316" i="7"/>
  <c r="D318" i="6" s="1"/>
  <c r="G316" i="7"/>
  <c r="H316" i="7" s="1"/>
  <c r="J315" i="7"/>
  <c r="D317" i="6" s="1"/>
  <c r="G315" i="7"/>
  <c r="H315" i="7" s="1"/>
  <c r="J314" i="7"/>
  <c r="D316" i="6" s="1"/>
  <c r="G314" i="7"/>
  <c r="H314" i="7" s="1"/>
  <c r="J313" i="7"/>
  <c r="D315" i="6" s="1"/>
  <c r="G313" i="7"/>
  <c r="H313" i="7" s="1"/>
  <c r="J312" i="7"/>
  <c r="D314" i="6" s="1"/>
  <c r="G312" i="7"/>
  <c r="H312" i="7" s="1"/>
  <c r="J311" i="7"/>
  <c r="D313" i="6" s="1"/>
  <c r="G311" i="7"/>
  <c r="H311" i="7" s="1"/>
  <c r="J310" i="7"/>
  <c r="D312" i="6" s="1"/>
  <c r="G310" i="7"/>
  <c r="H310" i="7" s="1"/>
  <c r="J309" i="7"/>
  <c r="D311" i="6" s="1"/>
  <c r="G309" i="7"/>
  <c r="H309" i="7" s="1"/>
  <c r="J308" i="7"/>
  <c r="D310" i="6" s="1"/>
  <c r="G308" i="7"/>
  <c r="H308" i="7" s="1"/>
  <c r="J307" i="7"/>
  <c r="D309" i="6" s="1"/>
  <c r="G307" i="7"/>
  <c r="H307" i="7" s="1"/>
  <c r="J306" i="7"/>
  <c r="D308" i="6" s="1"/>
  <c r="G306" i="7"/>
  <c r="H306" i="7" s="1"/>
  <c r="J305" i="7"/>
  <c r="D307" i="6" s="1"/>
  <c r="G305" i="7"/>
  <c r="H305" i="7" s="1"/>
  <c r="J304" i="7"/>
  <c r="D306" i="6" s="1"/>
  <c r="G304" i="7"/>
  <c r="H304" i="7" s="1"/>
  <c r="J303" i="7"/>
  <c r="D305" i="6" s="1"/>
  <c r="G303" i="7"/>
  <c r="H303" i="7" s="1"/>
  <c r="J302" i="7"/>
  <c r="D304" i="6" s="1"/>
  <c r="G302" i="7"/>
  <c r="H302" i="7" s="1"/>
  <c r="J301" i="7"/>
  <c r="D303" i="6" s="1"/>
  <c r="G301" i="7"/>
  <c r="H301" i="7" s="1"/>
  <c r="J300" i="7"/>
  <c r="D302" i="6" s="1"/>
  <c r="G300" i="7"/>
  <c r="H300" i="7" s="1"/>
  <c r="J299" i="7"/>
  <c r="D301" i="6" s="1"/>
  <c r="G299" i="7"/>
  <c r="H299" i="7" s="1"/>
  <c r="J298" i="7"/>
  <c r="D300" i="6" s="1"/>
  <c r="G298" i="7"/>
  <c r="H298" i="7" s="1"/>
  <c r="J297" i="7"/>
  <c r="D299" i="6" s="1"/>
  <c r="G297" i="7"/>
  <c r="H297" i="7" s="1"/>
  <c r="J296" i="7"/>
  <c r="D298" i="6" s="1"/>
  <c r="G296" i="7"/>
  <c r="H296" i="7" s="1"/>
  <c r="J295" i="7"/>
  <c r="D297" i="6" s="1"/>
  <c r="G295" i="7"/>
  <c r="H295" i="7" s="1"/>
  <c r="J294" i="7"/>
  <c r="D296" i="6" s="1"/>
  <c r="G294" i="7"/>
  <c r="H294" i="7" s="1"/>
  <c r="J293" i="7"/>
  <c r="D295" i="6" s="1"/>
  <c r="G293" i="7"/>
  <c r="H293" i="7" s="1"/>
  <c r="J292" i="7"/>
  <c r="D294" i="6" s="1"/>
  <c r="G292" i="7"/>
  <c r="H292" i="7" s="1"/>
  <c r="J291" i="7"/>
  <c r="D293" i="6" s="1"/>
  <c r="G291" i="7"/>
  <c r="H291" i="7" s="1"/>
  <c r="J290" i="7"/>
  <c r="D292" i="6" s="1"/>
  <c r="G290" i="7"/>
  <c r="H290" i="7" s="1"/>
  <c r="J289" i="7"/>
  <c r="D291" i="6" s="1"/>
  <c r="G289" i="7"/>
  <c r="H289" i="7" s="1"/>
  <c r="J288" i="7"/>
  <c r="D290" i="6" s="1"/>
  <c r="G288" i="7"/>
  <c r="H288" i="7" s="1"/>
  <c r="J287" i="7"/>
  <c r="D289" i="6" s="1"/>
  <c r="G287" i="7"/>
  <c r="H287" i="7" s="1"/>
  <c r="J286" i="7"/>
  <c r="D288" i="6" s="1"/>
  <c r="G286" i="7"/>
  <c r="H286" i="7" s="1"/>
  <c r="J285" i="7"/>
  <c r="D287" i="6" s="1"/>
  <c r="G285" i="7"/>
  <c r="H285" i="7" s="1"/>
  <c r="J284" i="7"/>
  <c r="D286" i="6" s="1"/>
  <c r="G284" i="7"/>
  <c r="H284" i="7" s="1"/>
  <c r="J283" i="7"/>
  <c r="D285" i="6" s="1"/>
  <c r="G283" i="7"/>
  <c r="H283" i="7" s="1"/>
  <c r="D284" i="6"/>
  <c r="J282" i="7"/>
  <c r="D283" i="6" s="1"/>
  <c r="G282" i="7"/>
  <c r="H282" i="7" s="1"/>
  <c r="J281" i="7"/>
  <c r="D282" i="6" s="1"/>
  <c r="G281" i="7"/>
  <c r="H281" i="7" s="1"/>
  <c r="J280" i="7"/>
  <c r="D281" i="6" s="1"/>
  <c r="G280" i="7"/>
  <c r="H280" i="7" s="1"/>
  <c r="J279" i="7"/>
  <c r="D280" i="6" s="1"/>
  <c r="G279" i="7"/>
  <c r="H279" i="7" s="1"/>
  <c r="J278" i="7"/>
  <c r="D279" i="6" s="1"/>
  <c r="G278" i="7"/>
  <c r="H278" i="7" s="1"/>
  <c r="J277" i="7"/>
  <c r="D278" i="6" s="1"/>
  <c r="G277" i="7"/>
  <c r="H277" i="7" s="1"/>
  <c r="J276" i="7"/>
  <c r="D277" i="6" s="1"/>
  <c r="G276" i="7"/>
  <c r="H276" i="7" s="1"/>
  <c r="J275" i="7"/>
  <c r="D276" i="6" s="1"/>
  <c r="G275" i="7"/>
  <c r="H275" i="7" s="1"/>
  <c r="J274" i="7"/>
  <c r="D275" i="6" s="1"/>
  <c r="G274" i="7"/>
  <c r="H274" i="7" s="1"/>
  <c r="J273" i="7"/>
  <c r="D274" i="6" s="1"/>
  <c r="G273" i="7"/>
  <c r="H273" i="7" s="1"/>
  <c r="J272" i="7"/>
  <c r="D273" i="6" s="1"/>
  <c r="G272" i="7"/>
  <c r="H272" i="7" s="1"/>
  <c r="J271" i="7"/>
  <c r="D272" i="6" s="1"/>
  <c r="G271" i="7"/>
  <c r="H271" i="7" s="1"/>
  <c r="J270" i="7"/>
  <c r="D271" i="6" s="1"/>
  <c r="G270" i="7"/>
  <c r="H270" i="7" s="1"/>
  <c r="J269" i="7"/>
  <c r="D270" i="6" s="1"/>
  <c r="G269" i="7"/>
  <c r="H269" i="7" s="1"/>
  <c r="J268" i="7"/>
  <c r="D269" i="6" s="1"/>
  <c r="G268" i="7"/>
  <c r="H268" i="7" s="1"/>
  <c r="J267" i="7"/>
  <c r="D268" i="6" s="1"/>
  <c r="G267" i="7"/>
  <c r="H267" i="7" s="1"/>
  <c r="J266" i="7"/>
  <c r="D267" i="6" s="1"/>
  <c r="G266" i="7"/>
  <c r="H266" i="7" s="1"/>
  <c r="J265" i="7"/>
  <c r="D266" i="6" s="1"/>
  <c r="G265" i="7"/>
  <c r="H265" i="7" s="1"/>
  <c r="J264" i="7"/>
  <c r="D265" i="6" s="1"/>
  <c r="G264" i="7"/>
  <c r="H264" i="7" s="1"/>
  <c r="J263" i="7"/>
  <c r="D264" i="6" s="1"/>
  <c r="G263" i="7"/>
  <c r="H263" i="7" s="1"/>
  <c r="J262" i="7"/>
  <c r="D263" i="6" s="1"/>
  <c r="G262" i="7"/>
  <c r="H262" i="7" s="1"/>
  <c r="J261" i="7"/>
  <c r="D262" i="6" s="1"/>
  <c r="G261" i="7"/>
  <c r="H261" i="7" s="1"/>
  <c r="J260" i="7"/>
  <c r="D261" i="6" s="1"/>
  <c r="G260" i="7"/>
  <c r="H260" i="7" s="1"/>
  <c r="J259" i="7"/>
  <c r="D260" i="6" s="1"/>
  <c r="G259" i="7"/>
  <c r="H259" i="7" s="1"/>
  <c r="J258" i="7"/>
  <c r="D259" i="6" s="1"/>
  <c r="G258" i="7"/>
  <c r="H258" i="7" s="1"/>
  <c r="J257" i="7"/>
  <c r="D258" i="6" s="1"/>
  <c r="G257" i="7"/>
  <c r="H257" i="7" s="1"/>
  <c r="J256" i="7"/>
  <c r="D257" i="6" s="1"/>
  <c r="G256" i="7"/>
  <c r="H256" i="7" s="1"/>
  <c r="J255" i="7"/>
  <c r="D256" i="6" s="1"/>
  <c r="G255" i="7"/>
  <c r="H255" i="7" s="1"/>
  <c r="J254" i="7"/>
  <c r="D255" i="6" s="1"/>
  <c r="G254" i="7"/>
  <c r="H254" i="7" s="1"/>
  <c r="J253" i="7"/>
  <c r="D254" i="6" s="1"/>
  <c r="G253" i="7"/>
  <c r="H253" i="7" s="1"/>
  <c r="J252" i="7"/>
  <c r="D253" i="6" s="1"/>
  <c r="G252" i="7"/>
  <c r="H252" i="7" s="1"/>
  <c r="J251" i="7"/>
  <c r="D252" i="6" s="1"/>
  <c r="G251" i="7"/>
  <c r="H251" i="7" s="1"/>
  <c r="J250" i="7"/>
  <c r="D251" i="6" s="1"/>
  <c r="G250" i="7"/>
  <c r="H250" i="7" s="1"/>
  <c r="J249" i="7"/>
  <c r="D250" i="6" s="1"/>
  <c r="G249" i="7"/>
  <c r="H249" i="7" s="1"/>
  <c r="J248" i="7"/>
  <c r="D249" i="6" s="1"/>
  <c r="G248" i="7"/>
  <c r="H248" i="7" s="1"/>
  <c r="J247" i="7"/>
  <c r="D248" i="6" s="1"/>
  <c r="G247" i="7"/>
  <c r="H247" i="7" s="1"/>
  <c r="J246" i="7"/>
  <c r="D247" i="6" s="1"/>
  <c r="G246" i="7"/>
  <c r="H246" i="7" s="1"/>
  <c r="J245" i="7"/>
  <c r="D246" i="6" s="1"/>
  <c r="G245" i="7"/>
  <c r="H245" i="7" s="1"/>
  <c r="J244" i="7"/>
  <c r="D245" i="6" s="1"/>
  <c r="G244" i="7"/>
  <c r="H244" i="7" s="1"/>
  <c r="J243" i="7"/>
  <c r="D244" i="6" s="1"/>
  <c r="G243" i="7"/>
  <c r="H243" i="7" s="1"/>
  <c r="J242" i="7"/>
  <c r="D243" i="6" s="1"/>
  <c r="G242" i="7"/>
  <c r="H242" i="7" s="1"/>
  <c r="J241" i="7"/>
  <c r="D242" i="6" s="1"/>
  <c r="G241" i="7"/>
  <c r="H241" i="7" s="1"/>
  <c r="J240" i="7"/>
  <c r="D241" i="6" s="1"/>
  <c r="G240" i="7"/>
  <c r="H240" i="7" s="1"/>
  <c r="J239" i="7"/>
  <c r="D240" i="6" s="1"/>
  <c r="G239" i="7"/>
  <c r="H239" i="7" s="1"/>
  <c r="J238" i="7"/>
  <c r="D239" i="6" s="1"/>
  <c r="G238" i="7"/>
  <c r="H238" i="7" s="1"/>
  <c r="J237" i="7"/>
  <c r="D238" i="6" s="1"/>
  <c r="G237" i="7"/>
  <c r="H237" i="7" s="1"/>
  <c r="J236" i="7"/>
  <c r="D237" i="6" s="1"/>
  <c r="G236" i="7"/>
  <c r="H236" i="7" s="1"/>
  <c r="J235" i="7"/>
  <c r="D236" i="6" s="1"/>
  <c r="G235" i="7"/>
  <c r="H235" i="7" s="1"/>
  <c r="J234" i="7"/>
  <c r="D235" i="6" s="1"/>
  <c r="G234" i="7"/>
  <c r="H234" i="7" s="1"/>
  <c r="J233" i="7"/>
  <c r="D234" i="6" s="1"/>
  <c r="G233" i="7"/>
  <c r="H233" i="7" s="1"/>
  <c r="J232" i="7"/>
  <c r="D233" i="6" s="1"/>
  <c r="G232" i="7"/>
  <c r="H232" i="7" s="1"/>
  <c r="J231" i="7"/>
  <c r="D232" i="6" s="1"/>
  <c r="G231" i="7"/>
  <c r="H231" i="7" s="1"/>
  <c r="J230" i="7"/>
  <c r="D231" i="6" s="1"/>
  <c r="G230" i="7"/>
  <c r="H230" i="7" s="1"/>
  <c r="J229" i="7"/>
  <c r="D230" i="6" s="1"/>
  <c r="G229" i="7"/>
  <c r="H229" i="7" s="1"/>
  <c r="J228" i="7"/>
  <c r="D229" i="6" s="1"/>
  <c r="G228" i="7"/>
  <c r="H228" i="7" s="1"/>
  <c r="J227" i="7"/>
  <c r="D228" i="6" s="1"/>
  <c r="G227" i="7"/>
  <c r="H227" i="7" s="1"/>
  <c r="J226" i="7"/>
  <c r="D227" i="6" s="1"/>
  <c r="G226" i="7"/>
  <c r="H226" i="7" s="1"/>
  <c r="J225" i="7"/>
  <c r="D226" i="6" s="1"/>
  <c r="G225" i="7"/>
  <c r="H225" i="7" s="1"/>
  <c r="J224" i="7"/>
  <c r="D225" i="6" s="1"/>
  <c r="G224" i="7"/>
  <c r="H224" i="7" s="1"/>
  <c r="J223" i="7"/>
  <c r="D224" i="6" s="1"/>
  <c r="G223" i="7"/>
  <c r="H223" i="7" s="1"/>
  <c r="J222" i="7"/>
  <c r="D223" i="6" s="1"/>
  <c r="G222" i="7"/>
  <c r="H222" i="7" s="1"/>
  <c r="J221" i="7"/>
  <c r="D222" i="6" s="1"/>
  <c r="G221" i="7"/>
  <c r="H221" i="7" s="1"/>
  <c r="J220" i="7"/>
  <c r="D221" i="6" s="1"/>
  <c r="G220" i="7"/>
  <c r="H220" i="7" s="1"/>
  <c r="J219" i="7"/>
  <c r="D220" i="6" s="1"/>
  <c r="G219" i="7"/>
  <c r="H219" i="7" s="1"/>
  <c r="J218" i="7"/>
  <c r="D219" i="6" s="1"/>
  <c r="G218" i="7"/>
  <c r="H218" i="7" s="1"/>
  <c r="J217" i="7"/>
  <c r="D218" i="6" s="1"/>
  <c r="G217" i="7"/>
  <c r="H217" i="7" s="1"/>
  <c r="J216" i="7"/>
  <c r="D217" i="6" s="1"/>
  <c r="G216" i="7"/>
  <c r="H216" i="7" s="1"/>
  <c r="J215" i="7"/>
  <c r="D216" i="6" s="1"/>
  <c r="G215" i="7"/>
  <c r="H215" i="7" s="1"/>
  <c r="J214" i="7"/>
  <c r="D215" i="6" s="1"/>
  <c r="G214" i="7"/>
  <c r="H214" i="7" s="1"/>
  <c r="J213" i="7"/>
  <c r="D214" i="6" s="1"/>
  <c r="G213" i="7"/>
  <c r="H213" i="7" s="1"/>
  <c r="J212" i="7"/>
  <c r="D213" i="6" s="1"/>
  <c r="G212" i="7"/>
  <c r="H212" i="7" s="1"/>
  <c r="J211" i="7"/>
  <c r="D212" i="6" s="1"/>
  <c r="G211" i="7"/>
  <c r="H211" i="7" s="1"/>
  <c r="J210" i="7"/>
  <c r="D211" i="6" s="1"/>
  <c r="G210" i="7"/>
  <c r="H210" i="7" s="1"/>
  <c r="J209" i="7"/>
  <c r="D210" i="6" s="1"/>
  <c r="G209" i="7"/>
  <c r="H209" i="7" s="1"/>
  <c r="J208" i="7"/>
  <c r="D209" i="6" s="1"/>
  <c r="G208" i="7"/>
  <c r="H208" i="7" s="1"/>
  <c r="J207" i="7"/>
  <c r="D208" i="6" s="1"/>
  <c r="G207" i="7"/>
  <c r="H207" i="7" s="1"/>
  <c r="J206" i="7"/>
  <c r="D207" i="6" s="1"/>
  <c r="G206" i="7"/>
  <c r="H206" i="7" s="1"/>
  <c r="J205" i="7"/>
  <c r="D206" i="6" s="1"/>
  <c r="G205" i="7"/>
  <c r="H205" i="7" s="1"/>
  <c r="J204" i="7"/>
  <c r="D205" i="6" s="1"/>
  <c r="G204" i="7"/>
  <c r="H204" i="7" s="1"/>
  <c r="J203" i="7"/>
  <c r="D204" i="6" s="1"/>
  <c r="G203" i="7"/>
  <c r="H203" i="7" s="1"/>
  <c r="J202" i="7"/>
  <c r="D203" i="6" s="1"/>
  <c r="G202" i="7"/>
  <c r="H202" i="7" s="1"/>
  <c r="J201" i="7"/>
  <c r="D202" i="6" s="1"/>
  <c r="G201" i="7"/>
  <c r="H201" i="7" s="1"/>
  <c r="J200" i="7"/>
  <c r="D201" i="6" s="1"/>
  <c r="G200" i="7"/>
  <c r="H200" i="7" s="1"/>
  <c r="J199" i="7"/>
  <c r="D200" i="6" s="1"/>
  <c r="G199" i="7"/>
  <c r="H199" i="7" s="1"/>
  <c r="J198" i="7"/>
  <c r="D199" i="6" s="1"/>
  <c r="G198" i="7"/>
  <c r="H198" i="7" s="1"/>
  <c r="J197" i="7"/>
  <c r="D198" i="6" s="1"/>
  <c r="G197" i="7"/>
  <c r="H197" i="7" s="1"/>
  <c r="J196" i="7"/>
  <c r="D197" i="6" s="1"/>
  <c r="G196" i="7"/>
  <c r="H196" i="7" s="1"/>
  <c r="J195" i="7"/>
  <c r="D196" i="6" s="1"/>
  <c r="G195" i="7"/>
  <c r="H195" i="7" s="1"/>
  <c r="J194" i="7"/>
  <c r="D195" i="6" s="1"/>
  <c r="G194" i="7"/>
  <c r="H194" i="7" s="1"/>
  <c r="J193" i="7"/>
  <c r="D194" i="6" s="1"/>
  <c r="G193" i="7"/>
  <c r="H193" i="7" s="1"/>
  <c r="J192" i="7"/>
  <c r="D193" i="6" s="1"/>
  <c r="G192" i="7"/>
  <c r="H192" i="7" s="1"/>
  <c r="J191" i="7"/>
  <c r="D192" i="6" s="1"/>
  <c r="G191" i="7"/>
  <c r="H191" i="7" s="1"/>
  <c r="J190" i="7"/>
  <c r="D191" i="6" s="1"/>
  <c r="G190" i="7"/>
  <c r="H190" i="7" s="1"/>
  <c r="J189" i="7"/>
  <c r="D190" i="6" s="1"/>
  <c r="G189" i="7"/>
  <c r="H189" i="7" s="1"/>
  <c r="J188" i="7"/>
  <c r="D189" i="6" s="1"/>
  <c r="G188" i="7"/>
  <c r="H188" i="7" s="1"/>
  <c r="J187" i="7"/>
  <c r="D188" i="6" s="1"/>
  <c r="G187" i="7"/>
  <c r="H187" i="7" s="1"/>
  <c r="J186" i="7"/>
  <c r="D187" i="6" s="1"/>
  <c r="G186" i="7"/>
  <c r="H186" i="7" s="1"/>
  <c r="J185" i="7"/>
  <c r="D186" i="6" s="1"/>
  <c r="G185" i="7"/>
  <c r="H185" i="7" s="1"/>
  <c r="J184" i="7"/>
  <c r="D185" i="6" s="1"/>
  <c r="G184" i="7"/>
  <c r="H184" i="7" s="1"/>
  <c r="J183" i="7"/>
  <c r="D184" i="6" s="1"/>
  <c r="G183" i="7"/>
  <c r="H183" i="7" s="1"/>
  <c r="J182" i="7"/>
  <c r="D183" i="6" s="1"/>
  <c r="G182" i="7"/>
  <c r="H182" i="7" s="1"/>
  <c r="J181" i="7"/>
  <c r="D182" i="6" s="1"/>
  <c r="G181" i="7"/>
  <c r="H181" i="7" s="1"/>
  <c r="J180" i="7"/>
  <c r="D181" i="6" s="1"/>
  <c r="G180" i="7"/>
  <c r="H180" i="7" s="1"/>
  <c r="J179" i="7"/>
  <c r="D180" i="6" s="1"/>
  <c r="G179" i="7"/>
  <c r="H179" i="7" s="1"/>
  <c r="J178" i="7"/>
  <c r="D179" i="6" s="1"/>
  <c r="G178" i="7"/>
  <c r="H178" i="7" s="1"/>
  <c r="J177" i="7"/>
  <c r="D178" i="6" s="1"/>
  <c r="G177" i="7"/>
  <c r="H177" i="7" s="1"/>
  <c r="J176" i="7"/>
  <c r="D177" i="6" s="1"/>
  <c r="G176" i="7"/>
  <c r="H176" i="7" s="1"/>
  <c r="J175" i="7"/>
  <c r="D176" i="6" s="1"/>
  <c r="G175" i="7"/>
  <c r="H175" i="7" s="1"/>
  <c r="J174" i="7"/>
  <c r="D175" i="6" s="1"/>
  <c r="G174" i="7"/>
  <c r="H174" i="7" s="1"/>
  <c r="J173" i="7"/>
  <c r="D174" i="6" s="1"/>
  <c r="G173" i="7"/>
  <c r="H173" i="7" s="1"/>
  <c r="J172" i="7"/>
  <c r="D173" i="6" s="1"/>
  <c r="G172" i="7"/>
  <c r="H172" i="7" s="1"/>
  <c r="J171" i="7"/>
  <c r="D172" i="6" s="1"/>
  <c r="G171" i="7"/>
  <c r="H171" i="7" s="1"/>
  <c r="J170" i="7"/>
  <c r="D171" i="6" s="1"/>
  <c r="G170" i="7"/>
  <c r="H170" i="7" s="1"/>
  <c r="J169" i="7"/>
  <c r="D170" i="6" s="1"/>
  <c r="G169" i="7"/>
  <c r="H169" i="7" s="1"/>
  <c r="J168" i="7"/>
  <c r="D169" i="6" s="1"/>
  <c r="G168" i="7"/>
  <c r="H168" i="7" s="1"/>
  <c r="J167" i="7"/>
  <c r="D168" i="6" s="1"/>
  <c r="G167" i="7"/>
  <c r="H167" i="7" s="1"/>
  <c r="J166" i="7"/>
  <c r="D167" i="6" s="1"/>
  <c r="G166" i="7"/>
  <c r="H166" i="7" s="1"/>
  <c r="J165" i="7"/>
  <c r="D166" i="6" s="1"/>
  <c r="G165" i="7"/>
  <c r="H165" i="7" s="1"/>
  <c r="J164" i="7"/>
  <c r="D165" i="6" s="1"/>
  <c r="G164" i="7"/>
  <c r="H164" i="7" s="1"/>
  <c r="J163" i="7"/>
  <c r="D164" i="6" s="1"/>
  <c r="G163" i="7"/>
  <c r="H163" i="7" s="1"/>
  <c r="J162" i="7"/>
  <c r="D163" i="6" s="1"/>
  <c r="G162" i="7"/>
  <c r="H162" i="7" s="1"/>
  <c r="J161" i="7"/>
  <c r="D162" i="6" s="1"/>
  <c r="G161" i="7"/>
  <c r="H161" i="7" s="1"/>
  <c r="J160" i="7"/>
  <c r="D161" i="6" s="1"/>
  <c r="G160" i="7"/>
  <c r="H160" i="7" s="1"/>
  <c r="J159" i="7"/>
  <c r="D160" i="6" s="1"/>
  <c r="G159" i="7"/>
  <c r="H159" i="7" s="1"/>
  <c r="J158" i="7"/>
  <c r="D159" i="6" s="1"/>
  <c r="G158" i="7"/>
  <c r="H158" i="7" s="1"/>
  <c r="J157" i="7"/>
  <c r="D158" i="6" s="1"/>
  <c r="G157" i="7"/>
  <c r="H157" i="7" s="1"/>
  <c r="J156" i="7"/>
  <c r="D157" i="6" s="1"/>
  <c r="G156" i="7"/>
  <c r="H156" i="7" s="1"/>
  <c r="J155" i="7"/>
  <c r="D156" i="6" s="1"/>
  <c r="G155" i="7"/>
  <c r="H155" i="7" s="1"/>
  <c r="J154" i="7"/>
  <c r="D155" i="6" s="1"/>
  <c r="G154" i="7"/>
  <c r="H154" i="7" s="1"/>
  <c r="J153" i="7"/>
  <c r="D154" i="6" s="1"/>
  <c r="G153" i="7"/>
  <c r="H153" i="7" s="1"/>
  <c r="J152" i="7"/>
  <c r="D153" i="6" s="1"/>
  <c r="G152" i="7"/>
  <c r="H152" i="7" s="1"/>
  <c r="J151" i="7"/>
  <c r="D152" i="6" s="1"/>
  <c r="G151" i="7"/>
  <c r="H151" i="7" s="1"/>
  <c r="J150" i="7"/>
  <c r="D151" i="6" s="1"/>
  <c r="G150" i="7"/>
  <c r="H150" i="7" s="1"/>
  <c r="J149" i="7"/>
  <c r="D150" i="6" s="1"/>
  <c r="G149" i="7"/>
  <c r="H149" i="7" s="1"/>
  <c r="J148" i="7"/>
  <c r="D149" i="6" s="1"/>
  <c r="G148" i="7"/>
  <c r="H148" i="7" s="1"/>
  <c r="J147" i="7"/>
  <c r="D148" i="6" s="1"/>
  <c r="G147" i="7"/>
  <c r="H147" i="7" s="1"/>
  <c r="J146" i="7"/>
  <c r="D147" i="6" s="1"/>
  <c r="G146" i="7"/>
  <c r="H146" i="7" s="1"/>
  <c r="J145" i="7"/>
  <c r="D146" i="6" s="1"/>
  <c r="G145" i="7"/>
  <c r="H145" i="7" s="1"/>
  <c r="J144" i="7"/>
  <c r="D145" i="6" s="1"/>
  <c r="G144" i="7"/>
  <c r="H144" i="7" s="1"/>
  <c r="J143" i="7"/>
  <c r="D144" i="6" s="1"/>
  <c r="G143" i="7"/>
  <c r="H143" i="7" s="1"/>
  <c r="J142" i="7"/>
  <c r="D143" i="6" s="1"/>
  <c r="G142" i="7"/>
  <c r="H142" i="7" s="1"/>
  <c r="J141" i="7"/>
  <c r="D142" i="6" s="1"/>
  <c r="G141" i="7"/>
  <c r="H141" i="7" s="1"/>
  <c r="J140" i="7"/>
  <c r="D141" i="6" s="1"/>
  <c r="G140" i="7"/>
  <c r="H140" i="7" s="1"/>
  <c r="J139" i="7"/>
  <c r="D140" i="6" s="1"/>
  <c r="G139" i="7"/>
  <c r="H139" i="7" s="1"/>
  <c r="J138" i="7"/>
  <c r="D139" i="6" s="1"/>
  <c r="G138" i="7"/>
  <c r="H138" i="7" s="1"/>
  <c r="J137" i="7"/>
  <c r="D138" i="6" s="1"/>
  <c r="G137" i="7"/>
  <c r="H137" i="7" s="1"/>
  <c r="J136" i="7"/>
  <c r="D137" i="6" s="1"/>
  <c r="G136" i="7"/>
  <c r="H136" i="7" s="1"/>
  <c r="J135" i="7"/>
  <c r="D136" i="6" s="1"/>
  <c r="G135" i="7"/>
  <c r="H135" i="7" s="1"/>
  <c r="J134" i="7"/>
  <c r="D135" i="6" s="1"/>
  <c r="G134" i="7"/>
  <c r="H134" i="7" s="1"/>
  <c r="J133" i="7"/>
  <c r="D134" i="6" s="1"/>
  <c r="G133" i="7"/>
  <c r="H133" i="7" s="1"/>
  <c r="J132" i="7"/>
  <c r="D133" i="6" s="1"/>
  <c r="G132" i="7"/>
  <c r="H132" i="7" s="1"/>
  <c r="J131" i="7"/>
  <c r="D132" i="6" s="1"/>
  <c r="G131" i="7"/>
  <c r="H131" i="7" s="1"/>
  <c r="J130" i="7"/>
  <c r="D131" i="6" s="1"/>
  <c r="G130" i="7"/>
  <c r="H130" i="7" s="1"/>
  <c r="J129" i="7"/>
  <c r="D130" i="6" s="1"/>
  <c r="G129" i="7"/>
  <c r="H129" i="7" s="1"/>
  <c r="J128" i="7"/>
  <c r="D129" i="6" s="1"/>
  <c r="G128" i="7"/>
  <c r="H128" i="7" s="1"/>
  <c r="J127" i="7"/>
  <c r="D128" i="6" s="1"/>
  <c r="G127" i="7"/>
  <c r="H127" i="7" s="1"/>
  <c r="J126" i="7"/>
  <c r="D127" i="6" s="1"/>
  <c r="G126" i="7"/>
  <c r="H126" i="7" s="1"/>
  <c r="J125" i="7"/>
  <c r="D126" i="6" s="1"/>
  <c r="G125" i="7"/>
  <c r="H125" i="7" s="1"/>
  <c r="J124" i="7"/>
  <c r="D125" i="6" s="1"/>
  <c r="G124" i="7"/>
  <c r="H124" i="7" s="1"/>
  <c r="J123" i="7"/>
  <c r="D124" i="6" s="1"/>
  <c r="G123" i="7"/>
  <c r="H123" i="7" s="1"/>
  <c r="J122" i="7"/>
  <c r="D123" i="6" s="1"/>
  <c r="G122" i="7"/>
  <c r="H122" i="7" s="1"/>
  <c r="J121" i="7"/>
  <c r="D122" i="6" s="1"/>
  <c r="G121" i="7"/>
  <c r="H121" i="7" s="1"/>
  <c r="J120" i="7"/>
  <c r="D121" i="6" s="1"/>
  <c r="G120" i="7"/>
  <c r="H120" i="7" s="1"/>
  <c r="J119" i="7"/>
  <c r="D120" i="6" s="1"/>
  <c r="G119" i="7"/>
  <c r="H119" i="7" s="1"/>
  <c r="J118" i="7"/>
  <c r="D119" i="6" s="1"/>
  <c r="G118" i="7"/>
  <c r="H118" i="7" s="1"/>
  <c r="J117" i="7"/>
  <c r="D118" i="6" s="1"/>
  <c r="G117" i="7"/>
  <c r="H117" i="7" s="1"/>
  <c r="J116" i="7"/>
  <c r="D117" i="6" s="1"/>
  <c r="G116" i="7"/>
  <c r="H116" i="7" s="1"/>
  <c r="J115" i="7"/>
  <c r="D116" i="6" s="1"/>
  <c r="G115" i="7"/>
  <c r="H115" i="7" s="1"/>
  <c r="J114" i="7"/>
  <c r="D115" i="6" s="1"/>
  <c r="G114" i="7"/>
  <c r="H114" i="7" s="1"/>
  <c r="J113" i="7"/>
  <c r="D114" i="6" s="1"/>
  <c r="G113" i="7"/>
  <c r="H113" i="7" s="1"/>
  <c r="J112" i="7"/>
  <c r="D113" i="6" s="1"/>
  <c r="G112" i="7"/>
  <c r="H112" i="7" s="1"/>
  <c r="J111" i="7"/>
  <c r="D112" i="6" s="1"/>
  <c r="G111" i="7"/>
  <c r="H111" i="7" s="1"/>
  <c r="J110" i="7"/>
  <c r="D111" i="6" s="1"/>
  <c r="G110" i="7"/>
  <c r="H110" i="7" s="1"/>
  <c r="J109" i="7"/>
  <c r="D110" i="6" s="1"/>
  <c r="G109" i="7"/>
  <c r="H109" i="7" s="1"/>
  <c r="J108" i="7"/>
  <c r="D109" i="6" s="1"/>
  <c r="G108" i="7"/>
  <c r="H108" i="7" s="1"/>
  <c r="J107" i="7"/>
  <c r="D108" i="6" s="1"/>
  <c r="G107" i="7"/>
  <c r="H107" i="7" s="1"/>
  <c r="J106" i="7"/>
  <c r="D107" i="6" s="1"/>
  <c r="G106" i="7"/>
  <c r="H106" i="7" s="1"/>
  <c r="J105" i="7"/>
  <c r="D106" i="6" s="1"/>
  <c r="G105" i="7"/>
  <c r="H105" i="7" s="1"/>
  <c r="J104" i="7"/>
  <c r="D105" i="6" s="1"/>
  <c r="G104" i="7"/>
  <c r="H104" i="7" s="1"/>
  <c r="J103" i="7"/>
  <c r="D104" i="6" s="1"/>
  <c r="G103" i="7"/>
  <c r="H103" i="7" s="1"/>
  <c r="J102" i="7"/>
  <c r="D103" i="6" s="1"/>
  <c r="G102" i="7"/>
  <c r="H102" i="7" s="1"/>
  <c r="J101" i="7"/>
  <c r="D102" i="6" s="1"/>
  <c r="G101" i="7"/>
  <c r="H101" i="7" s="1"/>
  <c r="J100" i="7"/>
  <c r="D101" i="6" s="1"/>
  <c r="G100" i="7"/>
  <c r="H100" i="7" s="1"/>
  <c r="J99" i="7"/>
  <c r="D100" i="6" s="1"/>
  <c r="G99" i="7"/>
  <c r="H99" i="7" s="1"/>
  <c r="J98" i="7"/>
  <c r="D99" i="6" s="1"/>
  <c r="G98" i="7"/>
  <c r="H98" i="7" s="1"/>
  <c r="J97" i="7"/>
  <c r="D98" i="6" s="1"/>
  <c r="G97" i="7"/>
  <c r="H97" i="7" s="1"/>
  <c r="J96" i="7"/>
  <c r="D97" i="6" s="1"/>
  <c r="G96" i="7"/>
  <c r="H96" i="7" s="1"/>
  <c r="J95" i="7"/>
  <c r="D96" i="6" s="1"/>
  <c r="G95" i="7"/>
  <c r="H95" i="7" s="1"/>
  <c r="J94" i="7"/>
  <c r="D95" i="6" s="1"/>
  <c r="G94" i="7"/>
  <c r="H94" i="7" s="1"/>
  <c r="J93" i="7"/>
  <c r="D94" i="6" s="1"/>
  <c r="G93" i="7"/>
  <c r="H93" i="7" s="1"/>
  <c r="J92" i="7"/>
  <c r="D93" i="6" s="1"/>
  <c r="G92" i="7"/>
  <c r="H92" i="7" s="1"/>
  <c r="J91" i="7"/>
  <c r="D92" i="6" s="1"/>
  <c r="G91" i="7"/>
  <c r="H91" i="7" s="1"/>
  <c r="J90" i="7"/>
  <c r="D91" i="6" s="1"/>
  <c r="G90" i="7"/>
  <c r="H90" i="7" s="1"/>
  <c r="J89" i="7"/>
  <c r="D90" i="6" s="1"/>
  <c r="G89" i="7"/>
  <c r="H89" i="7" s="1"/>
  <c r="J88" i="7"/>
  <c r="D89" i="6" s="1"/>
  <c r="G88" i="7"/>
  <c r="H88" i="7" s="1"/>
  <c r="J87" i="7"/>
  <c r="D88" i="6" s="1"/>
  <c r="G87" i="7"/>
  <c r="H87" i="7" s="1"/>
  <c r="J86" i="7"/>
  <c r="D87" i="6" s="1"/>
  <c r="G86" i="7"/>
  <c r="H86" i="7" s="1"/>
  <c r="J85" i="7"/>
  <c r="D86" i="6" s="1"/>
  <c r="G85" i="7"/>
  <c r="H85" i="7" s="1"/>
  <c r="J84" i="7"/>
  <c r="D85" i="6" s="1"/>
  <c r="G84" i="7"/>
  <c r="H84" i="7" s="1"/>
  <c r="J83" i="7"/>
  <c r="D84" i="6" s="1"/>
  <c r="G83" i="7"/>
  <c r="H83" i="7" s="1"/>
  <c r="J82" i="7"/>
  <c r="D83" i="6" s="1"/>
  <c r="G82" i="7"/>
  <c r="H82" i="7" s="1"/>
  <c r="J81" i="7"/>
  <c r="D82" i="6" s="1"/>
  <c r="G81" i="7"/>
  <c r="H81" i="7" s="1"/>
  <c r="J80" i="7"/>
  <c r="D81" i="6" s="1"/>
  <c r="G80" i="7"/>
  <c r="H80" i="7" s="1"/>
  <c r="J79" i="7"/>
  <c r="D80" i="6" s="1"/>
  <c r="G79" i="7"/>
  <c r="H79" i="7" s="1"/>
  <c r="J78" i="7"/>
  <c r="D79" i="6" s="1"/>
  <c r="G78" i="7"/>
  <c r="H78" i="7" s="1"/>
  <c r="J77" i="7"/>
  <c r="D78" i="6" s="1"/>
  <c r="G77" i="7"/>
  <c r="H77" i="7" s="1"/>
  <c r="J76" i="7"/>
  <c r="D77" i="6" s="1"/>
  <c r="G76" i="7"/>
  <c r="H76" i="7" s="1"/>
  <c r="J75" i="7"/>
  <c r="D76" i="6" s="1"/>
  <c r="G75" i="7"/>
  <c r="H75" i="7" s="1"/>
  <c r="J74" i="7"/>
  <c r="D75" i="6" s="1"/>
  <c r="G74" i="7"/>
  <c r="H74" i="7" s="1"/>
  <c r="J73" i="7"/>
  <c r="D74" i="6" s="1"/>
  <c r="G73" i="7"/>
  <c r="H73" i="7" s="1"/>
  <c r="J72" i="7"/>
  <c r="D73" i="6" s="1"/>
  <c r="G72" i="7"/>
  <c r="H72" i="7" s="1"/>
  <c r="J71" i="7"/>
  <c r="D72" i="6" s="1"/>
  <c r="G71" i="7"/>
  <c r="H71" i="7" s="1"/>
  <c r="J70" i="7"/>
  <c r="D71" i="6" s="1"/>
  <c r="G70" i="7"/>
  <c r="H70" i="7" s="1"/>
  <c r="J69" i="7"/>
  <c r="D70" i="6" s="1"/>
  <c r="G69" i="7"/>
  <c r="H69" i="7" s="1"/>
  <c r="J68" i="7"/>
  <c r="D69" i="6" s="1"/>
  <c r="G68" i="7"/>
  <c r="H68" i="7" s="1"/>
  <c r="J67" i="7"/>
  <c r="D68" i="6" s="1"/>
  <c r="G67" i="7"/>
  <c r="H67" i="7" s="1"/>
  <c r="J66" i="7"/>
  <c r="D67" i="6" s="1"/>
  <c r="G66" i="7"/>
  <c r="H66" i="7" s="1"/>
  <c r="J65" i="7"/>
  <c r="D66" i="6" s="1"/>
  <c r="G65" i="7"/>
  <c r="H65" i="7" s="1"/>
  <c r="J64" i="7"/>
  <c r="D65" i="6" s="1"/>
  <c r="G64" i="7"/>
  <c r="H64" i="7" s="1"/>
  <c r="J63" i="7"/>
  <c r="D64" i="6" s="1"/>
  <c r="G63" i="7"/>
  <c r="H63" i="7" s="1"/>
  <c r="J62" i="7"/>
  <c r="D63" i="6" s="1"/>
  <c r="G62" i="7"/>
  <c r="H62" i="7" s="1"/>
  <c r="J61" i="7"/>
  <c r="D62" i="6" s="1"/>
  <c r="G61" i="7"/>
  <c r="H61" i="7" s="1"/>
  <c r="J60" i="7"/>
  <c r="D61" i="6" s="1"/>
  <c r="G60" i="7"/>
  <c r="H60" i="7" s="1"/>
  <c r="J59" i="7"/>
  <c r="D60" i="6" s="1"/>
  <c r="G59" i="7"/>
  <c r="H59" i="7" s="1"/>
  <c r="J58" i="7"/>
  <c r="D59" i="6" s="1"/>
  <c r="G58" i="7"/>
  <c r="H58" i="7" s="1"/>
  <c r="J57" i="7"/>
  <c r="D58" i="6" s="1"/>
  <c r="G57" i="7"/>
  <c r="H57" i="7" s="1"/>
  <c r="J56" i="7"/>
  <c r="D57" i="6" s="1"/>
  <c r="G56" i="7"/>
  <c r="H56" i="7" s="1"/>
  <c r="J55" i="7"/>
  <c r="D56" i="6" s="1"/>
  <c r="G55" i="7"/>
  <c r="H55" i="7" s="1"/>
  <c r="J54" i="7"/>
  <c r="D55" i="6" s="1"/>
  <c r="G54" i="7"/>
  <c r="H54" i="7" s="1"/>
  <c r="J53" i="7"/>
  <c r="D54" i="6" s="1"/>
  <c r="G53" i="7"/>
  <c r="H53" i="7" s="1"/>
  <c r="J52" i="7"/>
  <c r="D53" i="6" s="1"/>
  <c r="G52" i="7"/>
  <c r="H52" i="7" s="1"/>
  <c r="J51" i="7"/>
  <c r="D52" i="6" s="1"/>
  <c r="G51" i="7"/>
  <c r="H51" i="7" s="1"/>
  <c r="J50" i="7"/>
  <c r="D51" i="6" s="1"/>
  <c r="G50" i="7"/>
  <c r="H50" i="7" s="1"/>
  <c r="J49" i="7"/>
  <c r="D50" i="6" s="1"/>
  <c r="G49" i="7"/>
  <c r="H49" i="7" s="1"/>
  <c r="J48" i="7"/>
  <c r="D49" i="6" s="1"/>
  <c r="G48" i="7"/>
  <c r="H48" i="7" s="1"/>
  <c r="J47" i="7"/>
  <c r="D48" i="6" s="1"/>
  <c r="G47" i="7"/>
  <c r="H47" i="7" s="1"/>
  <c r="J46" i="7"/>
  <c r="D47" i="6" s="1"/>
  <c r="G46" i="7"/>
  <c r="H46" i="7" s="1"/>
  <c r="J45" i="7"/>
  <c r="D46" i="6" s="1"/>
  <c r="G45" i="7"/>
  <c r="H45" i="7" s="1"/>
  <c r="J44" i="7"/>
  <c r="D45" i="6" s="1"/>
  <c r="G44" i="7"/>
  <c r="H44" i="7" s="1"/>
  <c r="J43" i="7"/>
  <c r="D44" i="6" s="1"/>
  <c r="G43" i="7"/>
  <c r="H43" i="7" s="1"/>
  <c r="J42" i="7"/>
  <c r="D43" i="6" s="1"/>
  <c r="G42" i="7"/>
  <c r="H42" i="7" s="1"/>
  <c r="J41" i="7"/>
  <c r="D42" i="6" s="1"/>
  <c r="G41" i="7"/>
  <c r="H41" i="7" s="1"/>
  <c r="J40" i="7"/>
  <c r="D41" i="6" s="1"/>
  <c r="G40" i="7"/>
  <c r="H40" i="7" s="1"/>
  <c r="J39" i="7"/>
  <c r="D40" i="6" s="1"/>
  <c r="G39" i="7"/>
  <c r="H39" i="7" s="1"/>
  <c r="J38" i="7"/>
  <c r="D39" i="6" s="1"/>
  <c r="G38" i="7"/>
  <c r="H38" i="7" s="1"/>
  <c r="J37" i="7"/>
  <c r="D38" i="6" s="1"/>
  <c r="G37" i="7"/>
  <c r="H37" i="7" s="1"/>
  <c r="J36" i="7"/>
  <c r="D37" i="6" s="1"/>
  <c r="G36" i="7"/>
  <c r="H36" i="7" s="1"/>
  <c r="J35" i="7"/>
  <c r="D36" i="6" s="1"/>
  <c r="G35" i="7"/>
  <c r="H35" i="7" s="1"/>
  <c r="J34" i="7"/>
  <c r="D35" i="6" s="1"/>
  <c r="G34" i="7"/>
  <c r="H34" i="7" s="1"/>
  <c r="J33" i="7"/>
  <c r="D34" i="6" s="1"/>
  <c r="G33" i="7"/>
  <c r="H33" i="7" s="1"/>
  <c r="J32" i="7"/>
  <c r="D33" i="6" s="1"/>
  <c r="G32" i="7"/>
  <c r="H32" i="7" s="1"/>
  <c r="J31" i="7"/>
  <c r="D32" i="6" s="1"/>
  <c r="G31" i="7"/>
  <c r="H31" i="7" s="1"/>
  <c r="J30" i="7"/>
  <c r="D31" i="6" s="1"/>
  <c r="G30" i="7"/>
  <c r="H30" i="7" s="1"/>
  <c r="J29" i="7"/>
  <c r="D30" i="6" s="1"/>
  <c r="G29" i="7"/>
  <c r="H29" i="7" s="1"/>
  <c r="J28" i="7"/>
  <c r="D29" i="6" s="1"/>
  <c r="G28" i="7"/>
  <c r="H28" i="7" s="1"/>
  <c r="J27" i="7"/>
  <c r="D28" i="6" s="1"/>
  <c r="G27" i="7"/>
  <c r="H27" i="7" s="1"/>
  <c r="J26" i="7"/>
  <c r="D27" i="6" s="1"/>
  <c r="G26" i="7"/>
  <c r="H26" i="7" s="1"/>
  <c r="J25" i="7"/>
  <c r="D26" i="6" s="1"/>
  <c r="G25" i="7"/>
  <c r="H25" i="7" s="1"/>
  <c r="J24" i="7"/>
  <c r="D25" i="6" s="1"/>
  <c r="G24" i="7"/>
  <c r="H24" i="7" s="1"/>
  <c r="J23" i="7"/>
  <c r="D24" i="6" s="1"/>
  <c r="G23" i="7"/>
  <c r="H23" i="7" s="1"/>
  <c r="J22" i="7"/>
  <c r="D23" i="6" s="1"/>
  <c r="G22" i="7"/>
  <c r="H22" i="7" s="1"/>
  <c r="J21" i="7"/>
  <c r="D22" i="6" s="1"/>
  <c r="G21" i="7"/>
  <c r="H21" i="7" s="1"/>
  <c r="J20" i="7"/>
  <c r="D21" i="6" s="1"/>
  <c r="G20" i="7"/>
  <c r="H20" i="7" s="1"/>
  <c r="J19" i="7"/>
  <c r="D20" i="6" s="1"/>
  <c r="G19" i="7"/>
  <c r="H19" i="7" s="1"/>
  <c r="J18" i="7"/>
  <c r="D19" i="6" s="1"/>
  <c r="G18" i="7"/>
  <c r="H18" i="7" s="1"/>
  <c r="J17" i="7"/>
  <c r="D18" i="6" s="1"/>
  <c r="G17" i="7"/>
  <c r="H17" i="7" s="1"/>
  <c r="J16" i="7"/>
  <c r="D17" i="6" s="1"/>
  <c r="G16" i="7"/>
  <c r="H16" i="7" s="1"/>
  <c r="J15" i="7"/>
  <c r="D16" i="6" s="1"/>
  <c r="G15" i="7"/>
  <c r="H15" i="7" s="1"/>
  <c r="J14" i="7"/>
  <c r="D15" i="6" s="1"/>
  <c r="G14" i="7"/>
  <c r="H14" i="7" s="1"/>
  <c r="J13" i="7"/>
  <c r="D14" i="6" s="1"/>
  <c r="G13" i="7"/>
  <c r="H13" i="7" s="1"/>
  <c r="J12" i="7"/>
  <c r="D13" i="6" s="1"/>
  <c r="G12" i="7"/>
  <c r="H12" i="7" s="1"/>
  <c r="J11" i="7"/>
  <c r="D12" i="6" s="1"/>
  <c r="G11" i="7"/>
  <c r="H11" i="7" s="1"/>
  <c r="J10" i="7"/>
  <c r="D11" i="6" s="1"/>
  <c r="G10" i="7"/>
  <c r="H10" i="7" s="1"/>
  <c r="J9" i="7"/>
  <c r="D10" i="6" s="1"/>
  <c r="G9" i="7"/>
  <c r="H9" i="7" s="1"/>
  <c r="J8" i="7"/>
  <c r="D9" i="6" s="1"/>
  <c r="G8" i="7"/>
  <c r="H8" i="7" s="1"/>
  <c r="J7" i="7"/>
  <c r="D8" i="6" s="1"/>
  <c r="G7" i="7"/>
  <c r="H7" i="7" s="1"/>
  <c r="J6" i="7"/>
  <c r="D7" i="6" s="1"/>
  <c r="G6" i="7"/>
  <c r="H6" i="7" s="1"/>
  <c r="J5" i="7"/>
  <c r="D6" i="6" s="1"/>
  <c r="G5" i="7"/>
  <c r="H5" i="7" s="1"/>
  <c r="J4" i="7"/>
  <c r="D5" i="6" s="1"/>
  <c r="G4" i="7"/>
  <c r="H4" i="7" s="1"/>
  <c r="J3" i="7"/>
  <c r="D4" i="6" s="1"/>
  <c r="G3" i="7"/>
  <c r="H3" i="7" s="1"/>
  <c r="J2" i="7"/>
  <c r="D3" i="6" s="1"/>
  <c r="G2" i="7"/>
  <c r="H2" i="7" s="1"/>
  <c r="L1" i="4" l="1"/>
  <c r="B3" i="10" l="1"/>
  <c r="E1" i="1" s="1"/>
  <c r="H1" i="3" l="1"/>
  <c r="J1" i="4"/>
  <c r="B5" i="10" l="1"/>
  <c r="C1" i="1" l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Paz</author>
    <author>Administrator</author>
  </authors>
  <commentList>
    <comment ref="I1" authorId="0" shapeId="0" xr:uid="{44A01B34-7FAA-4AA7-B71B-AD61428D0C9F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REFERENTE A TOTAL DE CONTAS A PAGAR DE ACORDO COM O FILTRO</t>
        </r>
      </text>
    </comment>
    <comment ref="K1" authorId="0" shapeId="0" xr:uid="{85F8A2DD-47AC-4191-B9EA-DA0EC9D2485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Valor de contas quitadas até o momento</t>
        </r>
      </text>
    </comment>
    <comment ref="A65" authorId="1" shapeId="0" xr:uid="{C5220563-ABE2-4019-9096-1AAD8B8228D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$303,13 LUCAS E $67,73 LOJA</t>
        </r>
      </text>
    </comment>
    <comment ref="A85" authorId="1" shapeId="0" xr:uid="{6A6EE7C4-2411-4B13-944D-F5D6BF067A7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$303,13 LUCAS E $67,73 LOJA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Lucas Paz</author>
  </authors>
  <commentList>
    <comment ref="B4" authorId="0" shapeId="0" xr:uid="{7DE00F57-5054-48A4-B01E-C4BEA9C6040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$15,57 WURTH 27/04/23</t>
        </r>
      </text>
    </comment>
    <comment ref="B6" authorId="0" shapeId="0" xr:uid="{D059F846-F9CB-416F-A323-1376E5B3E13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$14,61 WURTH 27/04/23</t>
        </r>
      </text>
    </comment>
    <comment ref="B8" authorId="0" shapeId="0" xr:uid="{30A8D34B-74AE-4A1E-8EAA-25E72CEBA1D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$70,85 WURTH 27/04/23</t>
        </r>
      </text>
    </comment>
    <comment ref="B9" authorId="0" shapeId="0" xr:uid="{92012E17-C64C-481B-80A3-2D160570B38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$0,57 BRACELF 05/04/23</t>
        </r>
      </text>
    </comment>
    <comment ref="B14" authorId="0" shapeId="0" xr:uid="{47C39EF4-6A3D-421E-A078-27B9A7E6F38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$349,90 TECCTINTAS 10/03/23</t>
        </r>
      </text>
    </comment>
    <comment ref="B15" authorId="0" shapeId="0" xr:uid="{5213B892-7339-43CD-BA7C-25ABDC6C7C7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$103,90 TECTINTAS 02/06/23</t>
        </r>
      </text>
    </comment>
    <comment ref="B16" authorId="0" shapeId="0" xr:uid="{D1F054EB-3BD2-479A-9D17-C4BF6CD7753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$372,90 TECCTINTAS 10/03/23
$345,20 TECCTINTAS 27/04/23
$368,94 TECCTINTAS 27/04/23
</t>
        </r>
      </text>
    </comment>
    <comment ref="B17" authorId="0" shapeId="0" xr:uid="{0BC0B484-AE40-4617-83C4-21871515F5A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$111,90 TECTINTAS 02/06/23</t>
        </r>
      </text>
    </comment>
    <comment ref="B19" authorId="0" shapeId="0" xr:uid="{70F0405B-0CEB-4C26-BF8D-B7E003511CC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$12,20 LEAL 10/03/23
</t>
        </r>
      </text>
    </comment>
    <comment ref="B21" authorId="1" shapeId="0" xr:uid="{01132244-6590-4243-B97E-7186F751E51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$1,89 PLASTILIT LEAL 20/01/23
$1,29 KRONA CONASID 16/02/23</t>
        </r>
      </text>
    </comment>
    <comment ref="B22" authorId="0" shapeId="0" xr:uid="{FF2D3A35-88D6-4E09-8954-7F3012ACCB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$3,48 TEKBOND CONASID 16/02/23
$3,99 PLASTILIT LEAL 05/05/23</t>
        </r>
      </text>
    </comment>
    <comment ref="B23" authorId="1" shapeId="0" xr:uid="{DD417773-04EB-4CC9-9227-D3B40BACDCA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BUGIGANGA 29/12
$8,72 KRONA/TAMBASA 07/03/23
$7,98 DUTRA 25/04/23
$7,10 PLASTILIT 30/05/23</t>
        </r>
      </text>
    </comment>
    <comment ref="B24" authorId="0" shapeId="0" xr:uid="{AC45B736-6F64-4ABD-A8D2-D2692F2A85B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$25,71 PLASTILIT 30/05/23</t>
        </r>
      </text>
    </comment>
    <comment ref="B27" authorId="0" shapeId="0" xr:uid="{71F87B53-F0EA-4FC3-A244-39423AA6F62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$103,89 TAMBASA 11/04/23
$104,94 TAMBASA 04/05/23</t>
        </r>
      </text>
    </comment>
    <comment ref="B28" authorId="0" shapeId="0" xr:uid="{D076F24F-9387-4247-925A-05732284C5B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BUGIGANGA</t>
        </r>
      </text>
    </comment>
    <comment ref="B30" authorId="1" shapeId="0" xr:uid="{DBB14F9F-6648-47C3-AC26-2FE57918AAD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$53,90 LEAL 20/01/23
$54,90 LEAL 25/05/23
$52,90 LEAL 23/06/23</t>
        </r>
      </text>
    </comment>
    <comment ref="B31" authorId="0" shapeId="0" xr:uid="{78A1861B-1F97-4680-A591-007E5F78D2E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$39,99 LEAL 25/05/23</t>
        </r>
      </text>
    </comment>
    <comment ref="B32" authorId="0" shapeId="0" xr:uid="{EDB2E889-FFC0-427C-BF0B-2E4942C478D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$44,50 2 IRMAOS 30/01/23</t>
        </r>
      </text>
    </comment>
    <comment ref="B33" authorId="0" shapeId="0" xr:uid="{519E188C-90B9-42CA-9253-C27EA376437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$13,90 PALMEIRENSE 03/03/23</t>
        </r>
      </text>
    </comment>
    <comment ref="B35" authorId="0" shapeId="0" xr:uid="{4A8D6191-5383-44BA-BC5A-F0D1E74A4CE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$13,90 PALMEIRENSE 03/03/23</t>
        </r>
      </text>
    </comment>
    <comment ref="B36" authorId="1" shapeId="0" xr:uid="{00AD7DD5-97E6-48F0-8FD3-97AEE7D2BC6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$29,59 MARCIO 24/01/23
$22,53 DEVAIR REPRE 10/05/23
$29,50 MARCIO 15/05/23</t>
        </r>
      </text>
    </comment>
    <comment ref="B38" authorId="0" shapeId="0" xr:uid="{813AEE6E-B7EA-4993-A625-1A299F747FE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$27,49 BUGIGANGA 09/03/23</t>
        </r>
      </text>
    </comment>
    <comment ref="B41" authorId="0" shapeId="0" xr:uid="{CFC7B2EA-3D27-4D04-BA08-3A83A7E1B8F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$35,90 LEAL 23/03/23</t>
        </r>
      </text>
    </comment>
    <comment ref="B42" authorId="0" shapeId="0" xr:uid="{1FB77BEF-1614-43E4-9FAF-600A31EB53F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$154,23 FALCAO 21/03/23</t>
        </r>
      </text>
    </comment>
    <comment ref="B44" authorId="0" shapeId="0" xr:uid="{09A0B7AB-C748-41BF-8457-EE2F95957C9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$249,00 FALCAO 04/05/23</t>
        </r>
      </text>
    </comment>
    <comment ref="B46" authorId="0" shapeId="0" xr:uid="{02442F28-C657-4328-8393-686280F6E9C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$231,25 FALCAO 21/03/23
$248,90 FALCAO 21/03/23</t>
        </r>
      </text>
    </comment>
    <comment ref="B48" authorId="0" shapeId="0" xr:uid="{DD02A34D-FDEF-47B7-B3D5-C0006ED8D8F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$225,04 FALCAO 21/03/23</t>
        </r>
      </text>
    </comment>
    <comment ref="B51" authorId="0" shapeId="0" xr:uid="{32C93F9B-A3F9-403B-BA78-524B0699159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$17,80 FOX 20/03/23</t>
        </r>
      </text>
    </comment>
    <comment ref="B57" authorId="1" shapeId="0" xr:uid="{C8E7ADBA-6133-4AB3-820B-92D979ABDCB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$17,35 CONASID 23/01/23
$14,95 CONASID 15/05/23</t>
        </r>
      </text>
    </comment>
    <comment ref="B58" authorId="0" shapeId="0" xr:uid="{2F57CB0C-19D8-4F84-8CE4-CA4C167AD82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$16,64 CONASID 15/05/23</t>
        </r>
      </text>
    </comment>
    <comment ref="B59" authorId="0" shapeId="0" xr:uid="{F2CB142D-CF1C-44A0-8BC5-946791F0A12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$29,53 TAMBASA 11/04/23</t>
        </r>
      </text>
    </comment>
    <comment ref="B60" authorId="1" shapeId="0" xr:uid="{3B07CCF7-64F9-4E41-9DCB-3D548FF0644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$13,78 CONASID 23/01/23
$10,90 FELIFER 27/03/23</t>
        </r>
      </text>
    </comment>
    <comment ref="B61" authorId="1" shapeId="0" xr:uid="{5166291C-9C52-4616-8D15-7EDF1BDB964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$48,99 LEAL 20/01/23</t>
        </r>
      </text>
    </comment>
    <comment ref="B62" authorId="0" shapeId="0" xr:uid="{0571B7B7-0F93-44AB-9841-7ED8F716D3F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$14,99 FOX 07/03/23</t>
        </r>
      </text>
    </comment>
    <comment ref="B63" authorId="0" shapeId="0" xr:uid="{4FF3503D-A22D-4AD2-9F4E-30B781FAD42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$25,99 FOX 07/03/23</t>
        </r>
      </text>
    </comment>
    <comment ref="B64" authorId="1" shapeId="0" xr:uid="{8C0F3D8F-B208-43F1-829C-A92DE94B47E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$71,00 SANTA ELIZA 13/01/23</t>
        </r>
      </text>
    </comment>
    <comment ref="B65" authorId="0" shapeId="0" xr:uid="{167F675A-E0A3-4BFC-8749-22BB9F4BEAB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$66,00 PORTO LONGHINI 09/02/23</t>
        </r>
      </text>
    </comment>
    <comment ref="B67" authorId="0" shapeId="0" xr:uid="{234516BC-24BE-4BA1-9813-5BD37489CE4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$15,90 BETEL 20/04/23</t>
        </r>
      </text>
    </comment>
    <comment ref="B68" authorId="0" shapeId="0" xr:uid="{F64A6CCB-B23D-454F-9333-E3AE812C335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$18,90 BETEL 20/04/23</t>
        </r>
      </text>
    </comment>
    <comment ref="B69" authorId="1" shapeId="0" xr:uid="{E84DFC62-7143-4A4A-A22F-E5EB2FAB902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$10,83 VOCICAL 24/01/23
$9,86 VOCICAL 17/02/23
$10,83 VOCICAL 25/04/23</t>
        </r>
      </text>
    </comment>
    <comment ref="B71" authorId="1" shapeId="0" xr:uid="{0AA63156-EA1A-452B-BA05-CFBBAB00E42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$26,58 VOCICAL 12/01/23
$27,70 VOCICAL 10/07/23</t>
        </r>
      </text>
    </comment>
    <comment ref="B75" authorId="0" shapeId="0" xr:uid="{FCBBDEE2-132E-485E-9E6F-6523A5B408E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$34,44 CONSTRUJA 07/06/23</t>
        </r>
      </text>
    </comment>
    <comment ref="B79" authorId="0" shapeId="0" xr:uid="{E5C3DF7E-E5B0-452F-B51A-AF2EDD12D30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$0,07 7 PARAFUSOS 27/04/23</t>
        </r>
      </text>
    </comment>
    <comment ref="B80" authorId="0" shapeId="0" xr:uid="{B06DFC7C-4FAC-4721-ABB9-CBA38BE9B4E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$1,68 7 PARAFUSOS 27/04/23</t>
        </r>
      </text>
    </comment>
    <comment ref="B81" authorId="1" shapeId="0" xr:uid="{AE5B5D6C-A040-4D32-9E3C-12DD57A639F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$0,17 7 PARAFUSOS 25/10/23</t>
        </r>
      </text>
    </comment>
    <comment ref="B82" authorId="1" shapeId="0" xr:uid="{B27B6282-A42B-4F12-B05C-22C807BBB94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$0,09 7 PARAFUSOS 25/10/23</t>
        </r>
      </text>
    </comment>
    <comment ref="B87" authorId="0" shapeId="0" xr:uid="{DCFEC4BB-F2BF-4D2A-8A89-5065748E0E6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$72,73 ASTRA 20/05/23</t>
        </r>
      </text>
    </comment>
    <comment ref="B88" authorId="0" shapeId="0" xr:uid="{41119FF9-AAF4-4508-8121-6FD448DD186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$58,33 ASTRA 03/04/23</t>
        </r>
      </text>
    </comment>
    <comment ref="B89" authorId="0" shapeId="0" xr:uid="{8312AFD3-E9C7-49CD-ADC7-FA2BD3B6D6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$36,79 ASTRA 03/04/23</t>
        </r>
      </text>
    </comment>
    <comment ref="B92" authorId="0" shapeId="0" xr:uid="{D5085F44-EB70-4605-94A7-5613FD2866E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$88,46 ASTRA 20/05/23</t>
        </r>
      </text>
    </comment>
    <comment ref="B94" authorId="0" shapeId="0" xr:uid="{924F62FF-2131-47B4-BAC9-6DDEC77556CF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$47,58 ASTRA 24/02/23
$51,22 ASTRA 20/05/23</t>
        </r>
      </text>
    </comment>
    <comment ref="B95" authorId="0" shapeId="0" xr:uid="{38393CD7-F240-4DB6-B4D4-D1BBF5BBC1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$26,69 ASTRA 03/04/23</t>
        </r>
      </text>
    </comment>
    <comment ref="B96" authorId="0" shapeId="0" xr:uid="{5F3FC72D-7824-4E74-8724-5D74F8E92A6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$21,26 ASTRA 24/02/23</t>
        </r>
      </text>
    </comment>
    <comment ref="B100" authorId="0" shapeId="0" xr:uid="{2EB1A08B-AE42-4188-926F-3D1EA3B6CD7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$13,30 WARLEI 04/02/23
$11,08 ASTRA 13/02/23</t>
        </r>
      </text>
    </comment>
    <comment ref="B101" authorId="0" shapeId="0" xr:uid="{183DA74F-DEAF-4310-A70B-0E0AB07685A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$141,17 ASTRA 13/02/23</t>
        </r>
      </text>
    </comment>
    <comment ref="B102" authorId="0" shapeId="0" xr:uid="{630643AF-FEE6-448E-9B23-3718544BDA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$30,99 DUTRA 19/05/23</t>
        </r>
      </text>
    </comment>
    <comment ref="B103" authorId="0" shapeId="0" xr:uid="{E9C11F16-EEAC-4B7D-99F4-6A33EB8C34A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$141,17 ASTRA 13/02/23</t>
        </r>
      </text>
    </comment>
    <comment ref="B104" authorId="0" shapeId="0" xr:uid="{ABBF21D0-430E-4DCF-81C2-6771749BFF3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$166,29 ASTRA 13/02/23</t>
        </r>
      </text>
    </comment>
    <comment ref="B107" authorId="0" shapeId="0" xr:uid="{08930704-CDFE-4023-AE0B-B07C9ECFA0A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$10,54 2IRMAOS 17/05/23</t>
        </r>
      </text>
    </comment>
    <comment ref="B111" authorId="0" shapeId="0" xr:uid="{C1C84916-D18C-4B8E-947E-29945BD3B8A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$80,98 BUGIGANGA 30/03/23</t>
        </r>
      </text>
    </comment>
    <comment ref="B112" authorId="0" shapeId="0" xr:uid="{904D6A13-EE69-4D55-A350-EF1F3AF680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$10,99 LEAL 30/03/23</t>
        </r>
      </text>
    </comment>
    <comment ref="B114" authorId="0" shapeId="0" xr:uid="{87FF22EA-F132-4A9D-A9E2-53E96530001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$6,40 LEAL 10/03/23</t>
        </r>
      </text>
    </comment>
    <comment ref="B116" authorId="1" shapeId="0" xr:uid="{90EFB3BF-62BC-4B81-8669-A5612BB66D9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$3,20 LEAL 29/12</t>
        </r>
      </text>
    </comment>
    <comment ref="B117" authorId="0" shapeId="0" xr:uid="{ABACE692-45AD-43BC-AFF5-131DA25AD3D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$3,10 LEAL 05/05/23</t>
        </r>
      </text>
    </comment>
    <comment ref="B119" authorId="0" shapeId="0" xr:uid="{2122D073-A852-423B-9F03-1B27375771D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$7,90 LEAL 06/04/23
$7,99 LEAL 13/07/23</t>
        </r>
      </text>
    </comment>
    <comment ref="B121" authorId="0" shapeId="0" xr:uid="{DEC2071F-AEF9-40F4-8E7A-DD018D8E0AF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$7,30 LEAL 19/04/23
$6,99 LEAL 25/05/23</t>
        </r>
      </text>
    </comment>
    <comment ref="B124" authorId="0" shapeId="0" xr:uid="{38034956-D275-4262-AF49-E2F366D61C2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$2,50 LEAL 25/05/23</t>
        </r>
      </text>
    </comment>
    <comment ref="B125" authorId="1" shapeId="0" xr:uid="{8F7E80A6-5C84-4A6F-AD4C-BD1252A6925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$3,55 LEAL 06/01/23
$3,00 CONASID 16/02/23
$3,45 LEAL 05/05/23
$3,50 LEAL 13/07/23</t>
        </r>
      </text>
    </comment>
    <comment ref="B126" authorId="0" shapeId="0" xr:uid="{AD9D7C4B-761A-4E35-A490-F7A96D85DB3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$1,70  LEAL 26/01/23</t>
        </r>
      </text>
    </comment>
    <comment ref="B127" authorId="0" shapeId="0" xr:uid="{287D8ADA-8506-4CDC-BF83-BBF9D43817C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$4,60 LEAL 10/03/23
$4,46 LEAL 23/03/23</t>
        </r>
      </text>
    </comment>
    <comment ref="B128" authorId="1" shapeId="0" xr:uid="{605814E4-AEEA-41FB-BFB0-60EB399C073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$5,50 LEAL 06/01/23</t>
        </r>
      </text>
    </comment>
    <comment ref="B130" authorId="0" shapeId="0" xr:uid="{4B962D7D-23E4-4CC1-9983-23EB1E0F958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$1,81 LEAL 15/06/23
$1,70 LEAL 13/07/23</t>
        </r>
      </text>
    </comment>
    <comment ref="B131" authorId="0" shapeId="0" xr:uid="{551B2F2C-18C1-4761-9A56-9AAE20F710E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$10,00 LEAL 13/07/23</t>
        </r>
      </text>
    </comment>
    <comment ref="B137" authorId="0" shapeId="0" xr:uid="{44665522-74ED-4504-9AAF-6944861ED5B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$6,84 LUCONI 21/06/23</t>
        </r>
      </text>
    </comment>
    <comment ref="B143" authorId="0" shapeId="0" xr:uid="{3FDC2F86-9320-49B9-B0EC-D759FF03236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$8,80 FOX 30/06/23</t>
        </r>
      </text>
    </comment>
    <comment ref="B147" authorId="1" shapeId="0" xr:uid="{8F250303-9AC8-466C-BC75-238E838265C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$1,80 FOX 05/01/23</t>
        </r>
      </text>
    </comment>
    <comment ref="B148" authorId="0" shapeId="0" xr:uid="{39A3BAD6-910C-4924-A981-0D3F9151D2A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$18,50 MARCIO 20/06/23</t>
        </r>
      </text>
    </comment>
    <comment ref="B149" authorId="1" shapeId="0" xr:uid="{7B338F5D-CAD9-439F-A91E-526BECA16BE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$2,72 CONASID 23/01/23</t>
        </r>
      </text>
    </comment>
    <comment ref="B150" authorId="1" shapeId="0" xr:uid="{D9F68C78-3533-4A11-BFC0-3972B5F4847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$7,50 LEAL 06/01
$6,00 7PARAFUSOS 23/02/23
$5,50 7 PARAFUSOS 12/06/23</t>
        </r>
      </text>
    </comment>
    <comment ref="B151" authorId="1" shapeId="0" xr:uid="{BEF08465-D20E-4B48-A82C-488ED58A795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$4,77 CONASID 23/01/23
$4,77 MARCIO 15/05/23</t>
        </r>
      </text>
    </comment>
    <comment ref="B152" authorId="0" shapeId="0" xr:uid="{9F03B624-DCBF-4591-BBDB-6BD61E8080B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$2,70 LEAL 06/04/23</t>
        </r>
      </text>
    </comment>
    <comment ref="B153" authorId="0" shapeId="0" xr:uid="{0313027E-2518-459F-90FF-59FFF8E7AE5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$0,69 BRACELF28/02 </t>
        </r>
      </text>
    </comment>
    <comment ref="B154" authorId="0" shapeId="0" xr:uid="{21394E68-C23E-4AA7-A19F-A29414E189F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$0,69 BRACELF28/02</t>
        </r>
      </text>
    </comment>
    <comment ref="B155" authorId="0" shapeId="0" xr:uid="{1CE508B6-DF68-43B4-A29A-086A8E09A0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$0,31 BRACELF28/02</t>
        </r>
      </text>
    </comment>
    <comment ref="B156" authorId="1" shapeId="0" xr:uid="{D60F0619-2D92-49EF-9117-DB26F2FCDF9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157" authorId="1" shapeId="0" xr:uid="{AFEBE57B-B1F1-4635-9D31-E9287D72080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PALMEIRENSE 21/12</t>
        </r>
      </text>
    </comment>
    <comment ref="B158" authorId="1" shapeId="0" xr:uid="{34E26891-FA16-42AD-931A-E975FF6550F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159" authorId="1" shapeId="0" xr:uid="{69C4AD98-47C9-4C7D-9AD2-5A225145064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PALMEIRENSE 21/12</t>
        </r>
      </text>
    </comment>
    <comment ref="B162" authorId="0" shapeId="0" xr:uid="{4DA1CDC0-B893-41D9-A5C2-51CBB20A22F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$103,90 MORVILLO 05/04/23
$109,90 LEAL 05/05/23</t>
        </r>
      </text>
    </comment>
    <comment ref="B163" authorId="0" shapeId="0" xr:uid="{0D178168-85FA-478D-8D5B-A8997EA91A3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$133,99 BATALHAO 12/07/23</t>
        </r>
      </text>
    </comment>
    <comment ref="B165" authorId="0" shapeId="0" xr:uid="{049EDEE1-CFCD-4CF2-B4F6-5D8B406C4B4F}">
      <text>
        <r>
          <rPr>
            <b/>
            <sz val="9"/>
            <color indexed="81"/>
            <rFont val="Segoe UI"/>
            <charset val="1"/>
          </rPr>
          <t>Administrat
$81,81 BATALHAO 27/01/23
$77,24 BSFER 28/04/23</t>
        </r>
      </text>
    </comment>
    <comment ref="B166" authorId="0" shapeId="0" xr:uid="{62A300CE-B648-464B-8E66-4DBD4E64BE0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$694,16 BATALHAO 02/03/23</t>
        </r>
      </text>
    </comment>
    <comment ref="B167" authorId="0" shapeId="0" xr:uid="{C88FCD37-06EC-4929-95F1-D7DE7D3FBCC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$180,00 BATALHAO 02/03/23</t>
        </r>
      </text>
    </comment>
    <comment ref="B168" authorId="0" shapeId="0" xr:uid="{3020768A-27B3-4264-B1A9-1B93E7B06AD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$310,04 BATALHAO 27/01/23
$294,54 BATALHAO 12/07/23</t>
        </r>
      </text>
    </comment>
    <comment ref="B169" authorId="0" shapeId="0" xr:uid="{FDFF432C-1AAE-4FEA-9D5D-01A6A1261FB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$226,17 BATALHAO 27/01/23
$200,01 BATALHAO 12/07/23</t>
        </r>
      </text>
    </comment>
    <comment ref="B170" authorId="0" shapeId="0" xr:uid="{8883FC8B-2321-4D52-A368-B27228BC3E3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$239,90 BATALHAO 27/01/23</t>
        </r>
      </text>
    </comment>
    <comment ref="B171" authorId="0" shapeId="0" xr:uid="{10771053-CA31-4661-8B67-5711CA36743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$124,00 BATALHAO 27/01/23
$125,20 BATALHAO 02/03/23
$124,00 BATALHAO 12/07/23</t>
        </r>
      </text>
    </comment>
    <comment ref="B172" authorId="0" shapeId="0" xr:uid="{BA6BB04A-CDDB-4A86-B213-B20312CBD5C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$511,90 BATALHAO 02/03/23</t>
        </r>
      </text>
    </comment>
    <comment ref="B173" authorId="0" shapeId="0" xr:uid="{9FAB12D4-65D5-477D-80F2-0271FF6E27A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$524,60 BATALHAO 02/03/23</t>
        </r>
      </text>
    </comment>
    <comment ref="B174" authorId="0" shapeId="0" xr:uid="{8B867AFE-8C7D-456D-A963-AE4B1EF1B2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$557,61 BATALHAO 12/07/23</t>
        </r>
      </text>
    </comment>
    <comment ref="B175" authorId="0" shapeId="0" xr:uid="{D210CAD0-7948-467D-BBA9-019FF36B9B5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$223,05 BATALHAO 02/03/2023
$195,02 28/04/23</t>
        </r>
      </text>
    </comment>
    <comment ref="B177" authorId="0" shapeId="0" xr:uid="{13845BBC-DDB3-4D95-A289-B70174A5132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$491,30 BATALHAO 02/03/23</t>
        </r>
      </text>
    </comment>
    <comment ref="B178" authorId="0" shapeId="0" xr:uid="{2EFC6D46-F285-44FF-A0B1-4A3B9640CDF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$191,89 BATALHAO 02/03/23</t>
        </r>
      </text>
    </comment>
    <comment ref="B179" authorId="0" shapeId="0" xr:uid="{46F174D2-C5C8-497D-BDCC-448E6844FEF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$211,61 BATALHAO 02/03/23</t>
        </r>
      </text>
    </comment>
    <comment ref="B180" authorId="0" shapeId="0" xr:uid="{744AF345-74EF-48CB-9B29-BC6E6395A4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$32,00 LUIZ 08/03/23</t>
        </r>
      </text>
    </comment>
    <comment ref="B181" authorId="0" shapeId="0" xr:uid="{5488AC5B-31E7-4F74-98CE-FA18E1C62411}">
      <text>
        <r>
          <rPr>
            <b/>
            <sz val="9"/>
            <color indexed="81"/>
            <rFont val="Segoe UI"/>
            <charset val="1"/>
          </rPr>
          <t>Administrator:
$3,44 ARCOM 11/05/23</t>
        </r>
      </text>
    </comment>
    <comment ref="B183" authorId="1" shapeId="0" xr:uid="{FE64CAB0-B5D1-4FBB-826F-B8B18808B05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$2,50 FOX 05/01/23</t>
        </r>
      </text>
    </comment>
    <comment ref="B192" authorId="0" shapeId="0" xr:uid="{DCA72905-2BF5-46D1-B953-8353F9EC0AC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$0,60 BURITAMA 05/04/23</t>
        </r>
      </text>
    </comment>
    <comment ref="B193" authorId="0" shapeId="0" xr:uid="{9964680A-F569-4D65-A2BB-712ED105F99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$32,00 WARLEI 27/05/23
$35,90 LEAL 30/06/23</t>
        </r>
      </text>
    </comment>
    <comment ref="B199" authorId="0" shapeId="0" xr:uid="{F49D0843-1EF2-4E99-96DC-D46B5F5A0D4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$0,83 LEAL 30/06/23</t>
        </r>
      </text>
    </comment>
    <comment ref="B200" authorId="0" shapeId="0" xr:uid="{CFC66981-72BA-471E-B2C8-0C681F06AB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$0,95 LEAL 30/06/23</t>
        </r>
      </text>
    </comment>
    <comment ref="B201" authorId="0" shapeId="0" xr:uid="{956AA5B2-0907-4033-8525-829D24208E1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$1,30 LEAL 30/06/23</t>
        </r>
      </text>
    </comment>
    <comment ref="B202" authorId="0" shapeId="0" xr:uid="{7EF12B9D-1D56-4B60-855B-EF7D45141F1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$2,60 WARLEI 27/05/23</t>
        </r>
      </text>
    </comment>
    <comment ref="B204" authorId="0" shapeId="0" xr:uid="{B4CA230B-8CEB-47C8-BF07-E33BAA837D4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205" authorId="0" shapeId="0" xr:uid="{8A0B646F-6B9E-41CB-B4E0-6EEE3864A57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$80,02 FUZIL 01/02/23</t>
        </r>
      </text>
    </comment>
    <comment ref="B206" authorId="0" shapeId="0" xr:uid="{111DF77B-E364-434E-9F26-B00F3798901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$3,71 TAMBASA 18/07/23</t>
        </r>
      </text>
    </comment>
    <comment ref="B213" authorId="0" shapeId="0" xr:uid="{69CAF6EF-DACE-49A1-AFE1-8DFF5EF9964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$5,22 WURTH 27/04/23</t>
        </r>
      </text>
    </comment>
    <comment ref="B216" authorId="0" shapeId="0" xr:uid="{15559356-4753-4613-AD6A-EB7607C8C17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$2,25 WURTH 27/04/23</t>
        </r>
      </text>
    </comment>
    <comment ref="B217" authorId="0" shapeId="0" xr:uid="{7FF0BE71-C1DE-476F-9CD6-D206E1F7927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$1,31 WURTH 26/06/23</t>
        </r>
      </text>
    </comment>
    <comment ref="B219" authorId="0" shapeId="0" xr:uid="{3B016BBA-2715-4A17-8D6F-E7D853973BA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$7,20 MARCIO 27/02/23</t>
        </r>
      </text>
    </comment>
    <comment ref="B220" authorId="0" shapeId="0" xr:uid="{FB38B1E4-9F3E-4B6F-9734-22636CF31D7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$6,80 MARCIO 27/02/23</t>
        </r>
      </text>
    </comment>
    <comment ref="B221" authorId="0" shapeId="0" xr:uid="{A4894D55-2A74-4E0E-B62E-6FF3A667A06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$7,20 MARCIO 27/02/23</t>
        </r>
      </text>
    </comment>
    <comment ref="B222" authorId="0" shapeId="0" xr:uid="{D44880E5-61EC-4BBF-8841-F4010092E53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$6,80 MARCIO 27/02/23</t>
        </r>
      </text>
    </comment>
    <comment ref="B223" authorId="1" shapeId="0" xr:uid="{6EC4980E-21B1-4700-99D0-B2F87FA8A28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$6,08 IRWIN CONASID 23/01/23
$4,20 WURTH 24/05/23</t>
        </r>
      </text>
    </comment>
    <comment ref="B224" authorId="0" shapeId="0" xr:uid="{FCCFB7BF-4068-4C0C-B359-6E8D9E83DEB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$7,32 WURTH 27/04/23
</t>
        </r>
        <r>
          <rPr>
            <sz val="9"/>
            <color indexed="81"/>
            <rFont val="Segoe UI"/>
            <family val="2"/>
          </rPr>
          <t>$7,11 WURTH 26/06/23</t>
        </r>
      </text>
    </comment>
    <comment ref="B225" authorId="1" shapeId="0" xr:uid="{2C748387-74AC-49AD-AF82-4E346348A39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WURTH 22/12</t>
        </r>
      </text>
    </comment>
    <comment ref="B227" authorId="1" shapeId="0" xr:uid="{313FF76D-51CC-4E8F-9663-69BBD428C23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WURTH 22/12
$7,22 IRWIN 07/06/23</t>
        </r>
      </text>
    </comment>
    <comment ref="B228" authorId="0" shapeId="0" xr:uid="{FCC0E871-3F32-4EB3-9C7C-E08BE4AEC1B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$3,48 IRWIN 07/06/23</t>
        </r>
      </text>
    </comment>
    <comment ref="B230" authorId="0" shapeId="0" xr:uid="{FE5CB915-9428-4746-A9C2-1897D7B829B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$9,62 IRWIN 07/06/23</t>
        </r>
      </text>
    </comment>
    <comment ref="B232" authorId="0" shapeId="0" xr:uid="{25B07005-874A-41A4-A136-6B28E53B6411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$7,53 WURTH 26/06/23</t>
        </r>
      </text>
    </comment>
    <comment ref="B236" authorId="0" shapeId="0" xr:uid="{1DBCC179-E218-4C32-AEF2-7F42D1BC222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$22,50 MARCIO $17/04/23</t>
        </r>
      </text>
    </comment>
    <comment ref="B237" authorId="0" shapeId="0" xr:uid="{BF5F69BA-B5B2-4100-B962-10A7657EBF3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$5,40 WARLEI 31/03/23
$5,28 MORVILLO 05/04/23</t>
        </r>
      </text>
    </comment>
    <comment ref="B238" authorId="0" shapeId="0" xr:uid="{81ED3393-8F16-45E3-AED3-A1DBED9BE32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$0,16 7PARAFUSOS 23/02/23
$0,39 WURTH 26/06/23</t>
        </r>
      </text>
    </comment>
    <comment ref="B239" authorId="0" shapeId="0" xr:uid="{E994F1BA-C678-4159-BE6B-C88D2209363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$0,55 7PARAFUSOS 21/03/23</t>
        </r>
      </text>
    </comment>
    <comment ref="B240" authorId="1" shapeId="0" xr:uid="{3EAD910C-BC2B-48A2-9C70-585479CC4BE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$0,09 7 PARAFUSOS 25/01/23</t>
        </r>
      </text>
    </comment>
    <comment ref="B241" authorId="0" shapeId="0" xr:uid="{5414498C-2237-4033-9066-C2C29BE9EAC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$0,35 WURTH 10/02/23
$0,32 7PARAFUSOS 23/02/23
$0,36 WURTH 26/06/23</t>
        </r>
      </text>
    </comment>
    <comment ref="B243" authorId="0" shapeId="0" xr:uid="{6F96F080-AB8F-42AB-A7E6-5C891E6506A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$3,90 WARLEI 31/03/23</t>
        </r>
      </text>
    </comment>
    <comment ref="B244" authorId="0" shapeId="0" xr:uid="{BD828EFE-D54D-40AC-91DE-CE259102726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$0,10 7 PARAFUSOS 14/07/23</t>
        </r>
      </text>
    </comment>
    <comment ref="B253" authorId="0" shapeId="0" xr:uid="{5C4C520D-C08B-4513-961D-EAECAC13DB4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$9,86 TAMBASA 04/05/23</t>
        </r>
      </text>
    </comment>
    <comment ref="B256" authorId="0" shapeId="0" xr:uid="{E0C0A7C8-FDEC-4663-B506-3708E08C9E7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$5,11 2 IRMAOS 04/04/23</t>
        </r>
      </text>
    </comment>
    <comment ref="B257" authorId="0" shapeId="0" xr:uid="{60C78733-CFAE-4D6F-BD42-FB65BE59C6E1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$12,82 2 IRMAOS 30/01/23</t>
        </r>
      </text>
    </comment>
    <comment ref="B258" authorId="1" shapeId="0" xr:uid="{E4638F6D-AABD-4CA7-BA88-D8A8B3091BC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$8,82 NORTE CABOS / CONASID 23/01/23
$9,51 2 IRMAOS 17/05/23</t>
        </r>
      </text>
    </comment>
    <comment ref="B259" authorId="0" shapeId="0" xr:uid="{24222D86-508D-4908-B7DD-5E355B34A9B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$22,12 TAMBASA 28/06/23</t>
        </r>
      </text>
    </comment>
    <comment ref="B260" authorId="0" shapeId="0" xr:uid="{98BCBA8E-EF0C-43FF-9BC5-48A8EBA38ABD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$26,34 TAMBASA 28/06/23</t>
        </r>
      </text>
    </comment>
    <comment ref="B261" authorId="1" shapeId="0" xr:uid="{2781C572-A14F-4D70-9469-EF9DE9B8E12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$0,97 CONDUSUL 12/01/23
$1,03 SIL LEAL 16/02/23</t>
        </r>
      </text>
    </comment>
    <comment ref="B262" authorId="1" shapeId="0" xr:uid="{DE9C8DC5-2C05-48AB-822F-DEE56783CEA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$1,51 CONDUSUL 12/01/23
$1,57 SIL LEAL 16/02/23</t>
        </r>
      </text>
    </comment>
    <comment ref="B263" authorId="1" shapeId="0" xr:uid="{E341569C-AAF4-411B-B96D-5E2DE2E8526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$2,52 CONDUSUL 12/01/23
$2,51 CONDUSUL 12/04/23</t>
        </r>
      </text>
    </comment>
    <comment ref="B264" authorId="1" shapeId="0" xr:uid="{AB6A828A-D790-402E-8D37-3817A52B093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$3,71 CONDUSUL 12/01/23
$3,87 LEAL SIL 23/06/23</t>
        </r>
      </text>
    </comment>
    <comment ref="B265" authorId="1" shapeId="0" xr:uid="{47F96620-FB19-49ED-B76B-A6CC0DD9AE9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$6,41 CONDUSUL 12/01/23</t>
        </r>
      </text>
    </comment>
    <comment ref="B267" authorId="0" shapeId="0" xr:uid="{4BAF6D5F-90D4-40A7-BCD3-2E87C6637D3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$32,99 LEAL SIL 23/06/23</t>
        </r>
      </text>
    </comment>
    <comment ref="B270" authorId="0" shapeId="0" xr:uid="{62862AEA-42ED-47A8-BB0B-99CDD03A58F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$4,60 SIL / LEAL 09/06/23</t>
        </r>
      </text>
    </comment>
    <comment ref="B276" authorId="0" shapeId="0" xr:uid="{DE2C0C56-E576-4F6E-9A3F-E3DA92ADF8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$17,50 ARCOM 28/03/23</t>
        </r>
      </text>
    </comment>
    <comment ref="B278" authorId="0" shapeId="0" xr:uid="{BFB5F69E-D159-40FA-AE16-B4A79A287DF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$28,62 ARCOM 28/03/23</t>
        </r>
      </text>
    </comment>
    <comment ref="B280" authorId="0" shapeId="0" xr:uid="{10BB5711-53E4-486B-81F2-1C7377FEA38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$6,40 MARCIO 27/02/23</t>
        </r>
      </text>
    </comment>
    <comment ref="B281" authorId="1" shapeId="0" xr:uid="{93D0965D-977A-4943-8B10-522E3AFA656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MARCIO 21/12</t>
        </r>
      </text>
    </comment>
    <comment ref="B282" authorId="1" shapeId="0" xr:uid="{05578471-4DB1-4EE4-B4BF-8B525D66143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$12,00 MARCIO 24/01/23</t>
        </r>
      </text>
    </comment>
    <comment ref="B286" authorId="0" shapeId="0" xr:uid="{9F32A2ED-5F2A-401C-AF68-CD0F8062C83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$132,59 FORTLEV 26/01/23</t>
        </r>
      </text>
    </comment>
    <comment ref="B287" authorId="0" shapeId="0" xr:uid="{DC067C44-251F-49F8-B0C6-1A463DDB88F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$784,99 FORTLEV 26/01/23</t>
        </r>
      </text>
    </comment>
    <comment ref="B289" authorId="0" shapeId="0" xr:uid="{F9D82B8D-C12F-4172-BC4A-7C4F8630F5F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$334,12 FORTLEV 11/04/23</t>
        </r>
      </text>
    </comment>
    <comment ref="B290" authorId="0" shapeId="0" xr:uid="{A2D749EB-DB55-4FEC-8B7A-39DD9E0AB16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$285,84 FORTLEV 26/01/23
$305,82</t>
        </r>
      </text>
    </comment>
    <comment ref="B293" authorId="0" shapeId="0" xr:uid="{D4486215-F2ED-4DD9-9009-8D67ACB617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$179,23 FORTLEV 26/01/23</t>
        </r>
      </text>
    </comment>
    <comment ref="B298" authorId="0" shapeId="0" xr:uid="{1F08480E-ECA0-42CD-8865-D6FCCF06A79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$57,17 2 IRMAOS 30/01/23</t>
        </r>
      </text>
    </comment>
    <comment ref="B299" authorId="0" shapeId="0" xr:uid="{93887FA0-C6DA-4008-B442-6241E39CF3E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$54,03 2 IRMAOS 30/01/23</t>
        </r>
      </text>
    </comment>
    <comment ref="B300" authorId="0" shapeId="0" xr:uid="{18929E3F-F75A-4B0C-9B77-218E28D3A20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$105,00 CONEXTEC 09/05/23</t>
        </r>
      </text>
    </comment>
    <comment ref="B303" authorId="0" shapeId="0" xr:uid="{7C1FFD09-E53C-40DA-9B74-0629C1DA95D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$1,05 LEAL 13/07/23</t>
        </r>
      </text>
    </comment>
    <comment ref="B305" authorId="1" shapeId="0" xr:uid="{977BBFAC-A196-4683-A6E4-5EC350B531E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$0,91 LEAL 20/01/23</t>
        </r>
      </text>
    </comment>
    <comment ref="B306" authorId="0" shapeId="0" xr:uid="{D4161FCA-393E-4523-979F-CDEC5F99D92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$109,90 LEAL 10/03/23
$112,90 LEAL 30/06/23</t>
        </r>
      </text>
    </comment>
    <comment ref="B307" authorId="0" shapeId="0" xr:uid="{BA1D1E92-2AF5-44B4-A230-9834100309B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$82,99 LEAL 24/02/23
$98,24 TAMBASA 11/04/23
$86,88 CONSTRUJA 07/06/23</t>
        </r>
      </text>
    </comment>
    <comment ref="B308" authorId="0" shapeId="0" xr:uid="{9DE17C55-DA40-4DD0-8ED1-789FA6CD427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$2,80 FOX 23/05/23</t>
        </r>
      </text>
    </comment>
    <comment ref="B309" authorId="1" shapeId="0" xr:uid="{D1FDA524-0B60-4F2B-88C3-DA4B8ED22B6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$8,90 LEAL 29/12</t>
        </r>
      </text>
    </comment>
    <comment ref="B314" authorId="0" shapeId="0" xr:uid="{E28AB6A7-AFC3-49A9-97E4-4112FEC195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$11,75 2 IRMAOS 08/03/23</t>
        </r>
      </text>
    </comment>
    <comment ref="B317" authorId="0" shapeId="0" xr:uid="{A6786148-79D8-43D4-8EF6-D91A6B948E2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$15,37 2 IRMAOS 08/03/23</t>
        </r>
      </text>
    </comment>
    <comment ref="B318" authorId="0" shapeId="0" xr:uid="{6A1E2B9A-6EB5-4C4E-B9C0-10AF5E0CCA0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$15,60 VOCICAL 08/02/23
$15,72 VOTORANTIM 19/05/23</t>
        </r>
      </text>
    </comment>
    <comment ref="B319" authorId="0" shapeId="0" xr:uid="{FED8FBA2-8209-4E2D-96E3-1890D956585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$11,07 VOCICAL 07/03/23</t>
        </r>
      </text>
    </comment>
    <comment ref="B320" authorId="0" shapeId="0" xr:uid="{BF6D60B5-C178-4D1B-A7B0-5E65D7E928D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$10,12 VOCICAL 10/07/23</t>
        </r>
      </text>
    </comment>
    <comment ref="B321" authorId="0" shapeId="0" xr:uid="{B9D2B7CA-6229-4898-A1F7-CD7F499C0D6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$39,90 PALMEIRENSE 18/04/23</t>
        </r>
      </text>
    </comment>
    <comment ref="B322" authorId="0" shapeId="0" xr:uid="{EE765415-35B7-4056-A199-88614E66500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$40,43 CANAA 02/03/23</t>
        </r>
      </text>
    </comment>
    <comment ref="B324" authorId="0" shapeId="0" xr:uid="{3F280D35-EA55-4EC9-B410-9B3721230D1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$15,75 CANAA 02/03/23</t>
        </r>
      </text>
    </comment>
    <comment ref="B326" authorId="0" shapeId="0" xr:uid="{FC9F7381-7CEF-4484-BEEF-E36493C3142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$36,18 CANAA 02/03/23</t>
        </r>
      </text>
    </comment>
    <comment ref="B327" authorId="0" shapeId="0" xr:uid="{BCBF7249-82DC-4574-ACA9-89BB77069D2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$12,34 CANAA 02/03/23</t>
        </r>
      </text>
    </comment>
    <comment ref="B328" authorId="0" shapeId="0" xr:uid="{1A2B55D9-5D90-44DE-8E5A-3AD1A46BFA6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$44,69 CANAA 02/03/23</t>
        </r>
      </text>
    </comment>
    <comment ref="B330" authorId="0" shapeId="0" xr:uid="{98FE8204-C3C1-43D9-82A9-B8F8E389DD5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$2,95 LEAL 25/05/23</t>
        </r>
      </text>
    </comment>
    <comment ref="B333" authorId="0" shapeId="0" xr:uid="{0F8C85CA-30B9-4B74-BD8C-ED9F546C0D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$1,00 FOX 23/05/23</t>
        </r>
      </text>
    </comment>
    <comment ref="B334" authorId="1" shapeId="0" xr:uid="{31B74F04-01AE-4628-A2CA-B2A71A37935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$1,37 FOX 05/01</t>
        </r>
      </text>
    </comment>
    <comment ref="B335" authorId="1" shapeId="0" xr:uid="{7879763A-0CA7-48D1-9FE9-308C54DED2D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$1,85 FOX 20/03/23</t>
        </r>
      </text>
    </comment>
    <comment ref="B336" authorId="1" shapeId="0" xr:uid="{4B86F0F1-6023-4629-900C-6F9C6221AED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$2,19 FOX 05/01</t>
        </r>
      </text>
    </comment>
    <comment ref="B340" authorId="0" shapeId="0" xr:uid="{EF4E0384-C14E-41F6-A318-82C32B766E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$10,76 2 IRMAOS 04/04/23</t>
        </r>
      </text>
    </comment>
    <comment ref="B341" authorId="0" shapeId="0" xr:uid="{8A09B707-8AA8-4A07-819E-4BCF4F60471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$11,35 2 IRMAOS 04/04/23</t>
        </r>
      </text>
    </comment>
    <comment ref="B343" authorId="0" shapeId="0" xr:uid="{7FD991BE-BA78-4004-B968-63CA348697A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$6,50 FOX 07/03/23</t>
        </r>
      </text>
    </comment>
    <comment ref="B344" authorId="0" shapeId="0" xr:uid="{B6F8473E-CC39-46AB-BEF8-0C2C0899658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$4,90 FOX 07/03/23</t>
        </r>
      </text>
    </comment>
    <comment ref="B345" authorId="0" shapeId="0" xr:uid="{8719981E-EDDF-4417-8D3D-DDE0FE2CD82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$152,27 FUZIL 12/04/23</t>
        </r>
      </text>
    </comment>
    <comment ref="B346" authorId="0" shapeId="0" xr:uid="{2A5555C0-CBC3-4A63-894E-43941720CB2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$256,50 FUZIL 12/04/23
$247,26 GORDINI 2IRMAOS 17/05/23</t>
        </r>
      </text>
    </comment>
    <comment ref="B356" authorId="0" shapeId="0" xr:uid="{A5F8EA3D-7830-453C-B571-A71DD67D4EC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$8,14 CONASID 15/06/23</t>
        </r>
      </text>
    </comment>
    <comment ref="B357" authorId="0" shapeId="0" xr:uid="{42BF741D-307B-4E8B-95A8-60257157FB7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$14,31 CONASID 15/06/23</t>
        </r>
      </text>
    </comment>
    <comment ref="B358" authorId="0" shapeId="0" xr:uid="{666FBA28-31EA-47C2-911D-F14BDD8CFB4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$7,75 TAMBASA 07/03/23</t>
        </r>
      </text>
    </comment>
    <comment ref="B360" authorId="0" shapeId="0" xr:uid="{401B3655-8737-412C-BF0F-CF442FA235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$105,10 2 IRMAOS (FUZIL) 04/04/23</t>
        </r>
      </text>
    </comment>
    <comment ref="B363" authorId="0" shapeId="0" xr:uid="{563A444F-99ED-4E42-B61D-94E72A9B2BC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$45,07 2 IRMAOS 30/01/23</t>
        </r>
      </text>
    </comment>
    <comment ref="B375" authorId="0" shapeId="0" xr:uid="{FCAA9110-329C-4B67-9A4A-999AE5F3E30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$28,85 BRACELF 23/06/23
$32,48 TAMBASA 28/06/23</t>
        </r>
      </text>
    </comment>
    <comment ref="B379" authorId="0" shapeId="0" xr:uid="{7B7E5FF9-CDBE-44F3-AB30-986AF726661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$14,20 MARCIO 03/03/23</t>
        </r>
      </text>
    </comment>
    <comment ref="B381" authorId="0" shapeId="0" xr:uid="{935BFCF5-A66D-473B-B1FA-51D571D2C71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$12,80 MARCIO 27/02/23</t>
        </r>
      </text>
    </comment>
    <comment ref="B384" authorId="0" shapeId="0" xr:uid="{3BD9BD3E-5637-4F81-8244-A3C9C51D8D2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$5,80 MARCIO 27/02/23</t>
        </r>
      </text>
    </comment>
    <comment ref="B387" authorId="0" shapeId="0" xr:uid="{62D23076-F233-4520-8D72-AF54194A143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$7,05 MARCIO 20/06/23</t>
        </r>
      </text>
    </comment>
    <comment ref="B388" authorId="0" shapeId="0" xr:uid="{AC1195A7-B265-4A58-8850-700ABFFB4A7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$8,81 MARCIO 20/06/23</t>
        </r>
      </text>
    </comment>
    <comment ref="B389" authorId="0" shapeId="0" xr:uid="{36663927-14B7-4865-B512-98E8E777147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$10,57 MARCIO 20/06/23</t>
        </r>
      </text>
    </comment>
    <comment ref="B390" authorId="0" shapeId="0" xr:uid="{F5B4B658-8B56-41EB-9BC2-89F82235184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$11,75 MARCIO 20/06/23</t>
        </r>
      </text>
    </comment>
    <comment ref="B393" authorId="0" shapeId="0" xr:uid="{F55FB874-3B23-4731-9D3E-4F5A9B100C2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$5,28 MARCIO 27/02/23</t>
        </r>
      </text>
    </comment>
    <comment ref="B396" authorId="0" shapeId="0" xr:uid="{7B1F78C6-CC08-4CA8-BCF0-666F0A2E3D3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$24,92 DEVAIR REPRE 10/05/23</t>
        </r>
      </text>
    </comment>
    <comment ref="B397" authorId="0" shapeId="0" xr:uid="{CA31D4D4-665E-4B04-A2B2-B4F30566866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$41,18 MARCIO 27/06/23</t>
        </r>
      </text>
    </comment>
    <comment ref="B398" authorId="0" shapeId="0" xr:uid="{9B271A19-1C14-433C-8A11-952B1C5B38E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$52,50 MARCIO 27/06/23</t>
        </r>
      </text>
    </comment>
    <comment ref="B399" authorId="0" shapeId="0" xr:uid="{1E12D596-76B7-4362-8EB3-F36F5B4F3C9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$96,50 MARCIO 27/06/23</t>
        </r>
      </text>
    </comment>
    <comment ref="B400" authorId="1" shapeId="0" xr:uid="{DA0767A6-3D05-4F47-A3BD-56404C69792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$16,20 MARCIO 24/01/23</t>
        </r>
      </text>
    </comment>
    <comment ref="B401" authorId="0" shapeId="0" xr:uid="{79E70CC2-7547-45DB-9F90-04736B0CC1C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$17,20 MARCIO 20/06/23</t>
        </r>
      </text>
    </comment>
    <comment ref="B403" authorId="1" shapeId="0" xr:uid="{172E8688-A8A0-4303-9864-FA933779E95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$21,53 MARCIO 24/01/23</t>
        </r>
      </text>
    </comment>
    <comment ref="B404" authorId="1" shapeId="0" xr:uid="{F6DA1434-E6E8-4EA0-8CF8-EB1201720E1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$22,67 MARCIO 24/01/23</t>
        </r>
      </text>
    </comment>
    <comment ref="B410" authorId="0" shapeId="0" xr:uid="{BA8F3D1A-FB23-4B0F-A10A-DAC06B196AF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$5,57 TAMBASA 07/03/23</t>
        </r>
      </text>
    </comment>
    <comment ref="B414" authorId="1" shapeId="0" xr:uid="{887FC62E-3198-46DC-8740-8E92D3B3B2C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$8,30 MARCIO/PROFIELD 24/01/23</t>
        </r>
      </text>
    </comment>
    <comment ref="B415" authorId="0" shapeId="0" xr:uid="{CC269F94-12FD-476B-AA86-F91BE01AAA8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MARCIO 20/06/23</t>
        </r>
      </text>
    </comment>
    <comment ref="B416" authorId="0" shapeId="0" xr:uid="{31257613-BD3D-4D47-8ADA-5E1C513371DD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$6,95 MARCIO 16/03/23</t>
        </r>
      </text>
    </comment>
    <comment ref="B417" authorId="1" shapeId="0" xr:uid="{96370E92-EDEB-48CF-A6F6-0A31EAF7294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$6,80 MARCIO 24/01/23</t>
        </r>
      </text>
    </comment>
    <comment ref="B420" authorId="0" shapeId="0" xr:uid="{F23BF1C1-CF7B-49CF-9D30-23BBE6F4A45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$16,99 LEAL 06/04/23</t>
        </r>
      </text>
    </comment>
    <comment ref="B421" authorId="1" shapeId="0" xr:uid="{9CDF3D80-9C70-4B7D-8057-6388457B6F1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$13,50 LEAL 06/01/23 
$11,99 LEAL 20/01/23
$12,90 LEAL 10/03/23
$13,03 TAMBASA 11/04/23
$10,93 EUCATEX 15/06/23</t>
        </r>
      </text>
    </comment>
    <comment ref="B422" authorId="1" shapeId="0" xr:uid="{2061E6A6-2DCC-48E3-B7DF-D0BE3DAAAB7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$17,90 LEAL 20/01/23</t>
        </r>
      </text>
    </comment>
    <comment ref="B424" authorId="0" shapeId="0" xr:uid="{3649E85F-E286-4230-ADBE-FA5360B925B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$14,99 LEAL 23/02/23</t>
        </r>
      </text>
    </comment>
    <comment ref="B435" authorId="0" shapeId="0" xr:uid="{C9102482-DADF-4698-8240-FD0C6C82D6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$33,93 ARCOM 11/05/23</t>
        </r>
      </text>
    </comment>
    <comment ref="B437" authorId="0" shapeId="0" xr:uid="{B753835A-FB31-44FF-B783-8DD3B230D11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$50,90 MORVILLO 20/06/23</t>
        </r>
      </text>
    </comment>
    <comment ref="B438" authorId="0" shapeId="0" xr:uid="{978A5FB9-2EC1-479F-8132-7DCB44B221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$51,99 LEAL 15/06/23
$50,90 MORVILLO 20/06/23</t>
        </r>
      </text>
    </comment>
    <comment ref="B439" authorId="0" shapeId="0" xr:uid="{09868751-89BE-4908-8FE0-80145DF5E4E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$95,99 LEAL 28/04/23
$85,90 MORVILLO 20/06/23</t>
        </r>
      </text>
    </comment>
    <comment ref="B441" authorId="0" shapeId="0" xr:uid="{36D53D6C-43DF-4712-ABF3-DEC5C9DD72F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$26,00 BARATAO 25/04/23</t>
        </r>
      </text>
    </comment>
    <comment ref="B442" authorId="0" shapeId="0" xr:uid="{FF5D3CF2-7617-4C15-8FA0-0A968B99AF2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$32,76 VOCICAL 27/01/23
$29,00 VOCICAL 29/03/23
$28,50 VOCICAL 24/04/23</t>
        </r>
      </text>
    </comment>
    <comment ref="B443" authorId="1" shapeId="0" xr:uid="{7C7527EC-8553-432E-9B7A-D3748472460A}">
      <text>
        <r>
          <rPr>
            <b/>
            <sz val="9"/>
            <color indexed="81"/>
            <rFont val="Segoe UI"/>
            <charset val="1"/>
          </rPr>
          <t xml:space="preserve">Lucas Paz:
$18,06 VOTOR 29/12
$17,60 VOTORANTIM 29/03/23
$17,55 VOTORANTIM 19/05/23
$16,80 VOTORANTIM 12/07/23
</t>
        </r>
      </text>
    </comment>
    <comment ref="B444" authorId="1" shapeId="0" xr:uid="{D0A4300C-5F64-4BFD-B632-A999559273D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$31,75 VOTORANTIM 29/12
$31,12 VOTORANTIM 17/01
$31,70 VOTORANTIM 29/03/23
$30,98 VOTORANTIM 19/05/23
$31,60 VOCICAL 20/06/23
$30,90 VOCICAL 23/06/23</t>
        </r>
      </text>
    </comment>
    <comment ref="B445" authorId="0" shapeId="0" xr:uid="{03AB5D4A-86EE-4AAE-AF71-B880F14588D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$30,60 VOCICAL 10/07/23</t>
        </r>
      </text>
    </comment>
    <comment ref="B447" authorId="0" shapeId="0" xr:uid="{C913BD87-AEA8-4A26-A7C8-A899AE07FB4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$16,30 ODAIR REPRE 16/02/23</t>
        </r>
      </text>
    </comment>
    <comment ref="B448" authorId="0" shapeId="0" xr:uid="{2935949E-4E61-4963-AB8D-42F53D9D2D9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$9,85 ODAIR REPRE 16/02/23</t>
        </r>
      </text>
    </comment>
    <comment ref="B451" authorId="0" shapeId="0" xr:uid="{F2270521-BCD8-47E9-BB45-995CFE9A6C8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$9,43 MORVILLO 14/03/23</t>
        </r>
      </text>
    </comment>
    <comment ref="B454" authorId="0" shapeId="0" xr:uid="{22B4EB87-E0CE-46C0-8949-87BDB50F5C4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$4,17 DEVAIR REPRE 10/05/23</t>
        </r>
      </text>
    </comment>
    <comment ref="B455" authorId="0" shapeId="0" xr:uid="{476659BD-5DE5-4C9C-BB52-000484C615C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18/03/23 VIA FACIL 18/03/23</t>
        </r>
      </text>
    </comment>
    <comment ref="B459" authorId="0" shapeId="0" xr:uid="{ACE1F02F-1540-4D11-AA35-347ABE7B8AA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$14,13 CONSTRUJA 07/06/23</t>
        </r>
      </text>
    </comment>
    <comment ref="B460" authorId="0" shapeId="0" xr:uid="{5E829EDF-E248-4D77-A6FE-431EC85766E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$66,83 CONASID 24/05/23</t>
        </r>
      </text>
    </comment>
    <comment ref="B461" authorId="0" shapeId="0" xr:uid="{9EC11479-16CC-47BE-89AF-817A355A0FC5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$77,99 FELIFER 26/06/23
$67,86 GERDAU 10/07/23</t>
        </r>
      </text>
    </comment>
    <comment ref="B462" authorId="1" shapeId="0" xr:uid="{46A2EDB7-3640-4C1B-9AD9-42A17176663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$83,40 NOROAÇO 11/01
$67,70 GERDAU 18/05/23</t>
        </r>
      </text>
    </comment>
    <comment ref="B464" authorId="1" shapeId="0" xr:uid="{8538AA72-4CA3-4AAE-8910-C1160076088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$1,48 BRACELF 20/01/23
$1,28 BRACELF 08/05/23</t>
        </r>
      </text>
    </comment>
    <comment ref="B465" authorId="1" shapeId="0" xr:uid="{2350E95B-DC78-45AE-A5EE-22A7B4867FF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$1,85 BRACELF 20/01/23</t>
        </r>
      </text>
    </comment>
    <comment ref="B466" authorId="0" shapeId="0" xr:uid="{DCEF4BFF-5D49-4806-B830-37A84AC46B2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LEAL 30/06/23</t>
        </r>
      </text>
    </comment>
    <comment ref="B467" authorId="0" shapeId="0" xr:uid="{283223EF-FEDA-4C5F-8A4E-F6FD332AE7F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$12,99 LEAL 30/06/23</t>
        </r>
      </text>
    </comment>
    <comment ref="B472" authorId="0" shapeId="0" xr:uid="{B831EE63-6C1C-44D4-B384-D8A6388FCF0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$1,40 LEAL 30/03/23</t>
        </r>
      </text>
    </comment>
    <comment ref="B474" authorId="0" shapeId="0" xr:uid="{9E70F6C0-1389-4415-9C4D-5E58287508B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$2,90 LEAL 30/03/23</t>
        </r>
      </text>
    </comment>
    <comment ref="B478" authorId="0" shapeId="0" xr:uid="{6A4D586C-CF06-4042-B8E2-C6B68D0B41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$3,67 LEAL 16/02/23</t>
        </r>
      </text>
    </comment>
    <comment ref="B480" authorId="0" shapeId="0" xr:uid="{DB6F5663-8B97-4E8C-9BA0-ADC76E23831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$0,65 LEAL 10/03/23</t>
        </r>
      </text>
    </comment>
    <comment ref="B492" authorId="0" shapeId="0" xr:uid="{F8CC67B9-567A-47EE-B7A9-0ED2808B5A6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$2,50 LEAL 25/05/23</t>
        </r>
      </text>
    </comment>
    <comment ref="B494" authorId="0" shapeId="0" xr:uid="{85DED238-51C4-4990-B181-198E9CFB3FE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$1,00 LEAL 25/05/23</t>
        </r>
      </text>
    </comment>
    <comment ref="B495" authorId="0" shapeId="0" xr:uid="{ACE9A3B1-DFC5-4B26-9022-5A918A62BA6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$0,38 LEAL 10/03/23
$0,36 PLASTILIT 30/05/23</t>
        </r>
      </text>
    </comment>
    <comment ref="B511" authorId="0" shapeId="0" xr:uid="{D05B936F-735B-4CFD-91BD-6208D14387C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$4,99 LEAL 25/05/23</t>
        </r>
      </text>
    </comment>
    <comment ref="B512" authorId="0" shapeId="0" xr:uid="{0687CC5A-2193-40E0-8762-961D8C2E07A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$23,18 PLASTILIT 19/04/23</t>
        </r>
      </text>
    </comment>
    <comment ref="B513" authorId="0" shapeId="0" xr:uid="{2F870EBF-BF51-4C83-96BD-AB4D8776EC6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$0,80 LEAL 24/02/23</t>
        </r>
      </text>
    </comment>
    <comment ref="B515" authorId="0" shapeId="0" xr:uid="{6FB577BB-CD61-4DAB-866E-02EBC294BF6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$4,36 LEAL 19/04/23</t>
        </r>
      </text>
    </comment>
    <comment ref="B519" authorId="0" shapeId="0" xr:uid="{CFD33134-F54E-4962-A298-B924EBF87F7D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$6,50  LEAL 26/01/23</t>
        </r>
      </text>
    </comment>
    <comment ref="B520" authorId="0" shapeId="0" xr:uid="{58E60A10-0251-41A6-B0E6-0822F400EE8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$4,36 PLASTILIT 30/05/23</t>
        </r>
      </text>
    </comment>
    <comment ref="B521" authorId="0" shapeId="0" xr:uid="{864B65AF-C531-47B5-AED7-0DBF06FACFA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$12,80 LEAL 25/05/23</t>
        </r>
      </text>
    </comment>
    <comment ref="B523" authorId="0" shapeId="0" xr:uid="{9B14D1D2-DEC7-4507-B1DD-AEEBD9ABCE9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$31,98 BUGIGANGA 09/03/23</t>
        </r>
      </text>
    </comment>
    <comment ref="B528" authorId="1" shapeId="0" xr:uid="{BE892925-ADEF-4F56-8D20-15B6BC320AE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$12,70 MARCIO 24/01/23</t>
        </r>
      </text>
    </comment>
    <comment ref="B529" authorId="1" shapeId="0" xr:uid="{214828F0-5DE9-40C2-ABA2-F4CAFFC7705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$15,80 MARCIO 24/01/23</t>
        </r>
      </text>
    </comment>
    <comment ref="B530" authorId="0" shapeId="0" xr:uid="{BE30F057-8F2B-487A-8486-2285E6B5053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$6,63 FALCAO 22/03/23
$6,99 LEAL 23/03/23
$7,55 FORTLEV 03/04/23</t>
        </r>
      </text>
    </comment>
    <comment ref="B531" authorId="1" shapeId="0" xr:uid="{22B596C5-5CE6-43B5-85E9-85BE2F94400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$18,37 LEAL 06/01/23
$9,82 PLASTILIT 30/05/23</t>
        </r>
      </text>
    </comment>
    <comment ref="B533" authorId="0" shapeId="0" xr:uid="{24238087-591F-4611-A10A-C83D02712B0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$15,36 FORTLEV 03/04/23</t>
        </r>
      </text>
    </comment>
    <comment ref="B536" authorId="0" shapeId="0" xr:uid="{F8FD838C-D25D-41CC-9D17-53697D058FB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$3,49 LEAL 19/04/23</t>
        </r>
      </text>
    </comment>
    <comment ref="B537" authorId="0" shapeId="0" xr:uid="{E4E785D3-821E-4548-8070-9C74205DB70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$3,78 LEAL 16/06/23</t>
        </r>
      </text>
    </comment>
    <comment ref="B539" authorId="0" shapeId="0" xr:uid="{99C50C6D-DA35-4228-AFD2-22AB589032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$5,99 LEAL 30/03/23</t>
        </r>
      </text>
    </comment>
    <comment ref="B540" authorId="1" shapeId="0" xr:uid="{515E2934-364A-403B-84F5-45DECDFEFBB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$3,10 LEAL 13/01/23</t>
        </r>
      </text>
    </comment>
    <comment ref="B543" authorId="1" shapeId="0" xr:uid="{16ABE530-FE9D-484D-93DD-EFFAD6D092B0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$4,17 FALCAO 18/01/23</t>
        </r>
      </text>
    </comment>
    <comment ref="B544" authorId="1" shapeId="0" xr:uid="{D23C5737-D560-44D4-A739-60C33A5406AB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$15,50 PIETROBON 05/04/23</t>
        </r>
      </text>
    </comment>
    <comment ref="B545" authorId="0" shapeId="0" xr:uid="{0BAD45B5-B16D-48E6-AA9F-6793511833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$0,80 LEAL 30/03/23</t>
        </r>
      </text>
    </comment>
    <comment ref="B546" authorId="1" shapeId="0" xr:uid="{E47C6998-8CC9-46DF-9C91-9B66950FA3B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$1,95 LEAL 29/12
$1,70 LEAL 23/03/23
$1,61 LEAL 15/06/23</t>
        </r>
      </text>
    </comment>
    <comment ref="B547" authorId="1" shapeId="0" xr:uid="{39F78F30-3FA8-4BC1-8FD5-19D94D03BB0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$4,17 LEAL 13/01/23
$3,75 LEAL 23/03/23</t>
        </r>
      </text>
    </comment>
    <comment ref="B553" authorId="1" shapeId="0" xr:uid="{033543FD-FAD8-43B0-AF58-37B2952B789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MORVILLO 22/12
$0,45 LEAL 26/01/23
$0,40 LEAL 23/03/23
$0,29 PLASTILIT 30/05/23</t>
        </r>
      </text>
    </comment>
    <comment ref="B555" authorId="0" shapeId="0" xr:uid="{303A50F8-E47B-4D32-9033-CD9CA7F50E2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$1,65 LEAL 30/06/23</t>
        </r>
      </text>
    </comment>
    <comment ref="B557" authorId="1" shapeId="0" xr:uid="{BD7308C3-D177-4C8B-B333-CBB2ACD6647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$3,15 LEAL 23/03/23</t>
        </r>
      </text>
    </comment>
    <comment ref="B567" authorId="0" shapeId="0" xr:uid="{65C2EF74-6389-4133-8300-D1F45E51365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$9,60 WARLEI 29/05/23</t>
        </r>
      </text>
    </comment>
    <comment ref="B568" authorId="0" shapeId="0" xr:uid="{3672AE8E-860E-4BF7-A0DB-6B3EDAE0032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$8,30 WARLEI 29/05/23</t>
        </r>
      </text>
    </comment>
    <comment ref="B569" authorId="0" shapeId="0" xr:uid="{998CB6EA-18A0-454F-A8C0-2806D222F5C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$29,15 WARLEI 29/05/23</t>
        </r>
      </text>
    </comment>
    <comment ref="B570" authorId="0" shapeId="0" xr:uid="{A938C679-DC54-45FF-B0A6-4D15E1897A3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$0,92 LEAL 15/06/23</t>
        </r>
      </text>
    </comment>
    <comment ref="B573" authorId="0" shapeId="0" xr:uid="{EAB5747E-B7A5-45D3-8748-2379B95E301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$3,67 conasid 15/05/23
$2,74 PLASTILIT 30/05/23</t>
        </r>
      </text>
    </comment>
    <comment ref="B574" authorId="1" shapeId="0" xr:uid="{7F8D72E1-D75B-4D22-88AE-98B06B1B348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$16,90 MARCIO 24/01/23</t>
        </r>
      </text>
    </comment>
    <comment ref="B575" authorId="0" shapeId="0" xr:uid="{CC17A225-C3D7-40D4-9AA6-9DF6C20DD6E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$1520 MARCIO 15/05/23</t>
        </r>
      </text>
    </comment>
    <comment ref="B578" authorId="0" shapeId="0" xr:uid="{BACFD134-411E-403D-AB20-CF09EE819AA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$6,09 MORVILLO 05/04/23</t>
        </r>
      </text>
    </comment>
    <comment ref="B579" authorId="1" shapeId="0" xr:uid="{CBBE1186-C2A9-4800-9182-D533FA8A4F3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$0,55 LEAL 06/01/23
$0,60 LEAL 30/03/23
$0,48 LEAL 25/05/23</t>
        </r>
      </text>
    </comment>
    <comment ref="B580" authorId="0" shapeId="0" xr:uid="{895E78E7-0854-4AE1-80C2-FEB4313B831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$1,50 LEAL 25/05/23</t>
        </r>
      </text>
    </comment>
    <comment ref="B582" authorId="1" shapeId="0" xr:uid="{D8B57A23-26F5-4DC4-8C89-991F8BFA13E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$2,90 LEAL 30/03/23
$3,46 CONASID 09/05/23
$2,15 PLASTILIT 30/05/23</t>
        </r>
      </text>
    </comment>
    <comment ref="B585" authorId="0" shapeId="0" xr:uid="{24ABAECF-AC01-4884-9854-887A8478C9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$2,77 PIETROBON 05/04/23</t>
        </r>
      </text>
    </comment>
    <comment ref="B586" authorId="0" shapeId="0" xr:uid="{6124FD71-F1D0-49A5-9CFD-9EDB12A2545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$0,53 PIETROBON 08/02/23
$0,70 PIETROBON 12/07/23</t>
        </r>
      </text>
    </comment>
    <comment ref="B587" authorId="0" shapeId="0" xr:uid="{24C99C42-785D-4DF4-BF85-A61E78EECE6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$2,95 PIETROBON 08/02/23
$2,77 PIETROBON 05/04/23</t>
        </r>
      </text>
    </comment>
    <comment ref="B588" authorId="0" shapeId="0" xr:uid="{BBC45D5E-B778-4F1D-B6EA-F77374902D0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$0,70 PIETROBON 12/07/23</t>
        </r>
      </text>
    </comment>
    <comment ref="B589" authorId="0" shapeId="0" xr:uid="{8591AE36-29E4-41DA-BAF1-A8FA26B5457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$10,13 PETROBON 15/05/23</t>
        </r>
      </text>
    </comment>
    <comment ref="B590" authorId="0" shapeId="0" xr:uid="{FE1356D5-6C78-4FD7-B493-9B6A4F22F19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$0,96 PETROBON 15/05/23</t>
        </r>
      </text>
    </comment>
    <comment ref="B591" authorId="0" shapeId="0" xr:uid="{4DC500A1-80AE-45BF-95BA-92FD9A026AD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$2,09 PIETROBON 12/07/23</t>
        </r>
      </text>
    </comment>
    <comment ref="B592" authorId="0" shapeId="0" xr:uid="{4ACFB269-4D11-4EB1-80D4-2C721A49FCA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$1,70 PIETROBON 05/04/23
$1,73 MORVILLO 05/04/23</t>
        </r>
      </text>
    </comment>
    <comment ref="B593" authorId="0" shapeId="0" xr:uid="{EA4C351B-70F7-4C3E-9128-9E315DA5ECB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$0,78 PIETROBON 12/07/23</t>
        </r>
      </text>
    </comment>
    <comment ref="B595" authorId="0" shapeId="0" xr:uid="{18EFB5A3-71FD-44DA-B2BC-067A429B0C4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$1,57 PIETROBON 08/02/23</t>
        </r>
      </text>
    </comment>
    <comment ref="B599" authorId="0" shapeId="0" xr:uid="{DA0B3596-82E9-4521-9863-C8ADB78406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$1,06 PIETROBON 05/04/23
$1,00 MORVILLO 05/04/23 </t>
        </r>
      </text>
    </comment>
    <comment ref="B600" authorId="0" shapeId="0" xr:uid="{DDF1AF0E-D74A-4974-8C30-DF3EE887647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$0,50 WARLEI 29/05/23</t>
        </r>
      </text>
    </comment>
    <comment ref="B602" authorId="0" shapeId="0" xr:uid="{B57411F7-2542-411B-93C4-6CC92D27F9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$2,60 PIETROBON 12/07/23</t>
        </r>
      </text>
    </comment>
    <comment ref="B606" authorId="0" shapeId="0" xr:uid="{EB356AA6-E39C-422C-89B9-AACD5F8EBC7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$11,23 MARCIO 05/05/23</t>
        </r>
      </text>
    </comment>
    <comment ref="B610" authorId="1" shapeId="0" xr:uid="{E12005A5-866B-48C2-9291-654F094C589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$8,05 MORVILLO 22/12
$9,90 LEAL 29/12
$6,70 LEAL 25/05/23</t>
        </r>
      </text>
    </comment>
    <comment ref="B611" authorId="0" shapeId="0" xr:uid="{3F15D8DD-1003-4EE0-9FE5-BE7C5053C42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$2,99 LEAL 25/05/23</t>
        </r>
      </text>
    </comment>
    <comment ref="B612" authorId="0" shapeId="0" xr:uid="{D1F9A4D6-7CBB-4A37-B79F-FC99DEC163E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$6,17 DUTRA 19/05/23 </t>
        </r>
      </text>
    </comment>
    <comment ref="B615" authorId="0" shapeId="0" xr:uid="{DAC02E89-7B9E-42CB-AE5D-D75FD6EDF1B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$8,83 BUIGANGA 16/05/23</t>
        </r>
      </text>
    </comment>
    <comment ref="B618" authorId="0" shapeId="0" xr:uid="{B9AD72CD-3A5A-4543-813F-5C3AD55B44FF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$5,40 LEAL 24/02/23</t>
        </r>
      </text>
    </comment>
    <comment ref="B619" authorId="0" shapeId="0" xr:uid="{1914AC06-52C1-4C6A-BA26-DE81EBD9D83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$5,99 LEAL 24/02/23</t>
        </r>
      </text>
    </comment>
    <comment ref="B622" authorId="0" shapeId="0" xr:uid="{149B1C73-CC66-49BF-B7A6-CFE0D8D5F55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$1,90 LEAL 30/06/23</t>
        </r>
      </text>
    </comment>
    <comment ref="B623" authorId="1" shapeId="0" xr:uid="{48386580-305F-4AF1-9CCE-2508CFB1C9D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$4,99 LEAL 29/12</t>
        </r>
      </text>
    </comment>
    <comment ref="B624" authorId="0" shapeId="0" xr:uid="{F8C8D7FE-91CB-4471-92D2-C71EA65398B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$8,99 LEAL 25/05/23</t>
        </r>
      </text>
    </comment>
    <comment ref="B626" authorId="1" shapeId="0" xr:uid="{7B82A12B-D8EC-4662-9A29-DCD733686C33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LEAL $0,46 10/03/23
$0,69 LEAL 25/05/23
$0,54 PLASTILIT 30/05/23</t>
        </r>
      </text>
    </comment>
    <comment ref="B631" authorId="0" shapeId="0" xr:uid="{1D46DEED-EA89-4B35-A0B1-F43F7E9C582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$6,20 LEAL 30/06/23</t>
        </r>
      </text>
    </comment>
    <comment ref="B639" authorId="0" shapeId="0" xr:uid="{EFCE313F-E5E1-43F7-8C31-C45CB2F1D6C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$47,11 BRACELF 23/06/23</t>
        </r>
      </text>
    </comment>
    <comment ref="B640" authorId="0" shapeId="0" xr:uid="{DC305983-1336-4428-925B-EF7CD7F2BF3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$47,11 BRACELF 23/06/23</t>
        </r>
      </text>
    </comment>
    <comment ref="B645" authorId="1" shapeId="0" xr:uid="{8E6834A7-FDBC-4CE1-B99A-C7327F8A695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$19,90 FOX 05/01/23
$21,50 FOX 07/03/23
$19,90 FOX 20/03/23</t>
        </r>
      </text>
    </comment>
    <comment ref="B646" authorId="0" shapeId="0" xr:uid="{72D59072-718A-4189-8E61-EE3B41D4B8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$12,99 FOX 07/03/23</t>
        </r>
      </text>
    </comment>
    <comment ref="B649" authorId="0" shapeId="0" xr:uid="{05680EA7-0468-4175-B984-257837B2143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$2,76 LEAL 16/02/23</t>
        </r>
      </text>
    </comment>
    <comment ref="B650" authorId="0" shapeId="0" xr:uid="{EB774F3B-E82A-401F-91EE-55CB5D899D3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$0,37 TAMBASA 11/04/23</t>
        </r>
      </text>
    </comment>
    <comment ref="B657" authorId="0" shapeId="0" xr:uid="{1BAF2A00-75E7-4BC8-BE19-70B78E924A8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CONSTRUJA 07/06/23</t>
        </r>
      </text>
    </comment>
    <comment ref="B658" authorId="0" shapeId="0" xr:uid="{634A3BAA-24CD-4E71-802F-7F9BE5A5554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$19,56 CONSTRUJA 07/06/23</t>
        </r>
      </text>
    </comment>
    <comment ref="B660" authorId="0" shapeId="0" xr:uid="{473F9F32-9472-48EB-838D-C0F15112B5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$1,03 BRACELF 03/03/23</t>
        </r>
      </text>
    </comment>
    <comment ref="B661" authorId="0" shapeId="0" xr:uid="{3E2DBD40-1D92-4958-B106-B511F8E4C38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$52,22 07/02/23</t>
        </r>
      </text>
    </comment>
    <comment ref="B662" authorId="0" shapeId="0" xr:uid="{28747CA8-267B-48F3-8DC8-700628FF809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$34,30 07/02/23</t>
        </r>
      </text>
    </comment>
    <comment ref="B663" authorId="0" shapeId="0" xr:uid="{30DD9287-ED4F-4A93-A1DB-8435CEF0185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$45,72 07/02/23</t>
        </r>
      </text>
    </comment>
    <comment ref="B664" authorId="0" shapeId="0" xr:uid="{E6C2BAFF-135D-40F0-84B9-7706A3EFE56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$67,51 07/02/23</t>
        </r>
      </text>
    </comment>
    <comment ref="B665" authorId="0" shapeId="0" xr:uid="{3E655694-AE95-43D8-820C-F6DCB885FB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$14,83 07/02/23</t>
        </r>
      </text>
    </comment>
    <comment ref="B666" authorId="0" shapeId="0" xr:uid="{D43E40F5-C196-428B-AF5A-11CE212B15C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$18,90 07/02/23</t>
        </r>
      </text>
    </comment>
    <comment ref="B667" authorId="0" shapeId="0" xr:uid="{AB0C81CA-B8D4-4A10-9CDB-3B6339F4429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CRONOS $25,25 07/02/23</t>
        </r>
      </text>
    </comment>
    <comment ref="B668" authorId="0" shapeId="0" xr:uid="{8EBED244-DBEF-4B6F-AA90-9A330ECD33E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$47,90 MORVILLO 05/04/23</t>
        </r>
      </text>
    </comment>
    <comment ref="B669" authorId="0" shapeId="0" xr:uid="{8CC47B6D-6C9F-443F-A0E8-1384C8D77B5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$59,90 MORVILLO 05/04/23</t>
        </r>
      </text>
    </comment>
    <comment ref="B670" authorId="0" shapeId="0" xr:uid="{9AA3D4DE-D406-4907-B401-D0E58ECED69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$21,50 FOX 12/04/23</t>
        </r>
      </text>
    </comment>
    <comment ref="B677" authorId="0" shapeId="0" xr:uid="{32A7D505-7589-446E-BB6E-EF4CD360044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$16,50 DANIEL 09/02/23</t>
        </r>
      </text>
    </comment>
    <comment ref="B680" authorId="0" shapeId="0" xr:uid="{25B62496-2AAA-4C1D-AC15-90335597509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$10,00 WARLEI 27/05/23</t>
        </r>
      </text>
    </comment>
    <comment ref="B681" authorId="0" shapeId="0" xr:uid="{0C52E5DF-314C-40D7-90BE-D2954F9710F8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$38,00 DANIEL 28/06/23</t>
        </r>
      </text>
    </comment>
    <comment ref="B682" authorId="0" shapeId="0" xr:uid="{A4F4AE73-2C93-4996-9A26-C2D58DACE176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$44,00 DANIEL 28/06/23</t>
        </r>
      </text>
    </comment>
    <comment ref="B684" authorId="0" shapeId="0" xr:uid="{EE140028-16FA-4AF3-850D-350729D00C7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$12,00 DANIEL 16/05/23</t>
        </r>
      </text>
    </comment>
    <comment ref="B685" authorId="0" shapeId="0" xr:uid="{2AF2B8A3-25F1-4189-8992-07A464B27FC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$35,00 DANIEL 09/02/23
$37,00 DANIEL 16/05/23</t>
        </r>
      </text>
    </comment>
    <comment ref="B686" authorId="0" shapeId="0" xr:uid="{CED1999C-6D62-49BB-826F-C39D2AB958B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$50,00 DANIEL 08/03/23</t>
        </r>
      </text>
    </comment>
    <comment ref="B688" authorId="0" shapeId="0" xr:uid="{C6D0B0C7-1297-4CC5-B105-7A61A42AA9E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$95,00 DANIEL 13/04/23</t>
        </r>
      </text>
    </comment>
    <comment ref="B690" authorId="0" shapeId="0" xr:uid="{B80BBF8A-99F5-4DAA-9C95-352F13D18E1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$24,00 DANIEL 13/04/23</t>
        </r>
      </text>
    </comment>
    <comment ref="B697" authorId="0" shapeId="0" xr:uid="{5D1E227A-0FBC-46F7-8C6E-8A017A62609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$75,00 DANIEL 16/04/23</t>
        </r>
      </text>
    </comment>
    <comment ref="B698" authorId="0" shapeId="0" xr:uid="{C7A5EB3E-ECE6-4404-88CD-DAE69C09421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$85,00 DANIEL 13/04/23</t>
        </r>
      </text>
    </comment>
    <comment ref="B699" authorId="0" shapeId="0" xr:uid="{C9105544-0CED-44EA-96FA-B60F6670306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$54,00 DANIEL 13/04/23</t>
        </r>
      </text>
    </comment>
    <comment ref="B700" authorId="0" shapeId="0" xr:uid="{F8CD7B7D-4CAF-4453-8BEF-008255C9B01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$15,00 DANIEL 09/02/23</t>
        </r>
      </text>
    </comment>
    <comment ref="B701" authorId="0" shapeId="0" xr:uid="{E66F3506-43B2-4300-BAB8-C5BD11AB3EB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$11,50 DANIEL 09/02/23</t>
        </r>
      </text>
    </comment>
    <comment ref="B702" authorId="0" shapeId="0" xr:uid="{8F8DCAF8-91AC-4673-943C-315F8705263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$16,00 DANIEL 09/02/23</t>
        </r>
      </text>
    </comment>
    <comment ref="B704" authorId="0" shapeId="0" xr:uid="{EDEF400C-0D86-4F2E-A8DB-307D433F0B5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$3,70 FOX 12/06/23</t>
        </r>
      </text>
    </comment>
    <comment ref="B706" authorId="0" shapeId="0" xr:uid="{0F12BA9C-499A-49EC-81BE-B917A5D6548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$11,80 FOX 12/04/23</t>
        </r>
      </text>
    </comment>
    <comment ref="B707" authorId="1" shapeId="0" xr:uid="{543CAABF-B130-4D30-B434-0544CB54788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$6,70 FOX 05/01/23</t>
        </r>
      </text>
    </comment>
    <comment ref="B716" authorId="0" shapeId="0" xr:uid="{0B40AA03-25B3-4C91-9917-DCCA9360CE4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$12,63 WURTH 26/023</t>
        </r>
      </text>
    </comment>
    <comment ref="B718" authorId="0" shapeId="0" xr:uid="{E47527BC-3CBD-4809-AE66-CC092B5EF74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$8,86 BRACELF 03/03/23</t>
        </r>
      </text>
    </comment>
    <comment ref="B720" authorId="0" shapeId="0" xr:uid="{68DF852D-E01F-4754-8984-6C3F67431A1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$331,72 DEWALT 07/06/23</t>
        </r>
      </text>
    </comment>
    <comment ref="B721" authorId="0" shapeId="0" xr:uid="{DEF381F1-F0C9-4F45-A466-35516E44230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$11,30 FOX 20/03/23</t>
        </r>
      </text>
    </comment>
    <comment ref="B723" authorId="0" shapeId="0" xr:uid="{3C480655-56A0-4DC7-8D5A-C06A006F35E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$22,00 PALMEIRENSE 03/03/23
$24,90 PALMEIRENSE 02/06/23</t>
        </r>
      </text>
    </comment>
    <comment ref="B726" authorId="0" shapeId="0" xr:uid="{ADF151B9-CE0F-40C1-9094-09146E2669B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$11,80 FOX 12/06/23</t>
        </r>
      </text>
    </comment>
    <comment ref="B728" authorId="0" shapeId="0" xr:uid="{3E508576-01EA-420F-A9EB-A490F940E7B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$28,20 MARCIO 27/02/23</t>
        </r>
      </text>
    </comment>
    <comment ref="B730" authorId="1" shapeId="0" xr:uid="{1384195C-23B3-46CA-BA06-07A11ED074F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$31,90 MARCIO/HESSEN 24/01/23
$27,80 PALMEIRENSE 03/03/23</t>
        </r>
      </text>
    </comment>
    <comment ref="B731" authorId="0" shapeId="0" xr:uid="{F327741B-AD2A-4664-BC7B-C7AF84B6992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$10,68 WURTH 27/04/23</t>
        </r>
      </text>
    </comment>
    <comment ref="B732" authorId="1" shapeId="0" xr:uid="{0D996624-F96A-4A89-BEEA-314630B8441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733" authorId="1" shapeId="0" xr:uid="{27323070-0ADF-45BF-9F98-4CB43D6150C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$49,80 MARCIO 16/03/23</t>
        </r>
      </text>
    </comment>
    <comment ref="B734" authorId="0" shapeId="0" xr:uid="{F00DC873-540E-44C1-B89A-F2EA2D65D29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$42,00 PALMEIRENSE 03/03/23</t>
        </r>
      </text>
    </comment>
    <comment ref="B737" authorId="0" shapeId="0" xr:uid="{FDA4546E-9636-4A75-B12E-7C006ABC4AA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$0,65 2 IRMAOS 30/01/23</t>
        </r>
      </text>
    </comment>
    <comment ref="B738" authorId="0" shapeId="0" xr:uid="{94FC3810-1A66-4936-8414-5325749C26E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$20,90 LEAL 24/02/23</t>
        </r>
      </text>
    </comment>
    <comment ref="B739" authorId="0" shapeId="0" xr:uid="{7CC35DB2-9B3C-49EA-9D12-0112BD1DE27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$20,90 LEAL 24/02/23</t>
        </r>
      </text>
    </comment>
    <comment ref="B740" authorId="1" shapeId="0" xr:uid="{39D3FCEC-2B37-45B2-ADC7-731C65C7C1C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$22,93 BRACELF 20/01/23
$21,50 LEAL 24/02/23
$20,90 LEAL 14/04/23</t>
        </r>
      </text>
    </comment>
    <comment ref="B741" authorId="1" shapeId="0" xr:uid="{F352DE11-F915-43EC-9E2B-342B3ED7961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$22,93 BRACELF 20/01/23
$20,90 LEAL 14/04/23</t>
        </r>
      </text>
    </comment>
    <comment ref="B743" authorId="1" shapeId="0" xr:uid="{428B1FB8-405D-40E9-8B3A-3D42371B36E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$24,17 BRACELF 20/01/23
$21,50 LEAL 24/02/23</t>
        </r>
      </text>
    </comment>
    <comment ref="B747" authorId="1" shapeId="0" xr:uid="{1218C2AE-5E74-4FE2-8B4B-92674DD2937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$9,65 BRACELF 20/01/23</t>
        </r>
      </text>
    </comment>
    <comment ref="B748" authorId="1" shapeId="0" xr:uid="{67CD9114-C9D2-4F2A-B54D-74A864FF1C93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$9,32 BRACELF 20/01/23</t>
        </r>
      </text>
    </comment>
    <comment ref="B750" authorId="1" shapeId="0" xr:uid="{770D3357-026D-4CFA-8F50-0B7DA31154F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$16,20 BRACELF 20/01/23
$14,98 BRACELF 08/05/23</t>
        </r>
      </text>
    </comment>
    <comment ref="B751" authorId="1" shapeId="0" xr:uid="{BF90C3F4-9DD6-4736-A671-23306216D63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$16,20 BRACELF 20/01/23</t>
        </r>
      </text>
    </comment>
    <comment ref="B752" authorId="1" shapeId="0" xr:uid="{B92926EA-84A0-4DE7-8C9A-DF87D24444C3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$25,88 BRACELF 20/01/23
$23,86 BRACELF 03/03/23</t>
        </r>
      </text>
    </comment>
    <comment ref="B753" authorId="0" shapeId="0" xr:uid="{00BA982D-F56A-4798-9719-4EA5358CC38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$23,86 BRACELF 08/05/23</t>
        </r>
      </text>
    </comment>
    <comment ref="B756" authorId="0" shapeId="0" xr:uid="{3FB72C71-3F4C-4B25-9CA8-E0D1F4CBA5C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$30,90 LEAL 24/02/23</t>
        </r>
      </text>
    </comment>
    <comment ref="B757" authorId="0" shapeId="0" xr:uid="{351070F7-961B-4967-9A99-F9A68B5F2D7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$37,90 LEAL 24/02/23</t>
        </r>
      </text>
    </comment>
    <comment ref="B758" authorId="0" shapeId="0" xr:uid="{8F2A812C-7C2C-41CB-8588-971A853C79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$37,90 LEAL 24/02/23
$37,90 LEAL 25/05/23</t>
        </r>
      </text>
    </comment>
    <comment ref="B760" authorId="1" shapeId="0" xr:uid="{42943F03-DBD6-4870-A04C-BBAB68D68C8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$5,86 BRACELF 20/01/23
$6,20 LEAL 24/02/23</t>
        </r>
      </text>
    </comment>
    <comment ref="B761" authorId="1" shapeId="0" xr:uid="{7B4C5FCA-1606-4204-8457-DB399D5F8B0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$5,86 BRACELF 20/01/23
$6,20 LEAL 25/05/23</t>
        </r>
      </text>
    </comment>
    <comment ref="B763" authorId="1" shapeId="0" xr:uid="{A9A7B885-BE0D-402F-B609-6F0C605F128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$5,86 BRACELF 20/01/23</t>
        </r>
      </text>
    </comment>
    <comment ref="B766" authorId="0" shapeId="0" xr:uid="{98AB7166-FAE8-4CAC-B4C9-7072FF90BC9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$1,99 BUIGANGA 16/05/23</t>
        </r>
      </text>
    </comment>
    <comment ref="B768" authorId="0" shapeId="0" xr:uid="{432B27AA-FA1F-4886-A174-A86D00766A0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$31,74 MARCIO 27/02/23</t>
        </r>
      </text>
    </comment>
    <comment ref="B769" authorId="0" shapeId="0" xr:uid="{8AC915D9-EC34-446D-AFEE-499AFDBB415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$3,23 BRACELF 03/03/23</t>
        </r>
      </text>
    </comment>
    <comment ref="B770" authorId="0" shapeId="0" xr:uid="{BF746A3C-36C9-477E-9093-7CD27E1FE35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$5,26 BRACELF 03/03/23</t>
        </r>
      </text>
    </comment>
    <comment ref="B771" authorId="0" shapeId="0" xr:uid="{3937AC99-0329-4EB1-A132-A83D2DE2EB2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$11,50 FOX 07/03/23</t>
        </r>
      </text>
    </comment>
    <comment ref="B772" authorId="0" shapeId="0" xr:uid="{E1BE5B93-5F72-4D25-A5A7-2C5DE92AA5A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$97,20 2 IRMAOS 17/05/23</t>
        </r>
      </text>
    </comment>
    <comment ref="B773" authorId="0" shapeId="0" xr:uid="{82D96E30-5BA0-4C33-9FD6-1E1B04D5FF6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$77,08 2 IRMAOS 17/05/23</t>
        </r>
      </text>
    </comment>
    <comment ref="B775" authorId="0" shapeId="0" xr:uid="{FFE3DD84-B57C-4FBB-BB7A-56C84725C28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$76,10 DUCOR 08/03/23</t>
        </r>
      </text>
    </comment>
    <comment ref="B776" authorId="0" shapeId="0" xr:uid="{FF9EAD6F-FB93-4041-8BD5-55E66AF0DD1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$27,80 DUCOR 08/03/23</t>
        </r>
      </text>
    </comment>
    <comment ref="B778" authorId="0" shapeId="0" xr:uid="{6514713C-3FB6-401A-827B-CF724E5027C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$74,05 DUCOR 10/07/23</t>
        </r>
      </text>
    </comment>
    <comment ref="B783" authorId="0" shapeId="0" xr:uid="{22DE81F0-C13B-4E8E-96BB-3A7AC498DF2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$13,40 DUCOR 10/07/23</t>
        </r>
      </text>
    </comment>
    <comment ref="B785" authorId="0" shapeId="0" xr:uid="{F3476198-1E2E-440B-B7EC-02B9582D2E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$53,45 DUCOR 25/03/23</t>
        </r>
      </text>
    </comment>
    <comment ref="B789" authorId="0" shapeId="0" xr:uid="{34428213-E32D-48D2-BF37-2CB2260B05A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$45,80 DUCOR 25/03/23</t>
        </r>
      </text>
    </comment>
    <comment ref="B790" authorId="0" shapeId="0" xr:uid="{F35AC142-E593-4FC2-A9E5-001E862C643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$12,87 DUCOR 10/07/23</t>
        </r>
      </text>
    </comment>
    <comment ref="B792" authorId="0" shapeId="0" xr:uid="{4363943F-C162-4C5F-B8AD-594B11DC0D1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$65,30 DUCOR 06/06/23</t>
        </r>
      </text>
    </comment>
    <comment ref="B796" authorId="0" shapeId="0" xr:uid="{3034339D-B74D-4497-894B-99D7EC26105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$7,16 TAMBASA 07/03/23
$7,27 MORVILLO 14/03/23</t>
        </r>
      </text>
    </comment>
    <comment ref="B797" authorId="0" shapeId="0" xr:uid="{06351F1F-EAAB-4468-BD91-BE92F2988C2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$4,21 TAMBASA 07/03/23
$4,23 MORVILLO 14/03/23</t>
        </r>
      </text>
    </comment>
    <comment ref="B798" authorId="0" shapeId="0" xr:uid="{64256F32-8BEC-4BEF-91ED-F464A291CA3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$19,00 ZEZINHO 28/06/23</t>
        </r>
      </text>
    </comment>
    <comment ref="B799" authorId="0" shapeId="0" xr:uid="{3E32F1B0-CD15-42FD-8176-5B50817A80C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$69,00 ZEZINHO 28/06/23</t>
        </r>
      </text>
    </comment>
    <comment ref="B800" authorId="0" shapeId="0" xr:uid="{F117523D-21D2-49FD-936F-939877A487E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$23,33 TAMBASA 11/04/23
$19,00 ORACIO 09/05/23</t>
        </r>
      </text>
    </comment>
    <comment ref="B801" authorId="0" shapeId="0" xr:uid="{21361BC1-84A3-4D69-9CB1-F3884AAF0C6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$41,50 BRACELF 20/04/23</t>
        </r>
      </text>
    </comment>
    <comment ref="B802" authorId="0" shapeId="0" xr:uid="{116C53AE-9381-4BF6-9E8E-7B34C18426A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$53,66 BRACELF 20/04/23</t>
        </r>
      </text>
    </comment>
    <comment ref="B803" authorId="0" shapeId="0" xr:uid="{38945C74-9A3F-4DD1-9575-0FE278A17E0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$15,46 BRACELF 20/04/23</t>
        </r>
      </text>
    </comment>
    <comment ref="B807" authorId="0" shapeId="0" xr:uid="{FB2BF20C-52BE-466E-936C-AAA730781CB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$22,90 MARCIO 03/03/23 (PAR)</t>
        </r>
      </text>
    </comment>
    <comment ref="B808" authorId="0" shapeId="0" xr:uid="{71233065-E8A6-4D07-A920-939D2FE620D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$4,35 WARLEI 31/03/23</t>
        </r>
      </text>
    </comment>
    <comment ref="B809" authorId="1" shapeId="0" xr:uid="{9E44AF68-CBBF-47AD-BD18-472D78DB9B1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$4,27 LEAL 13/01/23</t>
        </r>
      </text>
    </comment>
    <comment ref="B810" authorId="0" shapeId="0" xr:uid="{FE3DE8A8-A434-4E95-811A-176107D4CA5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$4,30 2IRMAOS 17/05/23</t>
        </r>
      </text>
    </comment>
    <comment ref="B812" authorId="0" shapeId="0" xr:uid="{D40047C7-ED34-46BF-9889-C4259510E144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$14,90 FOX 24/02/23</t>
        </r>
      </text>
    </comment>
    <comment ref="B813" authorId="0" shapeId="0" xr:uid="{C6852D7F-942C-4D63-98C5-A6ED09EA14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$3,90 WARLEI 31/03/23</t>
        </r>
      </text>
    </comment>
    <comment ref="B814" authorId="0" shapeId="0" xr:uid="{FC37FC81-E07B-4F05-B789-C736D665182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$2,50 WARLEI 31/03/23</t>
        </r>
      </text>
    </comment>
    <comment ref="B816" authorId="0" shapeId="0" xr:uid="{A856C248-FFAD-473E-9F30-7908A41E3A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$25,00 DEVAIR REPRE 10/05/23</t>
        </r>
      </text>
    </comment>
    <comment ref="B817" authorId="0" shapeId="0" xr:uid="{DB8C9C3F-4C78-4EA9-BE4B-A61EB845AB0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$49,62 2 IRMAOS 04/04/23</t>
        </r>
      </text>
    </comment>
    <comment ref="B819" authorId="0" shapeId="0" xr:uid="{958EB05A-34E7-4A88-8AB0-50E11BE42A8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$35,75 2 IRMAOS 04/04/23</t>
        </r>
      </text>
    </comment>
    <comment ref="B820" authorId="0" shapeId="0" xr:uid="{F179EBCE-BEA0-4A79-BE9A-1059E3506D0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$35,53 2 IRMAOS 17/05/23</t>
        </r>
      </text>
    </comment>
    <comment ref="B821" authorId="1" shapeId="0" xr:uid="{B3CB00B2-C00D-4F19-8B96-7381F79E303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Lucas Paz:
TAMBASA 20/12</t>
        </r>
      </text>
    </comment>
    <comment ref="B822" authorId="1" shapeId="0" xr:uid="{01316F21-4630-4F7D-9AB6-1476A7375F5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828" authorId="0" shapeId="0" xr:uid="{66F0E184-A38D-46F9-B674-4A47428D9F6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$149,77 2 IRMAOS 30/01/23</t>
        </r>
      </text>
    </comment>
    <comment ref="B830" authorId="0" shapeId="0" xr:uid="{602FA051-905D-4843-B760-6032FE75DDAF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$198,65 2 IRMAOS 30/01/23</t>
        </r>
      </text>
    </comment>
    <comment ref="B833" authorId="0" shapeId="0" xr:uid="{F99DA961-C5FC-4CF9-974C-B3FC61F4D8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$16,40 CONASID 24/05/23</t>
        </r>
      </text>
    </comment>
    <comment ref="B837" authorId="0" shapeId="0" xr:uid="{1D56567B-1940-4A92-8CDA-1F17EECC169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$14,00 2 IRMAOS 30/01/23
$13,90 VIA FACIL 18/03/23</t>
        </r>
      </text>
    </comment>
    <comment ref="B838" authorId="0" shapeId="0" xr:uid="{50E63531-A74B-4EF2-87E8-57C6783E696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$13,90 FOX 24/02/23</t>
        </r>
      </text>
    </comment>
    <comment ref="B839" authorId="0" shapeId="0" xr:uid="{6A5BA1A3-3631-44BF-AE29-A5D2D1F3C14F}">
      <text>
        <r>
          <rPr>
            <b/>
            <sz val="9"/>
            <color indexed="81"/>
            <rFont val="Segoe UI"/>
            <charset val="1"/>
          </rPr>
          <t>Administ$
$2,19 BUGIGANGA 23/02/23
$2,50 WARLEI 31/03/23</t>
        </r>
      </text>
    </comment>
    <comment ref="B840" authorId="0" shapeId="0" xr:uid="{5A6D0C5F-3F9B-42EC-88AD-D1F17B88B77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$6,45 BUGIGANGA 23/02/23</t>
        </r>
      </text>
    </comment>
    <comment ref="B843" authorId="0" shapeId="0" xr:uid="{E2717878-A257-4349-A736-EC2AECF7B70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$8,40 ANTUNES 30/05/23</t>
        </r>
      </text>
    </comment>
    <comment ref="B844" authorId="0" shapeId="0" xr:uid="{A0228AE3-AA46-4EF1-A349-8AE0AC82092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$9,05 ANTUNES 30/05/23</t>
        </r>
      </text>
    </comment>
    <comment ref="B847" authorId="0" shapeId="0" xr:uid="{435F7B62-6AD0-4E99-83E9-297A153CE0E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$3,90 WARLEI 31/03/23</t>
        </r>
      </text>
    </comment>
    <comment ref="B848" authorId="0" shapeId="0" xr:uid="{BB7B258D-AF6A-46AC-932C-1D9194BC26C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$21,00 BIGIGANGA 10/02
$24,24 KRONOS 13/04/23
$21,99 LEAL 14/04/23</t>
        </r>
      </text>
    </comment>
    <comment ref="B849" authorId="0" shapeId="0" xr:uid="{8380DB00-45FD-4F9D-9E57-3E7B1E4BC3D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$16,88 DEVAIR 23/06/23</t>
        </r>
      </text>
    </comment>
    <comment ref="B857" authorId="0" shapeId="0" xr:uid="{1A77F2BD-0500-4648-81CA-09732B04E39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$11,91 EUCATEX 26/01/23
$11,72 EUCATEX 03/03/23
$12,07 EUCATEX 24/05/23</t>
        </r>
      </text>
    </comment>
    <comment ref="B859" authorId="0" shapeId="0" xr:uid="{B9D794B4-79B2-4EBB-8660-E34A4F3886F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$71,00 EUCATEX 01/06/23
$67,81 BR GELO EUC 15/06/23</t>
        </r>
      </text>
    </comment>
    <comment ref="B860" authorId="0" shapeId="0" xr:uid="{560AAB15-4409-410E-9170-A8F06F848C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$19,99 EUCATEX 01/06/23</t>
        </r>
      </text>
    </comment>
    <comment ref="B862" authorId="0" shapeId="0" xr:uid="{26AED242-B999-4E93-8016-1D306A8F79C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$225,56 EUCATEX 24/05/23</t>
        </r>
      </text>
    </comment>
    <comment ref="B866" authorId="0" shapeId="0" xr:uid="{12CBDB43-2CD6-4280-A1EF-48135A63FAC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$54,72 EUCATEX 26/01/23
$60,19 EUCATEX 24/05/23</t>
        </r>
      </text>
    </comment>
    <comment ref="B867" authorId="0" shapeId="0" xr:uid="{D8FD3A5B-6A5F-4763-AA90-99511FB5F8F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$86,20 EUCATEX 03/03/23</t>
        </r>
      </text>
    </comment>
    <comment ref="B868" authorId="0" shapeId="0" xr:uid="{B6BCCA6E-B346-446E-AA91-F7968BE55DE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$25,78 EUCATEX 03/05/23</t>
        </r>
      </text>
    </comment>
    <comment ref="B869" authorId="0" shapeId="0" xr:uid="{33388D18-EE5A-4E83-9F9D-A97638E6B97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$57,86 EUCATEX 24/05/23</t>
        </r>
      </text>
    </comment>
    <comment ref="B870" authorId="0" shapeId="0" xr:uid="{46C2E78B-AC35-42FB-9E81-23AD3DF41B6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$54,23 EUCATEX 03/05/23
$53,85 EUCATEX 10/07/23</t>
        </r>
      </text>
    </comment>
    <comment ref="B871" authorId="0" shapeId="0" xr:uid="{3ACE0D34-4898-4061-BFCE-617DB22DB04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$11,32 EUCATEX 26/01/23
$10,86 EUCATEX 03/03/23
$10,84 EUCATEX 03/05/23</t>
        </r>
      </text>
    </comment>
    <comment ref="B873" authorId="0" shapeId="0" xr:uid="{4B2702B9-A851-4467-88DB-B97D99175A4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$24,22 EUCATEX 03/05/23</t>
        </r>
      </text>
    </comment>
    <comment ref="B875" authorId="0" shapeId="0" xr:uid="{22EE2014-D4CA-4FC4-AC21-439B483B958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$85,28 EUCATEX 24/05/23</t>
        </r>
      </text>
    </comment>
    <comment ref="B876" authorId="0" shapeId="0" xr:uid="{3CAE566A-84AA-4C31-BBC2-B3FA80FAA57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$22,55 EUCATEX 26/01/23</t>
        </r>
      </text>
    </comment>
    <comment ref="B878" authorId="0" shapeId="0" xr:uid="{B0DB4219-0422-45B6-A90E-E691ECF163B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$93,15 CONASID 09/05/23</t>
        </r>
      </text>
    </comment>
    <comment ref="B880" authorId="0" shapeId="0" xr:uid="{51A77E1C-BCA4-478B-AD0F-848E9657B6C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$6,20 WARLEI 04/02/23</t>
        </r>
      </text>
    </comment>
    <comment ref="B882" authorId="0" shapeId="0" xr:uid="{B3BA4DE1-134C-4A77-9801-F49481F1C59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$9,20 NILO 24/03/23
$10,25 WARLEI 31/03/23</t>
        </r>
      </text>
    </comment>
    <comment ref="B884" authorId="0" shapeId="0" xr:uid="{3C1CF20A-A689-425F-9620-F67CEE23D2C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$8,30 WARLEI 04/02/23</t>
        </r>
      </text>
    </comment>
    <comment ref="B886" authorId="0" shapeId="0" xr:uid="{87D553F5-E8F7-4FF9-9EC5-FC3078AC9A6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$11,00 PALMEIRENSE 18/04/23</t>
        </r>
      </text>
    </comment>
    <comment ref="B887" authorId="0" shapeId="0" xr:uid="{90499F71-1AD9-42FF-BCCE-98B957E8035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$32,72 TAMBASA 11/04/23</t>
        </r>
      </text>
    </comment>
    <comment ref="E889" authorId="0" shapeId="0" xr:uid="{BD7D02E6-A4BA-40BB-9258-C0A8BFFCD8D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894" authorId="0" shapeId="0" xr:uid="{C1E237BA-43FC-4AC8-A101-494553C1F6D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$106,70 BRACEÇF 06/05/23</t>
        </r>
      </text>
    </comment>
    <comment ref="B896" authorId="0" shapeId="0" xr:uid="{DA6FA733-4866-4F9D-8908-CCCEA0A9AF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$20,58 TAMBASA 07/03/23</t>
        </r>
      </text>
    </comment>
    <comment ref="B897" authorId="0" shapeId="0" xr:uid="{29781D95-C521-4D60-8CE2-A6F08F894A7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$23,62 TAMBASA 07/03/23</t>
        </r>
      </text>
    </comment>
    <comment ref="B898" authorId="0" shapeId="0" xr:uid="{DAFDC8F6-0D48-4B98-9AB8-4D30CB17894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$20,58 TAMBASA 07/03/23</t>
        </r>
      </text>
    </comment>
    <comment ref="B899" authorId="0" shapeId="0" xr:uid="{BCFB81D8-886B-4284-9E2D-5108D621BB7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$24,40 BRACELF 23/06/23</t>
        </r>
      </text>
    </comment>
    <comment ref="B900" authorId="0" shapeId="0" xr:uid="{4A0D4DF0-2CD4-4A5D-ABD3-F4AFDE8D681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$28,09 2 IRMAOS 04/04/23
$30,93 DEVAIR REPRE 10/05/23</t>
        </r>
      </text>
    </comment>
    <comment ref="B901" authorId="0" shapeId="0" xr:uid="{2F23255A-F645-4104-BFC7-DBFAC42A096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$4,99 FOX 12/04/23</t>
        </r>
      </text>
    </comment>
    <comment ref="B910" authorId="0" shapeId="0" xr:uid="{EF3B5FDA-4DC1-41BF-AC78-F71E87214F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$16,99 FOX 07/03/23
$17,90 LEAL 15/06/23</t>
        </r>
      </text>
    </comment>
    <comment ref="B911" authorId="1" shapeId="0" xr:uid="{6C30D314-A444-40E4-8E27-1BCB8F424D8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$18,60 FOX 05/01/23</t>
        </r>
      </text>
    </comment>
    <comment ref="B914" authorId="0" shapeId="0" xr:uid="{A6B2A996-FF11-4EF3-BF1C-3AF2DB056DC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$173,41 FIMAP 28/03/23</t>
        </r>
      </text>
    </comment>
    <comment ref="B915" authorId="0" shapeId="0" xr:uid="{748F22F6-641C-4C9D-9215-59B677E7FF0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$284,35 FIMAP 28/03/23</t>
        </r>
      </text>
    </comment>
    <comment ref="B916" authorId="0" shapeId="0" xr:uid="{6F41C456-B2B6-41B5-9675-DCBAA8E4178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$273,45 FIMAP 28/03/23</t>
        </r>
      </text>
    </comment>
    <comment ref="B917" authorId="0" shapeId="0" xr:uid="{F4A17983-D66E-4219-A9CA-3CF3B76DE91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$154,61 FIMAP 28/03/23</t>
        </r>
      </text>
    </comment>
    <comment ref="B918" authorId="0" shapeId="0" xr:uid="{16BD92BF-1432-4A24-A669-DD6E6E2274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$145,11 FIMAP 28/03/23</t>
        </r>
      </text>
    </comment>
    <comment ref="B919" authorId="0" shapeId="0" xr:uid="{DBE8303C-7AEA-46A0-853D-46365826C4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$404,79 FIMAP 28/03/23</t>
        </r>
      </text>
    </comment>
    <comment ref="B920" authorId="0" shapeId="0" xr:uid="{FF025DD0-06F3-4ABC-920C-9ABCADD2271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$3,30 LEAL 09/06/23</t>
        </r>
      </text>
    </comment>
    <comment ref="B921" authorId="1" shapeId="0" xr:uid="{B8145D57-AFB0-4C29-96F9-5D256824B71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$4,72 BUGIGANGA 29/12/22
$3,49 FALCAO 18/01/23
$4,50 LEAL 30/06/23</t>
        </r>
      </text>
    </comment>
    <comment ref="B922" authorId="0" shapeId="0" xr:uid="{80BCE6E8-A56D-4732-99A8-8E7C1748067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$8,99 LEAL 30/03/23
$8,60 LEAL 01/06/23</t>
        </r>
      </text>
    </comment>
    <comment ref="B927" authorId="0" shapeId="0" xr:uid="{6E9881BA-FE94-484F-8A8B-26329B4287D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$3,99 FOX 07/03/23</t>
        </r>
      </text>
    </comment>
    <comment ref="B928" authorId="0" shapeId="0" xr:uid="{9E00B08F-1F4A-483D-912F-44BEB41B5C2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$6,30 FOX 20/03/23
$6,60 FOX 12/04/23</t>
        </r>
      </text>
    </comment>
    <comment ref="B936" authorId="1" shapeId="0" xr:uid="{948E6DA1-E090-4EF3-8237-7D5471E7E1A9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$6,19 FALCAO 18/01/23</t>
        </r>
      </text>
    </comment>
    <comment ref="B937" authorId="1" shapeId="0" xr:uid="{7A7D9BC2-EE99-4BD9-B641-23476E321B29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$12,28 FALCAO 18/01/23</t>
        </r>
      </text>
    </comment>
    <comment ref="B939" authorId="0" shapeId="0" xr:uid="{CE0FDDEF-C4F5-4EE2-9340-FAD3A7D53A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$7,50 FOX 20/03/23</t>
        </r>
      </text>
    </comment>
    <comment ref="B948" authorId="0" shapeId="0" xr:uid="{C88155C5-8826-45FC-8A30-6E56D209F56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$18,95 2IRMAOS 17/05/23</t>
        </r>
      </text>
    </comment>
    <comment ref="B952" authorId="0" shapeId="0" xr:uid="{B10F3B4F-279D-49F0-A0A2-FFCE2F40718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$39,85 BUGIGANGA 10/02/23</t>
        </r>
      </text>
    </comment>
    <comment ref="B954" authorId="0" shapeId="0" xr:uid="{155FA3AE-52B4-4253-A314-CF8E56682FA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$0,69 BRACELF 03/03/23</t>
        </r>
      </text>
    </comment>
    <comment ref="B955" authorId="0" shapeId="0" xr:uid="{5441CD6C-3075-45FB-BD9B-AAD1994AEC2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$0,25 BRACELF 03/03/23</t>
        </r>
      </text>
    </comment>
    <comment ref="B957" authorId="0" shapeId="0" xr:uid="{311A08DA-AACD-4ABC-9053-F19C674E640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$0,30 BUIGANGA 16/05/23</t>
        </r>
      </text>
    </comment>
    <comment ref="B962" authorId="0" shapeId="0" xr:uid="{FA227424-38A8-426D-B2D8-318821304DA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$6,35 CONASID 24/05/23</t>
        </r>
      </text>
    </comment>
    <comment ref="B963" authorId="0" shapeId="0" xr:uid="{EF3320F6-AFF4-4523-B94D-04E8C00A90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ANTUNES 30/05/23</t>
        </r>
      </text>
    </comment>
    <comment ref="B964" authorId="0" shapeId="0" xr:uid="{EAF391F5-FA0D-4760-BD74-942F5711EF5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$6,99 FOX 25/04/23</t>
        </r>
      </text>
    </comment>
    <comment ref="B965" authorId="0" shapeId="0" xr:uid="{6D88D0C4-DFDB-4D1F-ACA0-25D56A586C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$15,90 FOX 07/03/23</t>
        </r>
      </text>
    </comment>
    <comment ref="B969" authorId="0" shapeId="0" xr:uid="{8B7F1195-3F5E-49E9-A21B-AA0F397C98D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$34,19 TECTINTAS 27/04/23</t>
        </r>
      </text>
    </comment>
    <comment ref="B970" authorId="0" shapeId="0" xr:uid="{380AC682-E6CB-4883-9330-2064B0B7B10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$18,48 TECTINTAS 27/04/23</t>
        </r>
      </text>
    </comment>
    <comment ref="B971" authorId="0" shapeId="0" xr:uid="{5F462EC9-9F0B-44C2-A48A-3FCB4E2331B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$20,12 TECTINTAS 27/04/23</t>
        </r>
      </text>
    </comment>
    <comment ref="B972" authorId="0" shapeId="0" xr:uid="{6923B086-B26E-4B0D-9222-E822050D8B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$9,83 TECTINTAS 27/04/23</t>
        </r>
      </text>
    </comment>
    <comment ref="B975" authorId="0" shapeId="0" xr:uid="{7B5643AF-3031-4605-A1DA-D5D65179160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$27,60 TECCTINTAS 10/03/23
$33,19 TECCTINTAS 27/04/23</t>
        </r>
      </text>
    </comment>
    <comment ref="B976" authorId="0" shapeId="0" xr:uid="{040888E0-CF81-44A0-BBE1-7749C24787A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$81,90 TECCTINTAS 10/03/23
$95,81 TECCTINTAS 27/04/23</t>
        </r>
      </text>
    </comment>
    <comment ref="B977" authorId="0" shapeId="0" xr:uid="{EC1658EB-98B9-4141-9C0E-FB0EC5AE608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$6,50 MARCIO 27/06/23</t>
        </r>
      </text>
    </comment>
    <comment ref="B979" authorId="1" shapeId="0" xr:uid="{69F0C418-E912-41FD-9418-8E4C40DD208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$5,58 BRACELF 20/01/23</t>
        </r>
      </text>
    </comment>
    <comment ref="B981" authorId="0" shapeId="0" xr:uid="{C3DD35BE-D62D-407D-ABF9-B7F21B1832A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$23,49 2 IRMAOS 30/01/23</t>
        </r>
      </text>
    </comment>
    <comment ref="B983" authorId="0" shapeId="0" xr:uid="{637DF284-EEF9-4632-8792-EB7ED5D9B2B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$76,47 2 IRMAOS 08/03/23</t>
        </r>
      </text>
    </comment>
    <comment ref="B984" authorId="0" shapeId="0" xr:uid="{DBB07575-BEB7-45E2-878F-94BC4BDB50D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$20,14 2 IRMAOS 30/01/23</t>
        </r>
      </text>
    </comment>
    <comment ref="B985" authorId="0" shapeId="0" xr:uid="{2587A552-6F5F-47D9-92BE-CD29EA291F1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$26,42 2 IRMAOS 30/01/23</t>
        </r>
      </text>
    </comment>
    <comment ref="B986" authorId="0" shapeId="0" xr:uid="{57D4E53E-BEC6-4EAD-94AE-7B4CC40BC22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$37,54 2 IRMAOS 30/01/23</t>
        </r>
      </text>
    </comment>
    <comment ref="B988" authorId="0" shapeId="0" xr:uid="{B948B45A-38C3-4535-AA22-1E9CE66B53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$74,56 2IRMAOS 08/03/23</t>
        </r>
      </text>
    </comment>
    <comment ref="B997" authorId="0" shapeId="0" xr:uid="{7894BDB0-B87B-44D6-88E9-6861B0578E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$4,63 2IRMAOS 21/06/23</t>
        </r>
      </text>
    </comment>
    <comment ref="B1000" authorId="0" shapeId="0" xr:uid="{C5D0876E-62E1-4163-B2DD-D98EA2DF3A1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$19,67 BRACELF 20/04/23</t>
        </r>
      </text>
    </comment>
    <comment ref="B1002" authorId="0" shapeId="0" xr:uid="{8AD74AD6-EF53-4E31-BBC4-5CECF7D03BF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$3,99 LEAL 05/05/23</t>
        </r>
      </text>
    </comment>
    <comment ref="B1003" authorId="0" shapeId="0" xr:uid="{2701C985-A35A-44FC-9E40-A83D5BCD381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$58,99 LEAL 03/03/23</t>
        </r>
      </text>
    </comment>
    <comment ref="B1004" authorId="0" shapeId="0" xr:uid="{0B0D8234-7FF1-4E32-A7F2-83559DAABF3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$15,99 LEAL 03/03/23</t>
        </r>
      </text>
    </comment>
    <comment ref="B1006" authorId="1" shapeId="0" xr:uid="{A0802A7A-93BF-477D-9577-1CA41194047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$5,20 LEAL 06/01/23</t>
        </r>
      </text>
    </comment>
    <comment ref="B1007" authorId="0" shapeId="0" xr:uid="{FBCBB85C-2E80-45B4-B143-5DFFF7CDE8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$4,30 LEAL 16/02/23
$4,50 LEAL 23/03/23
$3,85 LEAL 25/05/23</t>
        </r>
      </text>
    </comment>
    <comment ref="B1008" authorId="0" shapeId="0" xr:uid="{FCCDBF4B-1B75-4CBD-BBEE-0D3978A4EF5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$8,30 LEAL 16/02/23</t>
        </r>
      </text>
    </comment>
    <comment ref="B1011" authorId="0" shapeId="0" xr:uid="{3D2633B2-2F2F-45A6-A314-DD4E4440422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LEAL 23/03/23</t>
        </r>
      </text>
    </comment>
    <comment ref="B1013" authorId="0" shapeId="0" xr:uid="{3ECC49B7-76AB-4740-86ED-8FB9C940F20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$6,99 LEAL 23/03/23</t>
        </r>
      </text>
    </comment>
    <comment ref="B1015" authorId="0" shapeId="0" xr:uid="{9C1E5153-47B5-4736-9B14-8F93650CA4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$4,90 LEAL 10/03/23</t>
        </r>
      </text>
    </comment>
    <comment ref="B1016" authorId="0" shapeId="0" xr:uid="{00196166-80B8-47A3-9224-3D9FDF49045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$5,60 LEAL 10/03/23</t>
        </r>
      </text>
    </comment>
    <comment ref="B1017" authorId="0" shapeId="0" xr:uid="{0E745F6E-9F6B-471A-A703-4BF87E98C76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$1,40 LEAL 16/02/23</t>
        </r>
      </text>
    </comment>
    <comment ref="B1018" authorId="0" shapeId="0" xr:uid="{95DD88CC-4641-434D-9606-9BE0B628269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$1,40 LEAL 16/02/23</t>
        </r>
      </text>
    </comment>
    <comment ref="B1020" authorId="1" shapeId="0" xr:uid="{CD484B0C-514E-4546-890F-B3982EB7C33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$12,99 LEAL 06/01/23
$12,90 LEAL 25/05/23</t>
        </r>
      </text>
    </comment>
    <comment ref="B1021" authorId="0" shapeId="0" xr:uid="{2C08D812-0EF3-406A-8A0B-6FD052716F4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$15,99  LEAL 26/01/23
$15,99 LEAL 25/05/23</t>
        </r>
      </text>
    </comment>
    <comment ref="B1022" authorId="1" shapeId="0" xr:uid="{0E79C46A-7938-4229-83D7-7F860C93373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$3,75 LEAL 29/12
$2,99 LEAL 06/01</t>
        </r>
      </text>
    </comment>
    <comment ref="B1024" authorId="0" shapeId="0" xr:uid="{149E5BA6-72C5-4AE1-BC75-CB80DFFBF3D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$4,44 BRACELF 05/04/23</t>
        </r>
      </text>
    </comment>
    <comment ref="B1026" authorId="0" shapeId="0" xr:uid="{495F71A1-A2C2-4A16-A331-80F6987F7E9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$35,99 LEAL 23/06/23</t>
        </r>
      </text>
    </comment>
    <comment ref="B1028" authorId="0" shapeId="0" xr:uid="{3003FD2D-0625-4CEA-80B0-FB06D609610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$26,90 LEAL 15/06/23</t>
        </r>
      </text>
    </comment>
    <comment ref="B1029" authorId="0" shapeId="0" xr:uid="{7F711918-1697-48F6-81C7-5B7AFA693E9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$66,99 FALCAO 04/05/23</t>
        </r>
      </text>
    </comment>
    <comment ref="B1034" authorId="0" shapeId="0" xr:uid="{6EA8F943-1347-4B7F-A324-722F96C6C2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$12,00 INOVA 08/03/23</t>
        </r>
      </text>
    </comment>
    <comment ref="B1035" authorId="0" shapeId="0" xr:uid="{EA2E80E6-1E48-4E59-867B-38C58FFA68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$11,00 INOVA 08/03/23</t>
        </r>
      </text>
    </comment>
    <comment ref="B1038" authorId="0" shapeId="0" xr:uid="{9BD600D8-DCDD-4071-A693-74F343DE2C4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$12,50 INOVA 08/03/23</t>
        </r>
      </text>
    </comment>
    <comment ref="B1039" authorId="0" shapeId="0" xr:uid="{E92FF0AB-3E68-4A45-8999-B6256ED4306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$143,60 BRACELF28/02</t>
        </r>
      </text>
    </comment>
    <comment ref="B1040" authorId="0" shapeId="0" xr:uid="{272BDC18-C496-4841-A0A5-685A3E9DD84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$75,91 LEAL 16/02/23
$83,99 LEAL 23/06/23</t>
        </r>
      </text>
    </comment>
    <comment ref="B1041" authorId="0" shapeId="0" xr:uid="{23B899F6-E3D3-4D6F-B655-8940F4E487B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$22,79 LEAL 16/02/23</t>
        </r>
      </text>
    </comment>
    <comment ref="B1049" authorId="0" shapeId="0" xr:uid="{212388CF-DD59-4683-B460-602FB0928B4F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$490,37 LUCASA 27/01/23</t>
        </r>
      </text>
    </comment>
    <comment ref="B1054" authorId="0" shapeId="0" xr:uid="{1580AA78-1993-4AEA-966F-28F18247817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$26,90 PALMEIRENSE 18/04/23</t>
        </r>
      </text>
    </comment>
    <comment ref="B1058" authorId="0" shapeId="0" xr:uid="{19871D58-9895-4CBB-8808-BD9CFA4314F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$18,50 MARCIO 17/04/23 </t>
        </r>
      </text>
    </comment>
    <comment ref="B1060" authorId="0" shapeId="0" xr:uid="{1CA54347-B543-4209-A84F-038BEE2A6F3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$41,94 TAMBASA 28/06/23</t>
        </r>
      </text>
    </comment>
    <comment ref="B1067" authorId="1" shapeId="0" xr:uid="{697E306D-B223-4608-94D4-1641BC4DA7D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$19,60 ANTUNES REPRESEN 18/01/23</t>
        </r>
      </text>
    </comment>
    <comment ref="B1068" authorId="1" shapeId="0" xr:uid="{118AD103-1686-473A-8481-31D557C533D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$19,60 ANTUNES REPRESEN 18/01/23</t>
        </r>
      </text>
    </comment>
    <comment ref="B1069" authorId="1" shapeId="0" xr:uid="{2ECC8D1A-D268-4A5E-ADE7-AFBF3BE8D56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$39,20 ANTUNES REPRESEN 18/01/23</t>
        </r>
      </text>
    </comment>
    <comment ref="B1070" authorId="1" shapeId="0" xr:uid="{0B2E585C-A685-48A2-AA5A-F63EE085815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$39,20 ANTUNES 18/01/23</t>
        </r>
      </text>
    </comment>
    <comment ref="B1071" authorId="0" shapeId="0" xr:uid="{3B3F7750-D786-4296-9652-79C6B9A5070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$14,50 LEAL 10/03/23</t>
        </r>
      </text>
    </comment>
    <comment ref="B1072" authorId="0" shapeId="0" xr:uid="{235D3AF8-1422-4995-9261-3EDFF9BE64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$12,90 PALMEIRENSE 18/04/23</t>
        </r>
      </text>
    </comment>
    <comment ref="B1075" authorId="0" shapeId="0" xr:uid="{97540E0B-D167-4901-9FE2-288C21DD712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$19,52 2 IRMAOS 30/01/23
$17,85 WARLEI 04/02/23</t>
        </r>
      </text>
    </comment>
    <comment ref="B1077" authorId="0" shapeId="0" xr:uid="{578539F6-1B2A-4F32-9C5C-3D2A373E5C6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$25,58 TAMBASA 11/04/23</t>
        </r>
      </text>
    </comment>
    <comment ref="B1078" authorId="1" shapeId="0" xr:uid="{9A8CA3F8-98F4-4913-B67D-A3FC6B4547F7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$4,97 FALCAO (CITY) 18/01/23</t>
        </r>
      </text>
    </comment>
    <comment ref="B1079" authorId="1" shapeId="0" xr:uid="{80BB4B7C-0250-426B-A561-9311D018C466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$6,95 FALCAO (CITY) 18/01/23</t>
        </r>
      </text>
    </comment>
    <comment ref="B1080" authorId="0" shapeId="0" xr:uid="{634477BC-3D1F-45DF-9CE5-7A87A9082ED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$13,99 LEAL 23/02/23
$9,90 FALCAO 04/05/23</t>
        </r>
      </text>
    </comment>
    <comment ref="B1081" authorId="0" shapeId="0" xr:uid="{8A6DB9E3-F884-4481-AB64-DF11E370DA4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$22,90 LEAL 23/02/23
$18,23 FALCAO 10/04/23
$17,60 DUTRA 25/04/23
$18,99 LEAL 25/05/23</t>
        </r>
      </text>
    </comment>
    <comment ref="B1082" authorId="0" shapeId="0" xr:uid="{B1B262DB-3561-4442-9B90-CCF487975BE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$42,90 LEAL 23/02/23
$33,85 LEAL 15/06/23</t>
        </r>
      </text>
    </comment>
    <comment ref="B1083" authorId="1" shapeId="0" xr:uid="{DC1234E4-0620-45B7-A40A-F266E79819F7}">
      <text>
        <r>
          <rPr>
            <b/>
            <sz val="9"/>
            <color indexed="81"/>
            <rFont val="Segoe UI"/>
            <family val="2"/>
          </rPr>
          <t>Lucas Paz:</t>
        </r>
        <r>
          <rPr>
            <sz val="9"/>
            <color indexed="81"/>
            <rFont val="Segoe UI"/>
            <family val="2"/>
          </rPr>
          <t xml:space="preserve">
$3,59 FALCAO (CITY) 18/01/23</t>
        </r>
      </text>
    </comment>
    <comment ref="B1084" authorId="0" shapeId="0" xr:uid="{12B218CF-C3F8-4717-80DB-DA37BF32C29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$6,84 BUGIGANGA 10/02/23</t>
        </r>
      </text>
    </comment>
    <comment ref="B1085" authorId="1" shapeId="0" xr:uid="{9980E2E5-5ED3-4C33-BC45-A7A5F88AAFA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$2,86 BRACELF 20/01/23
$2,74 BRACELF 03/03/23
$2,69 BRACEÇF 06/05/23</t>
        </r>
      </text>
    </comment>
    <comment ref="B1086" authorId="0" shapeId="0" xr:uid="{3795D6F6-DEAC-41F4-93AF-D5FE6121858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$4,20 BUGIGANGA 10/02/23</t>
        </r>
      </text>
    </comment>
    <comment ref="B1087" authorId="0" shapeId="0" xr:uid="{5AE99A72-4AEB-44D8-91D3-4BA122C248C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$11,96 BUGIGANGA 10/02/23
$14,50 LEAL 23/03/23</t>
        </r>
      </text>
    </comment>
    <comment ref="B1089" authorId="0" shapeId="0" xr:uid="{F8E12C1D-E184-4092-A023-07906EA6ADC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$10,05 CONSTRUJÁ 10/07/23</t>
        </r>
      </text>
    </comment>
    <comment ref="B1090" authorId="0" shapeId="0" xr:uid="{B6E97C50-8633-4DCA-A2F4-84D8EFBF859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$37,00 ZEZINHO 13/04/23</t>
        </r>
      </text>
    </comment>
    <comment ref="B1092" authorId="0" shapeId="0" xr:uid="{07A8C4E0-21F7-4C63-9A53-F81DC55C54C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$157,55 CONASID 24/05/23</t>
        </r>
      </text>
    </comment>
    <comment ref="B1094" authorId="0" shapeId="0" xr:uid="{9FFE3A18-1CF0-4A90-AE02-511D13DA398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$90,72 CONASID 24/05/23</t>
        </r>
      </text>
    </comment>
    <comment ref="B1095" authorId="0" shapeId="0" xr:uid="{15C88890-5241-4A2D-B7AA-0DD741DFC69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$11,32 TAMBASA 07/03/23</t>
        </r>
      </text>
    </comment>
    <comment ref="B1096" authorId="0" shapeId="0" xr:uid="{4CB8A92A-2D8F-4ECF-9CBC-76E8A2FE508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$12,69 TAMBASA 04/05/23</t>
        </r>
      </text>
    </comment>
    <comment ref="B1097" authorId="0" shapeId="0" xr:uid="{9D7A0DC3-D970-4641-8ADE-BFE86A82126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$4,45 TAMBASA 11/04/23</t>
        </r>
      </text>
    </comment>
    <comment ref="B1098" authorId="0" shapeId="0" xr:uid="{2822B276-DD84-4454-AE42-AEDEC0F900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$4,17 TAMBASA 11/04/23
$9,52 FUZIL 12/04/23</t>
        </r>
      </text>
    </comment>
    <comment ref="B1101" authorId="0" shapeId="0" xr:uid="{3689721B-3A3C-40E2-B87B-32E5B97B1FE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$7,48 BUGIGANGA 10/02/23</t>
        </r>
      </text>
    </comment>
    <comment ref="B1102" authorId="0" shapeId="0" xr:uid="{AC13F031-3C3F-4F4C-9994-9AF0B8D7B0A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$5,00 FOX 23/05/23
$5,50 FOX 12/06/23</t>
        </r>
      </text>
    </comment>
    <comment ref="B1103" authorId="0" shapeId="0" xr:uid="{3CC78265-27F7-4C44-8701-EDD98A4D1D5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$3,37 2 IRMAOS 08/03/23</t>
        </r>
      </text>
    </comment>
    <comment ref="B1104" authorId="0" shapeId="0" xr:uid="{34EC954A-D122-4BD8-A96B-03BF08E34EF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$5,60 LEAL 19/06/23</t>
        </r>
      </text>
    </comment>
    <comment ref="B1106" authorId="1" shapeId="0" xr:uid="{2E02EAD9-6D37-4C99-BCAA-EBFC45CEBD4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$0,55 LEAL 20/01/23
$0,62 LEAL 23/03/23</t>
        </r>
      </text>
    </comment>
    <comment ref="B1107" authorId="1" shapeId="0" xr:uid="{8BDC5B85-8E33-4899-8933-873BCF48E5E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1108" authorId="0" shapeId="0" xr:uid="{58A56846-B51C-4C79-A8D2-D546DA2237F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$10,22 2 IRMAOS 30/01/23</t>
        </r>
      </text>
    </comment>
    <comment ref="B1109" authorId="0" shapeId="0" xr:uid="{23464FAF-886D-4FE7-A5D7-3D3C07CDA0C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$15,87 2 IRMAOS 30/01/23</t>
        </r>
      </text>
    </comment>
    <comment ref="B1113" authorId="0" shapeId="0" xr:uid="{08D41FE4-1E98-4288-8679-A9C7418B5D6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$16,36 FUZIL 01/02</t>
        </r>
      </text>
    </comment>
    <comment ref="B1115" authorId="0" shapeId="0" xr:uid="{E11B979F-53EB-4DCA-8C0C-8A7C623A1AB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$42,58 2 IRMAOS 04/04/23</t>
        </r>
      </text>
    </comment>
    <comment ref="B1116" authorId="0" shapeId="0" xr:uid="{493E3DBC-0FB7-488F-A44F-37C2567E98B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$88,65 2 IRMAOS 04/04/23</t>
        </r>
      </text>
    </comment>
    <comment ref="B1117" authorId="0" shapeId="0" xr:uid="{078FB411-E38F-4A7F-A648-6740EC3DA2A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$116,51 2 IRMAOS 04/04/23</t>
        </r>
      </text>
    </comment>
    <comment ref="B1118" authorId="1" shapeId="0" xr:uid="{CA31C5CE-1FD6-4C89-A095-961936BF14B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$1,80 CONASID 09/01</t>
        </r>
      </text>
    </comment>
    <comment ref="B1119" authorId="0" shapeId="0" xr:uid="{3352509F-CE7E-4146-A996-910E0FD262D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$108,99 LEAL 01/06/23
$105,90 MORVILLO 20/06/23</t>
        </r>
      </text>
    </comment>
    <comment ref="B1123" authorId="0" shapeId="0" xr:uid="{20C962F2-22BD-47C5-83F6-A19D58C5C68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$8,21 LUCONI 21/06/23</t>
        </r>
      </text>
    </comment>
    <comment ref="B1124" authorId="0" shapeId="0" xr:uid="{FE876EF8-ECDC-485E-AA49-3F0696D0B73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$16,98 LUCONI 21/06/23</t>
        </r>
      </text>
    </comment>
    <comment ref="B1125" authorId="0" shapeId="0" xr:uid="{D206D32C-B4E8-4620-8D10-D3BBF59BDC5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$11,38 LUCONI 21/06/23</t>
        </r>
      </text>
    </comment>
    <comment ref="B1126" authorId="0" shapeId="0" xr:uid="{26FA7F73-328C-4B87-A025-66AF8736850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$24,85 LUCONI 21/06/23</t>
        </r>
      </text>
    </comment>
    <comment ref="B1127" authorId="0" shapeId="0" xr:uid="{5583749F-8D7E-45C3-825F-2D1F97C5DB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$54,26 LUCONI 21/06/23</t>
        </r>
      </text>
    </comment>
    <comment ref="B1129" authorId="0" shapeId="0" xr:uid="{641CD929-7F65-4492-B3ED-6CB5268E1F4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$10,37 LUCONI 21/06/23</t>
        </r>
      </text>
    </comment>
    <comment ref="B1130" authorId="0" shapeId="0" xr:uid="{0B5E165B-F688-427C-82E3-CB593C7AF9E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$8,66 LUCONI 21/06/23</t>
        </r>
      </text>
    </comment>
    <comment ref="B1133" authorId="1" shapeId="0" xr:uid="{F6666726-1391-489E-8CE2-5F20D95CECA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$23,88 BRACELF 20/01/23
$26,99 LEAL 10/03/23
$25,99 LEAL 13/07/23</t>
        </r>
      </text>
    </comment>
    <comment ref="B1135" authorId="1" shapeId="0" xr:uid="{2CB07201-4DC0-493F-A54B-DDD38C05DF0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$19,90 FALCAO 18/01/23 PREÇO PROMOCIONAL</t>
        </r>
      </text>
    </comment>
    <comment ref="B1136" authorId="1" shapeId="0" xr:uid="{D3C9CFE6-6D45-4DA4-92F4-6A8DD444BC9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$33,21 FALCAO 18/01/23 PREÇO PROMOCIONAL
$31,40 BUGIGANGA 10/02/23
$49,90 LEAL 23/03/23</t>
        </r>
      </text>
    </comment>
    <comment ref="B1137" authorId="0" shapeId="0" xr:uid="{C9670EF1-E341-4B2E-847E-333B200CAD6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$26,61 BRACELF 23/06/23</t>
        </r>
      </text>
    </comment>
    <comment ref="B1143" authorId="0" shapeId="0" xr:uid="{688F94B0-0274-478B-9C8C-FC2BE91A868F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$3,15 2 IRMAOS 30/01/23</t>
        </r>
      </text>
    </comment>
    <comment ref="B1145" authorId="0" shapeId="0" xr:uid="{909D4A7D-4381-4B10-AB0A-03591C2695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$21,98 KRONOS 13/04/23</t>
        </r>
      </text>
    </comment>
    <comment ref="B1148" authorId="0" shapeId="0" xr:uid="{CDDB8CA9-5FAF-4CFD-861A-34635D8F98A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$17,99 LEAL 23/03/23</t>
        </r>
      </text>
    </comment>
    <comment ref="B1149" authorId="0" shapeId="0" xr:uid="{0C90D4B9-3883-422A-A1CD-D4409D342C6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$39,80 TAMBASA 11/04/23</t>
        </r>
      </text>
    </comment>
    <comment ref="B1153" authorId="1" shapeId="0" xr:uid="{20640D88-390D-43CC-BF8C-FA22EB331C3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PALMEIRENSE 21/12
</t>
        </r>
      </text>
    </comment>
    <comment ref="B1154" authorId="0" shapeId="0" xr:uid="{B9516775-9A17-46BD-8818-211CA0E9CED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$3,60 IPLASTIC 18/04/23</t>
        </r>
      </text>
    </comment>
    <comment ref="B1156" authorId="0" shapeId="0" xr:uid="{8E63EB39-6F04-4503-AF7D-220439F5705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$0,82 PLASTILIT 30/05/23</t>
        </r>
      </text>
    </comment>
    <comment ref="B1158" authorId="0" shapeId="0" xr:uid="{22ECCDC0-F17B-4809-96A6-BB93D39424C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$2,80 IPLASTIC 18/04/23</t>
        </r>
      </text>
    </comment>
    <comment ref="B1159" authorId="0" shapeId="0" xr:uid="{64D7509A-5965-4C32-AB21-02D91B1F9D4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$3,80 IPLASTIC 18/04/23</t>
        </r>
      </text>
    </comment>
    <comment ref="B1161" authorId="1" shapeId="0" xr:uid="{18DA78F7-5DC6-4086-B287-1D99095C9EF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$1,30 ANTUNES 18/01/23</t>
        </r>
      </text>
    </comment>
    <comment ref="B1162" authorId="0" shapeId="0" xr:uid="{00D9C15B-101E-4475-B244-F957BB46DAF6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$8,70 2 IRMAOS 30/01/23</t>
        </r>
      </text>
    </comment>
    <comment ref="B1163" authorId="0" shapeId="0" xr:uid="{EC4D6C47-E836-43F3-918F-6875DC96F30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$3,20 2 IRMAOS 30/01/23</t>
        </r>
      </text>
    </comment>
    <comment ref="B1165" authorId="0" shapeId="0" xr:uid="{858B7432-A5A9-4904-AF7F-89F661745F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$2,74 2 IRMAOS 08/03/23</t>
        </r>
      </text>
    </comment>
    <comment ref="B1169" authorId="0" shapeId="0" xr:uid="{720B0CCD-28B0-4E23-81A3-74ED88AE51D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$3,60 IPLASTIC 28/02/23</t>
        </r>
      </text>
    </comment>
    <comment ref="B1170" authorId="0" shapeId="0" xr:uid="{D3C94E03-480E-4DD7-833E-989C0D780AF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$0,83 IPLASTIC 23/06/23</t>
        </r>
      </text>
    </comment>
    <comment ref="B1171" authorId="0" shapeId="0" xr:uid="{ED682304-0ABA-4E6A-80CB-111C843DA78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$1,08 IPLASTIC 23/06/23</t>
        </r>
      </text>
    </comment>
    <comment ref="B1173" authorId="0" shapeId="0" xr:uid="{8164FE20-0227-481B-A3E0-26FB62B0033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$2,96 IPLASTIC 28/02/23</t>
        </r>
      </text>
    </comment>
    <comment ref="B1174" authorId="0" shapeId="0" xr:uid="{69C58028-43E8-4625-B161-26910CD3DA5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$6,05 IPLASTIC 15/06/23</t>
        </r>
      </text>
    </comment>
    <comment ref="B1175" authorId="0" shapeId="0" xr:uid="{FE88C361-ED6D-4EE3-A1F4-1D9457E4379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$1,08 IPLASTIC 19/05/23</t>
        </r>
      </text>
    </comment>
    <comment ref="B1176" authorId="0" shapeId="0" xr:uid="{9C253743-8EEA-4BB2-87CC-06023A83246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$1,59 IPLASTIC 05/04/23
$1,40 IPLASTIC 23/06/23</t>
        </r>
      </text>
    </comment>
    <comment ref="B1177" authorId="0" shapeId="0" xr:uid="{D0A28450-D738-4CBD-8A0D-218C02050B0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$1,73 IPLASTIC 19/05/23</t>
        </r>
      </text>
    </comment>
    <comment ref="B1178" authorId="0" shapeId="0" xr:uid="{97978A20-0251-4EDC-9407-1784E8B6E7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$6,54 LUCONI 21/06/23</t>
        </r>
      </text>
    </comment>
    <comment ref="B1179" authorId="0" shapeId="0" xr:uid="{7193AF81-E258-42CB-891B-4ECBCFA0439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$2,62 2 IRMAOS 08/03/23
$5,47 LUCONI 21/06/23</t>
        </r>
      </text>
    </comment>
    <comment ref="B1182" authorId="0" shapeId="0" xr:uid="{C70B625C-641D-4316-AD36-B0680DBF328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$2,95 TAMBASA 07/03/23
$1,74 TAMBASA 06/06/23</t>
        </r>
      </text>
    </comment>
    <comment ref="B1183" authorId="0" shapeId="0" xr:uid="{7DC0E47C-C7FA-4B70-9DB2-89B77E0C6A4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$2,72 TAMBASA 18/07/23</t>
        </r>
      </text>
    </comment>
    <comment ref="B1184" authorId="0" shapeId="0" xr:uid="{ED77E863-013A-4544-B2CD-B83C3BACC3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$3,66 FUZIL 01/02/23
$4,28 TAMBASA 07/03/23
$3,16 TAMBASA 06/06/23</t>
        </r>
      </text>
    </comment>
    <comment ref="B1185" authorId="0" shapeId="0" xr:uid="{DDA3D824-2635-429A-B677-9B4399B7814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$5,22 FUZIL 01/02/23
$5,23 TAMBASA 04/05/23</t>
        </r>
      </text>
    </comment>
    <comment ref="B1187" authorId="0" shapeId="0" xr:uid="{462EE382-3977-4991-A415-C5D6DB7E198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$5,43 2 IRMAOS 08/03/23</t>
        </r>
      </text>
    </comment>
    <comment ref="B1188" authorId="0" shapeId="0" xr:uid="{2B5C6E93-23A8-4BD8-9F91-3756A4F1D2B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$6,16 2 IRMAOS 30/01/23</t>
        </r>
      </text>
    </comment>
    <comment ref="B1189" authorId="0" shapeId="0" xr:uid="{63F985D8-38AF-406D-A48C-6BFE607A3C3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$6,76 2 IRMAOS 04/04/23</t>
        </r>
      </text>
    </comment>
    <comment ref="B1190" authorId="0" shapeId="0" xr:uid="{69D344D4-CA7B-4563-B815-0B6EF4DFC3F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$7,41 2 IRMAOS 08/03/23</t>
        </r>
      </text>
    </comment>
    <comment ref="B1191" authorId="0" shapeId="0" xr:uid="{81458C87-71D8-439F-9E31-4EB7EB30B00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$11,91 2 IRMAOS 30/01/23</t>
        </r>
      </text>
    </comment>
    <comment ref="B1192" authorId="0" shapeId="0" xr:uid="{B498B10F-C3F8-4315-876B-49BF25575F0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$8,55 2 IRMAOS 30/01/23</t>
        </r>
      </text>
    </comment>
    <comment ref="B1193" authorId="0" shapeId="0" xr:uid="{7EB1270F-7BF2-472D-BDC2-D9B1FE9D859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$10,08 2 IRMAOS 30/01/23</t>
        </r>
      </text>
    </comment>
    <comment ref="B1194" authorId="0" shapeId="0" xr:uid="{4E7CFA10-06D1-4BE0-BFB4-88B307C8528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$16,74 2 IRMAOS 08/03/23</t>
        </r>
      </text>
    </comment>
    <comment ref="B1195" authorId="0" shapeId="0" xr:uid="{E7206581-AFBF-401A-87F6-02292AA9BB6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$18,33 WARLEI 29/05/23</t>
        </r>
      </text>
    </comment>
    <comment ref="B1196" authorId="0" shapeId="0" xr:uid="{AF906E99-9707-4D4E-8FBD-2F4E7008B52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$6,47 MARCIO 17/04/23</t>
        </r>
      </text>
    </comment>
    <comment ref="B1197" authorId="0" shapeId="0" xr:uid="{E6D04F01-784C-4AA7-9B7B-A7FD70BD02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$5,65 WARLEI 04/02/23
$5,70 MARCIO 17/04/23</t>
        </r>
      </text>
    </comment>
    <comment ref="B1200" authorId="0" shapeId="0" xr:uid="{8E7AC60A-0F29-4559-A911-966F1B6F58B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$50,15 WARLEI 31/03/23 </t>
        </r>
      </text>
    </comment>
    <comment ref="B1201" authorId="0" shapeId="0" xr:uid="{4FC8A094-8775-4524-95E8-1D641B7744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$100,82 WARLEI 29/05/23</t>
        </r>
      </text>
    </comment>
    <comment ref="B1203" authorId="0" shapeId="0" xr:uid="{84C322BE-88E9-49D1-8007-2D6446769AC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$46,00 MARCIO 15/05/23</t>
        </r>
      </text>
    </comment>
    <comment ref="B1205" authorId="1" shapeId="0" xr:uid="{F4B31EBC-C9F5-41FC-BB78-CFD43E534A0F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$10,22 MARCIO 24/01/23</t>
        </r>
      </text>
    </comment>
    <comment ref="B1209" authorId="0" shapeId="0" xr:uid="{0CC35DC0-86D9-4DE3-9E8F-2CD77997DB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$10,39 WARLEI 29/05/23</t>
        </r>
      </text>
    </comment>
    <comment ref="B1211" authorId="1" shapeId="0" xr:uid="{8EABE8B6-3344-4DD8-A335-8860F031444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$13,90 MARCIO 24/01/23
$12,64 WARLEI 04/02/23</t>
        </r>
      </text>
    </comment>
    <comment ref="B1217" authorId="0" shapeId="0" xr:uid="{FD53F882-A7AB-46D5-A94D-60A1BFC4B32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$283,46 MARROART 31/03/23</t>
        </r>
      </text>
    </comment>
    <comment ref="B1218" authorId="0" shapeId="0" xr:uid="{76E328E9-556A-4060-B3B9-EEEA9FE1BA7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$316,31 MARROART 31/03/23</t>
        </r>
      </text>
    </comment>
    <comment ref="B1219" authorId="0" shapeId="0" xr:uid="{6FF91790-8009-4700-8765-D4EB99190D1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$418,55 MARROART 31/03/23</t>
        </r>
      </text>
    </comment>
    <comment ref="B1220" authorId="1" shapeId="0" xr:uid="{420532E0-5231-4791-8301-CFE613615E6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$499,00 02/01
$491,02 MARROART 31/03/23</t>
        </r>
      </text>
    </comment>
    <comment ref="B1221" authorId="1" shapeId="0" xr:uid="{2625D1B4-F37C-4975-9F8E-95971859084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$569,00 02/01</t>
        </r>
      </text>
    </comment>
    <comment ref="B1222" authorId="1" shapeId="0" xr:uid="{36FF4F00-7908-422F-8B17-1A58210B035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$5598,64 02/01</t>
        </r>
      </text>
    </comment>
    <comment ref="B1227" authorId="0" shapeId="0" xr:uid="{769C06D6-DDF6-4988-8ECA-9C34B514177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$33,21 FUZIL 01/02/23</t>
        </r>
      </text>
    </comment>
    <comment ref="B1229" authorId="0" shapeId="0" xr:uid="{61BE1CD2-9C77-40B3-88CB-94237DBDA02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$14,50 PALMEIRENSE 02/06/23</t>
        </r>
      </text>
    </comment>
    <comment ref="B1230" authorId="1" shapeId="0" xr:uid="{D351DB75-8E32-4E0B-8388-B63D482CD19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PALMEIRENSE 21/12</t>
        </r>
      </text>
    </comment>
    <comment ref="B1231" authorId="0" shapeId="0" xr:uid="{0536AF51-1956-4011-9BBA-772C9EDB634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$1,91 KRONOS 13/04/23</t>
        </r>
      </text>
    </comment>
    <comment ref="B1234" authorId="0" shapeId="0" xr:uid="{5D9DAD66-13EB-461A-91B5-6EEA967D0A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$12,58 TAMBASA 04/05/23</t>
        </r>
      </text>
    </comment>
    <comment ref="B1235" authorId="0" shapeId="0" xr:uid="{EA6346C1-D824-41FE-90A2-A62C6EF22C9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$8,56 CONASID 13/07/23</t>
        </r>
      </text>
    </comment>
    <comment ref="B1236" authorId="0" shapeId="0" xr:uid="{AF4200C7-94F4-4E6C-9692-FC0746900D7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$14,50 CONASID 30/03/23
$15,14 CONASID 13/07/23</t>
        </r>
      </text>
    </comment>
    <comment ref="B1237" authorId="0" shapeId="0" xr:uid="{8939B3F7-FBCC-450E-BDAF-7159A85EFC9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$55,00 2 IRMAOS 30/01/23</t>
        </r>
      </text>
    </comment>
    <comment ref="B1238" authorId="0" shapeId="0" xr:uid="{17ADEC6B-60A7-4CD0-96E0-898C138BE23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$18,29 2 IRMAOS 30/01/23</t>
        </r>
      </text>
    </comment>
    <comment ref="B1243" authorId="0" shapeId="0" xr:uid="{41F19322-B4D6-47B3-90CF-B55A5EF783E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$18,00 TAMBASA 28/06/23</t>
        </r>
      </text>
    </comment>
    <comment ref="B1244" authorId="0" shapeId="0" xr:uid="{70E3A6D3-6080-4C33-A7A6-04B04F79B936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$19,41 TAMBASA 28/06/23</t>
        </r>
      </text>
    </comment>
    <comment ref="B1246" authorId="0" shapeId="0" xr:uid="{0A36D67E-14AC-4A77-8D58-B156C3190D8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$52,00 WARLEI 29/05/23</t>
        </r>
      </text>
    </comment>
    <comment ref="B1251" authorId="0" shapeId="0" xr:uid="{2A0909DB-1845-4DEC-8760-19D351ED46C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$23,98 MOR 26/05/23</t>
        </r>
      </text>
    </comment>
    <comment ref="B1252" authorId="0" shapeId="0" xr:uid="{F7502EC9-D575-49C0-9491-914C9049546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$28,38 MOR 26/05/23</t>
        </r>
      </text>
    </comment>
    <comment ref="B1253" authorId="0" shapeId="0" xr:uid="{9D4D03CF-6C5C-4BB8-8611-F42771452C0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$31,29 MOR 26/05/23</t>
        </r>
      </text>
    </comment>
    <comment ref="B1255" authorId="0" shapeId="0" xr:uid="{7610FE7D-5EB0-443E-843F-49F53AC24A7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$19,15 MOR 26/05/23</t>
        </r>
      </text>
    </comment>
    <comment ref="B1256" authorId="0" shapeId="0" xr:uid="{DB8CA3B8-A6EF-41CE-B409-FA0F3D9612F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$25,62 MOR 22/06/2</t>
        </r>
      </text>
    </comment>
    <comment ref="B1258" authorId="0" shapeId="0" xr:uid="{EE1AE136-9CE2-44AF-90E3-5E8D27F4300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$23,73 MOR 22/06/2</t>
        </r>
      </text>
    </comment>
    <comment ref="B1260" authorId="0" shapeId="0" xr:uid="{8C692355-8104-4739-B4C6-E8890CC5173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$22,26 MOR 22/06/23</t>
        </r>
      </text>
    </comment>
    <comment ref="B1261" authorId="0" shapeId="0" xr:uid="{3391E665-5C17-4D1B-A00C-E108B495EB1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$15,39 MOR 22/06/2</t>
        </r>
      </text>
    </comment>
    <comment ref="B1262" authorId="0" shapeId="0" xr:uid="{2176984A-30E1-487E-835F-BFDE4C71E59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$35,99 MOR 22/06/2</t>
        </r>
      </text>
    </comment>
    <comment ref="B1273" authorId="0" shapeId="0" xr:uid="{AA5AC111-43DE-4AE1-9CB5-013806A6342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$92,90 NILO 24/03/23</t>
        </r>
      </text>
    </comment>
    <comment ref="B1274" authorId="0" shapeId="0" xr:uid="{956E718F-0B9D-4F61-B9CF-DD2BCD74299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$22,90 NILO 24/03/23</t>
        </r>
      </text>
    </comment>
    <comment ref="B1278" authorId="0" shapeId="0" xr:uid="{CF83EE77-4328-4B65-96B9-436C7A53AC3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$22,70 NILO 24/03/23</t>
        </r>
      </text>
    </comment>
    <comment ref="B1279" authorId="0" shapeId="0" xr:uid="{46A54CB6-1A18-4D78-9C6D-F94B9E71DE9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$12,82 NILO 24/03/23</t>
        </r>
      </text>
    </comment>
    <comment ref="B1280" authorId="0" shapeId="0" xr:uid="{E35CC573-D6AA-4A5A-BC77-3D32BE2EDE3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$25,98 NILO 24/03/23</t>
        </r>
      </text>
    </comment>
    <comment ref="B1281" authorId="0" shapeId="0" xr:uid="{BF75FC0C-A03B-427A-AF23-BF7341E2A30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$66,90 NILO 24/03/23</t>
        </r>
      </text>
    </comment>
    <comment ref="B1282" authorId="0" shapeId="0" xr:uid="{53AE428D-6557-4FC3-90BD-BD77A344202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$66,90 NILO 24/03/23</t>
        </r>
      </text>
    </comment>
    <comment ref="B1283" authorId="0" shapeId="0" xr:uid="{C51E84FE-3D4C-4666-B49A-CAF527C017C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$39,03 2 IRMAOS 30/01/23</t>
        </r>
      </text>
    </comment>
    <comment ref="B1284" authorId="0" shapeId="0" xr:uid="{180E41E0-C6E5-43D3-BF19-92DF045D786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$45,73 2 IRMAOS 30/01/23</t>
        </r>
      </text>
    </comment>
    <comment ref="B1285" authorId="0" shapeId="0" xr:uid="{C2E61D55-4A56-4C4A-92DB-BCFCB24A8A5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$53,79 2 IRMAOS 30/01/23</t>
        </r>
      </text>
    </comment>
    <comment ref="B1286" authorId="0" shapeId="0" xr:uid="{6B1AD8CF-19E4-41B1-8D24-80DFCFB3D2D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$12,90 PALMEIRENSE 30/01/23</t>
        </r>
      </text>
    </comment>
    <comment ref="B1287" authorId="0" shapeId="0" xr:uid="{038B9B3F-4D2A-4A7D-99AC-678B76C414C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$16,90 PALMEIRENSE 30/01/23</t>
        </r>
      </text>
    </comment>
    <comment ref="B1288" authorId="0" shapeId="0" xr:uid="{487E99C8-FE39-4BA5-93C9-65861D1769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$20,90 PALMEIRENSE 30/01/23
$19,90 PALMEIRENSE18/04/23</t>
        </r>
      </text>
    </comment>
    <comment ref="B1290" authorId="0" shapeId="0" xr:uid="{8B98D207-E06F-41DE-9623-CEF48914AB2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$6,28 2 IRMAOS 04/04/23</t>
        </r>
      </text>
    </comment>
    <comment ref="B1291" authorId="0" shapeId="0" xr:uid="{8CA6866E-21D2-4CB8-8D2C-B056999B62E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$6,80 FOX 07/03/23</t>
        </r>
      </text>
    </comment>
    <comment ref="B1293" authorId="0" shapeId="0" xr:uid="{84FDB17F-91DF-451F-A778-3B010D71677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$17,88 BRACELF 03/03/23</t>
        </r>
      </text>
    </comment>
    <comment ref="B1296" authorId="0" shapeId="0" xr:uid="{7E593208-6180-45F7-B72C-F433AE10A9A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$9,48 2 IRMAOS 08/03/23</t>
        </r>
      </text>
    </comment>
    <comment ref="B1297" authorId="0" shapeId="0" xr:uid="{C809CF60-A31B-4F69-9250-7DB52DDF6E7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$6,53 2 IRMAOS 08/03/23</t>
        </r>
      </text>
    </comment>
    <comment ref="B1299" authorId="0" shapeId="0" xr:uid="{92400965-BB9A-4F18-B5FD-5CA151BC746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$21,90 ANTUNES 14/02/23</t>
        </r>
      </text>
    </comment>
    <comment ref="B1300" authorId="0" shapeId="0" xr:uid="{55CF7CED-9E97-476F-A619-8CA8F0BEB9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$24,90 ANTUNES 14/02/23</t>
        </r>
      </text>
    </comment>
    <comment ref="B1301" authorId="0" shapeId="0" xr:uid="{59D001A2-5770-4F3F-905F-38FB53F55A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$26,20 ANTUNES 14/02/23</t>
        </r>
      </text>
    </comment>
    <comment ref="B1304" authorId="0" shapeId="0" xr:uid="{B4C1ECD1-1E85-4DC8-93F1-244D1A1923C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$1,39 BUGIGANGA 23/02/23
$1,30 WARLEI 31/03/23
$1,16 TAMBASA 28/06/23</t>
        </r>
      </text>
    </comment>
    <comment ref="B1310" authorId="0" shapeId="0" xr:uid="{96614B86-C5A4-4BF2-88C9-D91A2CC18D6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$0,09 7PARA 23/02/23
</t>
        </r>
      </text>
    </comment>
    <comment ref="B1311" authorId="0" shapeId="0" xr:uid="{3AB8C213-976D-4164-9E0E-24D3ED4457FB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$0,08 7PARA 21/03/23
$0,10 WURTH 22/03/23</t>
        </r>
      </text>
    </comment>
    <comment ref="B1313" authorId="1" shapeId="0" xr:uid="{F16DA519-0387-4FF5-87BF-75FAB6EABA3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$0,05 WURTH 23/01/23</t>
        </r>
      </text>
    </comment>
    <comment ref="B1314" authorId="0" shapeId="0" xr:uid="{6437FF11-F2B6-43E8-A49E-AC23DF68C3E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$0,11 7PARA 21/03/23
$0,13 WURTH 22/03/23</t>
        </r>
      </text>
    </comment>
    <comment ref="B1315" authorId="0" shapeId="0" xr:uid="{4338EAF1-BD00-4355-AFDB-99750625C67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$0,14 7PARA 23/02/23</t>
        </r>
      </text>
    </comment>
    <comment ref="B1317" authorId="1" shapeId="0" xr:uid="{1A223A3C-5A79-4BE1-B190-5563DC161A6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$0,19 7 PARAFUSOS 25/01/23
$0,15 7 PARAFUSOS 14/07/23</t>
        </r>
      </text>
    </comment>
    <comment ref="B1318" authorId="1" shapeId="0" xr:uid="{D650DAF5-F37C-4275-9C17-9D576367C5A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$0,33 7 PARAFUSOS 25/01/23
$0,24 WURTH 27/04/23
$0,25 7 PARAFUSOS 27/04/23
$0,22 WURTH 26/06/23
$0,22 MARCIO 27/06/23</t>
        </r>
      </text>
    </comment>
    <comment ref="B1320" authorId="0" shapeId="0" xr:uid="{44C63BC3-DD36-40C8-B3B1-0D22B187D13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$0,40 WURTH 26/06/23</t>
        </r>
      </text>
    </comment>
    <comment ref="B1321" authorId="0" shapeId="0" xr:uid="{3E0B90C0-6624-4F77-93C2-5C3658A8D46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$0,21 7 PARAFUSOS 27/04/23</t>
        </r>
      </text>
    </comment>
    <comment ref="B1323" authorId="1" shapeId="0" xr:uid="{9DA33D05-AED3-441B-ADB7-416F74CD114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$0,29 WURTH 23/01/23
$0,34 7 PARAFUSOS 25/01/23
$0,30 WURTH 27/04/23
$0,27 7 PARAFUSOS 27/04/23</t>
        </r>
      </text>
    </comment>
    <comment ref="B1324" authorId="0" shapeId="0" xr:uid="{F96CBC02-7976-4963-A559-0291D95D25D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$0,35 7PARA 21/03/23
$0,44 WURTH 22/03/23</t>
        </r>
      </text>
    </comment>
    <comment ref="B1332" authorId="0" shapeId="0" xr:uid="{215814F7-C130-43DE-A27E-4EAEB5E177B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$0,50 7 PARAFUSOS 27/04/23</t>
        </r>
      </text>
    </comment>
    <comment ref="B1333" authorId="0" shapeId="0" xr:uid="{4BB01ED4-E616-4ED0-AF34-FED180A7E68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$0,52 7PARA 23/02/23</t>
        </r>
      </text>
    </comment>
    <comment ref="B1343" authorId="0" shapeId="0" xr:uid="{AC022557-D4CB-4564-8E2F-875F4E141A1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$0,84 7PARAFUSOS 21/03/23</t>
        </r>
      </text>
    </comment>
    <comment ref="B1344" authorId="1" shapeId="0" xr:uid="{39907E86-E6C3-4EEF-B691-357942CC6A1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$1,15 7 PARAFUSOS 25/01/23</t>
        </r>
      </text>
    </comment>
    <comment ref="B1352" authorId="1" shapeId="0" xr:uid="{CF3C80EC-27AF-41F8-AD7D-CF5911F2B9F3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$4,23 7 PARAFUSOS 25/01/23</t>
        </r>
      </text>
    </comment>
    <comment ref="B1353" authorId="1" shapeId="0" xr:uid="{084D93B6-20E9-4F66-885D-E1685CF1459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$2,79 7 PARAFUSOS 25/01/23</t>
        </r>
      </text>
    </comment>
    <comment ref="B1356" authorId="0" shapeId="0" xr:uid="{7A826B1B-71FC-4620-B76F-90BB4055E65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$0,53 7PARAFUSOS 13/06/23</t>
        </r>
      </text>
    </comment>
    <comment ref="B1359" authorId="0" shapeId="0" xr:uid="{E8FDD079-CB3E-4F5F-BAF9-F9C38497553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$8,97 7 PARAFUSOS 27/04/23</t>
        </r>
      </text>
    </comment>
    <comment ref="B1370" authorId="1" shapeId="0" xr:uid="{FD1C575B-9396-449B-A96C-A019FB74B9A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$1,29 7 PARAFUSOS 25/01/23</t>
        </r>
      </text>
    </comment>
    <comment ref="B1375" authorId="0" shapeId="0" xr:uid="{ABB9B4CA-7C94-4EE8-B656-FFC5D978A91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$0,65 7PARAFUSOS 13/06/23</t>
        </r>
      </text>
    </comment>
    <comment ref="B1376" authorId="1" shapeId="0" xr:uid="{5AA20422-2CEE-4176-A6F7-FB2378F890B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$0,53 WURTH 23/01/23</t>
        </r>
      </text>
    </comment>
    <comment ref="B1378" authorId="1" shapeId="0" xr:uid="{6A7323AA-1E36-4BE8-A514-3A869C305B1F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$0,68 WURTH 23/01/23</t>
        </r>
      </text>
    </comment>
    <comment ref="B1379" authorId="0" shapeId="0" xr:uid="{34698B3A-B885-48A5-BEF0-1D79BFAEEBD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$2,46 7PARA 23/02/23</t>
        </r>
      </text>
    </comment>
    <comment ref="B1381" authorId="0" shapeId="0" xr:uid="{6442E43A-7FAA-4B21-AE04-455250F5AD1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$0,67 DEVAIR REPRE 10/05/23</t>
        </r>
      </text>
    </comment>
    <comment ref="B1382" authorId="0" shapeId="0" xr:uid="{64D4D32D-1433-42C0-A363-B248BD7E4AC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$0,93 7 PARAFUSOS 12/06/23</t>
        </r>
      </text>
    </comment>
    <comment ref="B1394" authorId="0" shapeId="0" xr:uid="{588CF7B5-1A6D-4FE6-A685-1BF32D5EB57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$283,00 GILBERTO 03/05/23</t>
        </r>
      </text>
    </comment>
    <comment ref="B1395" authorId="0" shapeId="0" xr:uid="{2A833FD9-2087-43F9-8E94-59050E4ACEF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$319,00 GILBERTO 03/05/23</t>
        </r>
      </text>
    </comment>
    <comment ref="B1398" authorId="0" shapeId="0" xr:uid="{7F49F0FB-3019-4183-85CF-742F15BB6C0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$148,00 ISOMARMORE 05/05/23</t>
        </r>
      </text>
    </comment>
    <comment ref="B1403" authorId="0" shapeId="0" xr:uid="{7B1A3B60-F3CC-45E1-A36F-8E7D5B144B8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$2,11 ARCOM 11/05/23</t>
        </r>
      </text>
    </comment>
    <comment ref="B1404" authorId="0" shapeId="0" xr:uid="{9D497696-A96A-4594-8756-5986BDF8C7B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$2,20 PALMEIRENSE 18/04/23</t>
        </r>
      </text>
    </comment>
    <comment ref="B1406" authorId="1" shapeId="0" xr:uid="{987BDE73-2F22-413B-B4D9-C8A7BA1D135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Lucas Paz:
TAMBASA 20/12</t>
        </r>
      </text>
    </comment>
    <comment ref="B1411" authorId="0" shapeId="0" xr:uid="{1D001B39-FD73-42F3-9487-85F9B8638EB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$99,90 CONASID 26/01/23</t>
        </r>
      </text>
    </comment>
    <comment ref="B1412" authorId="0" shapeId="0" xr:uid="{7EC773A1-91C5-4441-8859-52677863298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$99,90 CONASID 26/01/23</t>
        </r>
      </text>
    </comment>
    <comment ref="B1414" authorId="0" shapeId="0" xr:uid="{8326EBCB-AD81-414B-9BFD-4429CE83FB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$175,91 LEAL 16/02/23</t>
        </r>
      </text>
    </comment>
    <comment ref="B1415" authorId="0" shapeId="0" xr:uid="{D0ED3BC3-9056-4674-83ED-DB52E7DA84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$94,90 PLASTILIT 23/03/23</t>
        </r>
      </text>
    </comment>
    <comment ref="B1416" authorId="0" shapeId="0" xr:uid="{FEA42290-0BDC-4A8B-AE5B-7A23A214ED6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$104,9 PLASTILIT 23/03/23</t>
        </r>
      </text>
    </comment>
    <comment ref="B1417" authorId="1" shapeId="0" xr:uid="{45E5FC0E-FB16-4DB8-B4BF-3E516AD22C7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$60,99 LEAL 13/01/23
$56,31 LEAL 16/02/23</t>
        </r>
      </text>
    </comment>
    <comment ref="B1418" authorId="0" shapeId="0" xr:uid="{3E6AF632-AB4C-47F4-BC83-3A80C49BF4C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$167,11 LEAL 03/03/23</t>
        </r>
      </text>
    </comment>
    <comment ref="B1420" authorId="1" shapeId="0" xr:uid="{6768D051-CA7C-46DE-ABF0-D9E472EF62DF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$47,90 LEAL 29/12</t>
        </r>
      </text>
    </comment>
    <comment ref="B1423" authorId="0" shapeId="0" xr:uid="{8474435F-AF40-4A68-9313-F331641B458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$15,96 PIETROBON 08/02
$15,40 LEAL 16/02/23</t>
        </r>
      </text>
    </comment>
    <comment ref="B1426" authorId="0" shapeId="0" xr:uid="{279387B2-B767-46A6-8232-7F62BB80B16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$65,03 LEAL 16/02/23</t>
        </r>
      </text>
    </comment>
    <comment ref="B1428" authorId="0" shapeId="0" xr:uid="{193363BF-9C80-472C-9307-102CD9585E3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$70,31 LEAL 16/02/23</t>
        </r>
      </text>
    </comment>
    <comment ref="B1429" authorId="0" shapeId="0" xr:uid="{ECC3A417-9110-4D4F-BB20-B66E4A2D20D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$24,99 LEAL 15/06/23</t>
        </r>
      </text>
    </comment>
    <comment ref="B1430" authorId="0" shapeId="0" xr:uid="{A846AC2E-1C79-448D-918E-3BA574E5880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$8,50 MARCIO 20/06/23</t>
        </r>
      </text>
    </comment>
    <comment ref="B1431" authorId="1" shapeId="0" xr:uid="{AFA34B7B-3BA1-48F5-BBC9-19E0B95AC7E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$0,12 7 PARAFUSOS 25/10/23</t>
        </r>
      </text>
    </comment>
    <comment ref="B1432" authorId="0" shapeId="0" xr:uid="{E0198D03-85DC-4EA8-850D-3B705D91CB0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$2,02 7 PARAFUSOS 27/04/23</t>
        </r>
      </text>
    </comment>
    <comment ref="B1435" authorId="0" shapeId="0" xr:uid="{6270B1E0-DBC3-4E6C-8802-FA52ED39833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$0,15 7 PARAFUSOS 27/04/23</t>
        </r>
      </text>
    </comment>
    <comment ref="B1437" authorId="0" shapeId="0" xr:uid="{CBC4BB09-9D40-4BD8-897B-FF0E1BF5B2E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$1601,62 LUCASA 27/01/23</t>
        </r>
      </text>
    </comment>
    <comment ref="B1438" authorId="0" shapeId="0" xr:uid="{0A58F8C2-35D6-4D3E-B37A-D79A7F91C5D5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$4,65 2 IRMAOS 30/01/23
$3,88 2IRMAOS 21/06/23</t>
        </r>
      </text>
    </comment>
    <comment ref="B1439" authorId="0" shapeId="0" xr:uid="{B63603C2-57FA-49A3-B6A1-54F365536F2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$113,56 BSFER 28/04/23</t>
        </r>
      </text>
    </comment>
    <comment ref="B1445" authorId="1" shapeId="0" xr:uid="{20FE80DE-94D5-42E1-B343-2D77EA8D341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$11,30 MARCIO 24/01/23</t>
        </r>
      </text>
    </comment>
    <comment ref="B1446" authorId="0" shapeId="0" xr:uid="{881A821C-7966-4E48-ADEA-3F2D0D176C7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$145,61 BSFER 38/04/23</t>
        </r>
      </text>
    </comment>
    <comment ref="B1447" authorId="0" shapeId="0" xr:uid="{0EE10966-B023-48E3-9C3E-4EB9BE00718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$252,00 BSFER 28/04/23</t>
        </r>
      </text>
    </comment>
    <comment ref="B1449" authorId="0" shapeId="0" xr:uid="{95D2416C-DDD8-4D89-B850-B5A3120A9D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$75,00 IPLASTIC 18/04/23</t>
        </r>
      </text>
    </comment>
    <comment ref="B1452" authorId="0" shapeId="0" xr:uid="{70B52B77-62EB-411E-ACDC-DB89EDC0260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$12,86 FELIFER 27/03/23</t>
        </r>
      </text>
    </comment>
    <comment ref="B1453" authorId="0" shapeId="0" xr:uid="{D98F815D-64FD-4E24-9DA7-6B8E67F90B2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$11,18 FELIFER 27/03/23</t>
        </r>
      </text>
    </comment>
    <comment ref="B1456" authorId="0" shapeId="0" xr:uid="{7FAA12CF-66AF-41CC-8290-AF58D1303A9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$11,18 FELIFER 27/03/23</t>
        </r>
      </text>
    </comment>
    <comment ref="B1458" authorId="0" shapeId="0" xr:uid="{FD463780-8F9F-4C36-A202-D1FEABA6A63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$9,29 FELIFER 26/06/23</t>
        </r>
      </text>
    </comment>
    <comment ref="B1459" authorId="0" shapeId="0" xr:uid="{BE680607-47E1-4D88-BFC7-2B915EA3A71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$9,30 FELIFER 27/03/23</t>
        </r>
      </text>
    </comment>
    <comment ref="B1465" authorId="0" shapeId="0" xr:uid="{54C9200F-8518-4FDE-95A6-DAE9947B5C4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$9,29 FELIFER 27/03/23</t>
        </r>
      </text>
    </comment>
    <comment ref="B1469" authorId="1" shapeId="0" xr:uid="{75D8CF48-23DE-4FCC-9D3B-85D6DBA3441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1470" authorId="1" shapeId="0" xr:uid="{44CC62D3-AFDF-40CE-A43C-11CDB0095F63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TAMBASA 20/12</t>
        </r>
      </text>
    </comment>
    <comment ref="B1474" authorId="1" shapeId="0" xr:uid="{1FB3F616-B04F-4493-AC2E-51C1EEDC312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$27,50 FOX 05/01/23</t>
        </r>
      </text>
    </comment>
    <comment ref="B1475" authorId="1" shapeId="0" xr:uid="{1C82DA36-5C96-48E0-A929-A2D87F9AE75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05/01 FOX $25,50
$23,50 FOX 12/04/23</t>
        </r>
      </text>
    </comment>
    <comment ref="B1476" authorId="0" shapeId="0" xr:uid="{BBE213EF-38FD-43DE-8807-7ECA2F8A5AA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$21,50 FOX 12/04/23</t>
        </r>
      </text>
    </comment>
    <comment ref="B1484" authorId="0" shapeId="0" xr:uid="{C0285A8A-932E-4963-AC3D-024FBB33F0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$12,00 PALMEIRENSE 03/03/23</t>
        </r>
      </text>
    </comment>
    <comment ref="B1492" authorId="1" shapeId="0" xr:uid="{FBD6DC24-C663-4F5B-BFF4-D4A8D68B36A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FUZIL 28/12</t>
        </r>
      </text>
    </comment>
    <comment ref="B1493" authorId="0" shapeId="0" xr:uid="{67F9F615-84D8-4D7E-9A19-BFE921EA2EA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$14,54 KRONOS 13/04/23</t>
        </r>
      </text>
    </comment>
    <comment ref="B1496" authorId="0" shapeId="0" xr:uid="{764D4388-0B30-4230-ADEC-B901B7514FD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$21,53 FUZIL 01/02/23</t>
        </r>
      </text>
    </comment>
    <comment ref="B1497" authorId="0" shapeId="0" xr:uid="{105C2D4D-6084-4D59-891B-B83A7BD8CBE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$13,50 PALMEIRENSE 30/01/23</t>
        </r>
      </text>
    </comment>
    <comment ref="B1501" authorId="0" shapeId="0" xr:uid="{FB23BA96-3C7E-456F-9ECE-09210EC903B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$6,99 FOX 20/03/23</t>
        </r>
      </text>
    </comment>
    <comment ref="B1502" authorId="1" shapeId="0" xr:uid="{83F3FCA2-BC9A-428D-80A7-AA8545C7DCA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$36,99 LEAL 20/01/23
$32,99 LEAL 23/06/23</t>
        </r>
      </text>
    </comment>
    <comment ref="B1503" authorId="1" shapeId="0" xr:uid="{C18B92A9-8F42-4DBA-BB22-0D12334C087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$7,99 LEAL 20/01/23
$7,90 LEAL 23/06/23</t>
        </r>
      </text>
    </comment>
    <comment ref="B1504" authorId="0" shapeId="0" xr:uid="{24CCA64E-EF48-41F4-A4AD-A832EFC8E81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$95,90 LEAL 23/06/23</t>
        </r>
      </text>
    </comment>
    <comment ref="B1505" authorId="0" shapeId="0" xr:uid="{F35A87E5-67C4-4A90-8436-0D7B01DDBD4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$12,90 PALMEIRENSE 30/01/23</t>
        </r>
      </text>
    </comment>
    <comment ref="B1507" authorId="0" shapeId="0" xr:uid="{B16222AA-CF13-495B-8922-95D0D54FF6D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$18,00 WARLEI 31/03/23</t>
        </r>
      </text>
    </comment>
    <comment ref="B1509" authorId="0" shapeId="0" xr:uid="{3A3ABC43-B288-4E31-816C-18F0C292CA3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$24,94 FUZIL 01/02/23</t>
        </r>
      </text>
    </comment>
    <comment ref="B1512" authorId="0" shapeId="0" xr:uid="{6051B941-C742-4C0E-A9A8-EA603576572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$19,76 DUTRA 19/05/23</t>
        </r>
      </text>
    </comment>
    <comment ref="B1520" authorId="0" shapeId="0" xr:uid="{8F8C4FE5-3C73-4548-960E-3C38151C4B7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$55,32 FALCAO 04/05/23 (KG)</t>
        </r>
      </text>
    </comment>
    <comment ref="B1522" authorId="1" shapeId="0" xr:uid="{47310371-6009-41DF-AFE2-801A01118FDB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$99,90 LEAL 20/01/23
$102,80 LEAL 23/02/23
$89,90 LEAL 19/04/23
$79,90 LEAL 23/06/23</t>
        </r>
      </text>
    </comment>
    <comment ref="B1523" authorId="1" shapeId="0" xr:uid="{127FEF73-3E86-4320-BFB5-9A21207FAE1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$43,90 BRACELF 20/01/23
$36,17FALCAO 04/05/23
$29,88 BRACEÇF 06/05/23</t>
        </r>
      </text>
    </comment>
    <comment ref="B1524" authorId="0" shapeId="0" xr:uid="{655B725C-5869-449F-908E-43F744FFF11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$244,90 LEAL 06/04/23
$199,90 LEAL 06/04/23
$159,90 LEAL 23/06/23</t>
        </r>
      </text>
    </comment>
    <comment ref="B1525" authorId="0" shapeId="0" xr:uid="{27EB9E29-7F60-459E-86E5-50CB1905581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$29,90 LEAL 19/04/23</t>
        </r>
      </text>
    </comment>
    <comment ref="B1527" authorId="0" shapeId="0" xr:uid="{E127A166-DFA3-4939-8BBF-EEFBFF356A0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$36,99 LEAL 19/04/23</t>
        </r>
      </text>
    </comment>
    <comment ref="B1528" authorId="0" shapeId="0" xr:uid="{DE27DA3A-7888-4EBF-84BC-D32C1A129DF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$43,02 LEAL 23/02/23
$42,90 LEAL 19/04/23</t>
        </r>
      </text>
    </comment>
    <comment ref="B1531" authorId="0" shapeId="0" xr:uid="{A3EB244C-3269-4C3A-9C9C-8123AD845CB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$48,50 BRACELF 20/04/23</t>
        </r>
      </text>
    </comment>
    <comment ref="B1532" authorId="0" shapeId="0" xr:uid="{FB873EC9-72D0-43CC-A0F0-1DCA266D276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$105,00 FOX 20/03/23</t>
        </r>
      </text>
    </comment>
    <comment ref="B1534" authorId="0" shapeId="0" xr:uid="{61E3FD2B-9231-436A-8917-F950547758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$27,90 LEAL 30/06/23</t>
        </r>
      </text>
    </comment>
    <comment ref="B1535" authorId="0" shapeId="0" xr:uid="{48C446BC-6668-4670-9B1E-162D8228C6B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$14,99 LEAL 14/04/23</t>
        </r>
      </text>
    </comment>
    <comment ref="B1537" authorId="0" shapeId="0" xr:uid="{FA728E37-5B68-4EEF-8751-CD66361714B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$74,50 MARCIO 27/02/23
$68,00 MARCIO 20/06/23</t>
        </r>
      </text>
    </comment>
    <comment ref="B1539" authorId="1" shapeId="0" xr:uid="{47B1A59F-A465-475E-A5E3-82CBEACF16F6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$22,30 MARCIO 24/01/23</t>
        </r>
      </text>
    </comment>
    <comment ref="B1540" authorId="0" shapeId="0" xr:uid="{FC28F942-81FD-40D4-9A3A-2EDBBD9F035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$23,50 MARCIO 16/03/23</t>
        </r>
      </text>
    </comment>
    <comment ref="B1541" authorId="0" shapeId="0" xr:uid="{B3C99677-AD1B-4EAC-B93F-3E58A2AABE7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$22,00 MARCIO 16/03/23</t>
        </r>
      </text>
    </comment>
    <comment ref="B1542" authorId="1" shapeId="0" xr:uid="{72445D22-763B-4888-B64A-5AC7FEEA711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$7,90 MARCIO 24/01/23
$6,15 PLASTILIT 30/05/23</t>
        </r>
      </text>
    </comment>
    <comment ref="B1543" authorId="0" shapeId="0" xr:uid="{871720D2-B5B1-4315-8CA7-4BE91BEB228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$48,00 MARCIO 27/02/23
$53,00 MARCIO 17/04/23</t>
        </r>
      </text>
    </comment>
    <comment ref="B1544" authorId="1" shapeId="0" xr:uid="{305F1BEC-EADB-458C-B705-34FC6E985BA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$17,90 MARCIO 24/01/23</t>
        </r>
      </text>
    </comment>
    <comment ref="B1545" authorId="0" shapeId="0" xr:uid="{FBD46CDD-67F3-4666-A805-9C8C428AEF7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$10,30 MARCIO 20/06/23</t>
        </r>
      </text>
    </comment>
    <comment ref="B1546" authorId="1" shapeId="0" xr:uid="{60AA1F12-86AA-41EE-AC75-F0D03F1A904D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$10,70 MARCIO 24/01/23
$9,80 PIETROBON 15/05/23</t>
        </r>
      </text>
    </comment>
    <comment ref="B1547" authorId="0" shapeId="0" xr:uid="{30F8B4F3-7466-4656-872B-FB547F55FEB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$25,17 2 IRMAOS 30/01/23
$22,37 CONASID 18/07/23</t>
        </r>
      </text>
    </comment>
    <comment ref="B1550" authorId="0" shapeId="0" xr:uid="{3DF098CF-2CC0-409D-B519-63B9DC6A505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$3,30 VOCICAL 20/06/23
$2,89 VOTORANTIM 12/07/23</t>
        </r>
      </text>
    </comment>
    <comment ref="B1551" authorId="0" shapeId="0" xr:uid="{B005906E-C4FA-4E02-B9CD-E21F4A2A53C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$24,80 BRACELF 05/04/23</t>
        </r>
      </text>
    </comment>
    <comment ref="B1560" authorId="0" shapeId="0" xr:uid="{74F659AC-2538-4D62-A58C-1D60279F5D9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$22,00 WARLEI 31/03/23</t>
        </r>
      </text>
    </comment>
    <comment ref="B1561" authorId="0" shapeId="0" xr:uid="{85A3364C-B35D-4D83-8DBC-8F2C1A5A857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$89,00 WARLEI/MIX 04/02/23</t>
        </r>
      </text>
    </comment>
    <comment ref="B1562" authorId="0" shapeId="0" xr:uid="{66246D3C-8601-436D-B521-35E7E8FCE8B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$62,35 ASTRA 13/02/23</t>
        </r>
      </text>
    </comment>
    <comment ref="B1563" authorId="0" shapeId="0" xr:uid="{73FB463B-CE8B-4C3C-938E-5BD11055846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$17,00 WARLEI 27/05/23</t>
        </r>
      </text>
    </comment>
    <comment ref="B1564" authorId="0" shapeId="0" xr:uid="{8CF0D0F2-D059-4828-8B17-A081F5A6730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$10,60 WARLEI 31/03/23</t>
        </r>
      </text>
    </comment>
    <comment ref="B1567" authorId="0" shapeId="0" xr:uid="{9A1FAED0-017D-491D-8969-6FF1C5C3CD3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$39,90 WARLEI 27/05/23</t>
        </r>
      </text>
    </comment>
    <comment ref="B1568" authorId="0" shapeId="0" xr:uid="{40EA506F-7561-4C25-A931-ED5E4125E63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$45,20 WARLEI 04/02/23
$51,00 WARLEI 27/05/23</t>
        </r>
      </text>
    </comment>
    <comment ref="B1569" authorId="0" shapeId="0" xr:uid="{DF3FDF00-A401-4A42-8CB6-76D6097025D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$39,00 WARLEI 27/05/23</t>
        </r>
      </text>
    </comment>
    <comment ref="B1570" authorId="0" shapeId="0" xr:uid="{A7B22673-B421-4A5D-8067-AA3779E8AC5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$61,00 WARLEI 04/02/23
$70,00 WARLEI 27/05/23</t>
        </r>
      </text>
    </comment>
    <comment ref="B1578" authorId="0" shapeId="0" xr:uid="{6049C65D-CA1A-4696-BAC3-A1F37091BBC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$35,20 WARLEI 04/02/23</t>
        </r>
      </text>
    </comment>
    <comment ref="B1580" authorId="0" shapeId="0" xr:uid="{B4103F46-4D93-4E7E-9912-78A569979DE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$39,80 WARLEI 31/03/23</t>
        </r>
      </text>
    </comment>
    <comment ref="B1581" authorId="0" shapeId="0" xr:uid="{6C1DB5D0-ACE9-4C9E-9FB4-95762B14D7E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$40,20 WARLEI 31/03/23</t>
        </r>
      </text>
    </comment>
    <comment ref="B1590" authorId="0" shapeId="0" xr:uid="{4D3F892B-972A-4E80-9985-E0E751F2055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$22,60 LEAL 15/06/23</t>
        </r>
      </text>
    </comment>
    <comment ref="B1592" authorId="0" shapeId="0" xr:uid="{3EB07668-8446-4DCB-AB8F-781176A5796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$9,53 MAURICIO 12/04/23</t>
        </r>
      </text>
    </comment>
    <comment ref="B1593" authorId="0" shapeId="0" xr:uid="{F384079D-FB70-4C78-B819-635DAC3AB9D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$8,83 MORVILLO 14/03/23</t>
        </r>
      </text>
    </comment>
    <comment ref="B1594" authorId="0" shapeId="0" xr:uid="{88F79480-032A-483A-B238-47105DA5C4E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$15,75 PALMEIRENSE 02/06/23</t>
        </r>
      </text>
    </comment>
    <comment ref="B1596" authorId="0" shapeId="0" xr:uid="{FC67027B-8B20-42AB-822A-5D099CAAF086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$10,51 2 IRMAOS 30/01/23</t>
        </r>
      </text>
    </comment>
    <comment ref="B1597" authorId="0" shapeId="0" xr:uid="{0E9ACCAB-162E-40CE-8CF9-8A000D23AD84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$14,59 2 IRMAOS 30/01/23</t>
        </r>
      </text>
    </comment>
    <comment ref="B1599" authorId="0" shapeId="0" xr:uid="{B3544E29-F3AE-4A9C-9A19-D101FF03B2D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$0,53 BRACELF 03/03/23
$0,59 WARLEI 31/03/23
$0,47 PIETROBON 05/04/23</t>
        </r>
      </text>
    </comment>
    <comment ref="B1600" authorId="0" shapeId="0" xr:uid="{F08705AE-5D89-4FC2-8CE8-F278AB7DCBD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$0,68 PIETROBON 08/02/23</t>
        </r>
      </text>
    </comment>
    <comment ref="B1603" authorId="0" shapeId="0" xr:uid="{72EAF454-A2DC-4BA4-BDD5-F6CB88CE215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$499,02 ROMERO 09/05/23</t>
        </r>
      </text>
    </comment>
    <comment ref="B1604" authorId="0" shapeId="0" xr:uid="{63FEC77C-F62B-4F6A-94CB-6459C611111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$398,70 ROMERO 09/05/23</t>
        </r>
      </text>
    </comment>
    <comment ref="B1605" authorId="0" shapeId="0" xr:uid="{EFA11660-3F0E-4A3B-A547-FF546EA5B4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$461,42 ROMERO 09/05/23</t>
        </r>
      </text>
    </comment>
    <comment ref="B1607" authorId="0" shapeId="0" xr:uid="{73CA7AFF-8B09-4A6F-8EAD-4A3929EC37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$3,69 WURTH 22/03/23</t>
        </r>
      </text>
    </comment>
    <comment ref="B1609" authorId="0" shapeId="0" xr:uid="{ECE9D034-C4DA-49E8-A26C-F99268B0EC7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$9,00 MACEDONIA 13/04/23</t>
        </r>
      </text>
    </comment>
    <comment ref="B1610" authorId="0" shapeId="0" xr:uid="{223B8A98-39E6-4E8E-BCA2-C084BD133F6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$10,90 12/04/23 MAURICIO</t>
        </r>
      </text>
    </comment>
    <comment ref="B1614" authorId="0" shapeId="0" xr:uid="{3AC9725A-E29A-41FB-8E92-C19FADB6D2C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$39,75 BRACEÇF 06/05/23</t>
        </r>
      </text>
    </comment>
    <comment ref="B1615" authorId="0" shapeId="0" xr:uid="{3215FA4F-5F7B-4A32-B5CF-B2D42412E58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$32,50 BRACEÇF 06/05/23</t>
        </r>
      </text>
    </comment>
    <comment ref="B1618" authorId="0" shapeId="0" xr:uid="{31E10F67-E5C9-4E66-A403-43842E7B6F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$8,44 TAMBASA 07/03/23
$8,35 TAMBASA 11/04/23
$8,29 TAMBASA 18/07/23</t>
        </r>
      </text>
    </comment>
    <comment ref="B1619" authorId="0" shapeId="0" xr:uid="{70174BEF-8675-4629-8B6C-EF5ABCACB02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$8,75 TAMBASA 18/07/23</t>
        </r>
      </text>
    </comment>
    <comment ref="B1620" authorId="0" shapeId="0" xr:uid="{16A422CD-F988-47AF-AD6B-61BA40FDF24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$23,00 LUIZ 08/03/23</t>
        </r>
      </text>
    </comment>
    <comment ref="B1621" authorId="0" shapeId="0" xr:uid="{750C64A8-9FE0-4A05-B282-B7E0F24305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$49,99 CONASID 15/06/23</t>
        </r>
      </text>
    </comment>
    <comment ref="B1626" authorId="0" shapeId="0" xr:uid="{034BFE6E-4223-474B-95C5-967FDC99B76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$6,13 WURTH 02/02/23
$4,75 FOX 12/06/23</t>
        </r>
      </text>
    </comment>
    <comment ref="B1628" authorId="0" shapeId="0" xr:uid="{AECBCD63-4770-4D92-A395-4AC5DD66EE4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$8,15 WURTH 26/023</t>
        </r>
      </text>
    </comment>
    <comment ref="B1629" authorId="0" shapeId="0" xr:uid="{8D52985B-8129-4E77-A8EC-FAB6632B274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$25,00 GILBERTO 03/05/23</t>
        </r>
      </text>
    </comment>
    <comment ref="B1630" authorId="0" shapeId="0" xr:uid="{8E96E98A-C5A1-4890-A595-F9D99A9D21D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$25,00 GILBERTO 03/05/23</t>
        </r>
      </text>
    </comment>
    <comment ref="B1635" authorId="1" shapeId="0" xr:uid="{F2C36A53-0312-4AF5-ABE0-B435C869390F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$3,97 BRACELF 20/01/23
$4,99 LEAL 25/05/23
$5,28 BRACELF 23/06/23</t>
        </r>
      </text>
    </comment>
    <comment ref="B1636" authorId="0" shapeId="0" xr:uid="{293D49EF-06F3-4F41-9AA5-8C1F9227D2B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$6,84 BRACELF 23/06/23</t>
        </r>
      </text>
    </comment>
    <comment ref="B1637" authorId="1" shapeId="0" xr:uid="{A074B62B-5BE4-4368-A20A-9EB3F73281B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$7,25 BRACELF 20/01/23</t>
        </r>
      </text>
    </comment>
    <comment ref="B1638" authorId="1" shapeId="0" xr:uid="{6B8890DD-EFC3-42A8-A912-48A4ED6C2AE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$6,85 BRANCO BRACELF 20/01/23
$6,29 PRETO BRACELF 20/01/23</t>
        </r>
      </text>
    </comment>
    <comment ref="B1639" authorId="0" shapeId="0" xr:uid="{374968BA-E57A-44A1-8685-A799D6D724F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$56,99 LEAL 28/04/23</t>
        </r>
      </text>
    </comment>
    <comment ref="B1640" authorId="1" shapeId="0" xr:uid="{154932BE-8AFE-48B5-B8DB-7D19B9670FA4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FUZIL 28/12</t>
        </r>
      </text>
    </comment>
    <comment ref="B1642" authorId="0" shapeId="0" xr:uid="{8DCD4A32-C767-43FE-A131-2E22C7E1930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$58,50 BLACK DECKER 07/06/23</t>
        </r>
      </text>
    </comment>
    <comment ref="B1645" authorId="0" shapeId="0" xr:uid="{017001F5-4090-4488-9A81-1FE1A427B4D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$183,13 STANLEY 05/05/23</t>
        </r>
      </text>
    </comment>
    <comment ref="B1646" authorId="0" shapeId="0" xr:uid="{DECF905B-CD1D-472F-94A6-4BB2E6F850E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$224,59 STANLEY 05/05/23</t>
        </r>
      </text>
    </comment>
    <comment ref="B1647" authorId="0" shapeId="0" xr:uid="{2B45B9D8-2A6E-4573-BFF9-CBF5457648C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$264,84 STANLEY 05/05/23</t>
        </r>
      </text>
    </comment>
    <comment ref="B1649" authorId="0" shapeId="0" xr:uid="{C6D41980-12D4-4350-8B6A-0E93CF8D0C6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$2,52 TAMBASA 11/04/23</t>
        </r>
      </text>
    </comment>
    <comment ref="B1650" authorId="0" shapeId="0" xr:uid="{25FAD181-FCC8-4C78-88A3-1695F277342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$18,49 DUTRA 19/05/23</t>
        </r>
      </text>
    </comment>
    <comment ref="B1651" authorId="0" shapeId="0" xr:uid="{CC210C78-9E18-40DE-8D79-55F9DFC94B3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$38,90 LEAL 15/06/23</t>
        </r>
      </text>
    </comment>
    <comment ref="B1654" authorId="0" shapeId="0" xr:uid="{E6C41559-AAC7-479B-A3B5-0F2D86DDBFC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$13,00 DEVAIR 23/06/23</t>
        </r>
      </text>
    </comment>
    <comment ref="B1657" authorId="0" shapeId="0" xr:uid="{80BD0DF8-8A0A-4F58-ACE3-24ABC1F4134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$52,20 2 IRMAOS 30/01/23</t>
        </r>
      </text>
    </comment>
    <comment ref="B1658" authorId="0" shapeId="0" xr:uid="{13750F22-DB1F-4C4D-9FDB-56287CCCCFA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$55,14 2 IRMAOS 30/01/23</t>
        </r>
      </text>
    </comment>
    <comment ref="B1662" authorId="0" shapeId="0" xr:uid="{165C2B1C-9649-4368-A9B0-9F86DF8D784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$4,25 WARLEI 04/02/23</t>
        </r>
      </text>
    </comment>
    <comment ref="B1666" authorId="0" shapeId="0" xr:uid="{D57FA285-5063-4474-8C86-4F85092854A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$59,16 2 IRMAOS 30/01/23</t>
        </r>
      </text>
    </comment>
    <comment ref="B1673" authorId="0" shapeId="0" xr:uid="{341E0F25-046A-440F-9502-68C7F1C9AF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$212,00 ISOMARMORE 05/05/23</t>
        </r>
      </text>
    </comment>
    <comment ref="B1675" authorId="0" shapeId="0" xr:uid="{E0DCC33E-5A77-4708-9876-127E1530C92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$144,00 ISOMARMORE 05/05/23</t>
        </r>
      </text>
    </comment>
    <comment ref="B1678" authorId="0" shapeId="0" xr:uid="{0A9F9D0E-4D55-440C-86E5-38902E14AFA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$7,99 BUIGANGA 16/05/23</t>
        </r>
      </text>
    </comment>
    <comment ref="B1682" authorId="0" shapeId="0" xr:uid="{C6924442-BF6D-4D01-8B9F-582A2E32F4A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$3,49 BUIGANGA 16/05/23</t>
        </r>
      </text>
    </comment>
    <comment ref="B1685" authorId="0" shapeId="0" xr:uid="{0687818F-1F6E-479C-B182-4CA1AB6857E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$5,35 TAMBASA 11/04/23</t>
        </r>
      </text>
    </comment>
    <comment ref="B1686" authorId="0" shapeId="0" xr:uid="{6E71D118-FBF0-41B3-B9FC-3273A0B67FA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$7,49 TAMBASA 11/04/23</t>
        </r>
      </text>
    </comment>
    <comment ref="B1688" authorId="0" shapeId="0" xr:uid="{BCC84648-B00E-462F-8095-0C55EF9723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$4,73 TAMBASA 11/04/23</t>
        </r>
      </text>
    </comment>
    <comment ref="B1693" authorId="0" shapeId="0" xr:uid="{6AF3EA05-F61E-4F22-AFF6-5DB552553ED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$19,98 BUGIGANGA 10/02/23</t>
        </r>
      </text>
    </comment>
    <comment ref="B1694" authorId="0" shapeId="0" xr:uid="{BC403DA3-B0A9-4DA8-9207-F4DBFD96EE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$49,98 BUGIGANGA 10/02/23</t>
        </r>
      </text>
    </comment>
    <comment ref="B1695" authorId="0" shapeId="0" xr:uid="{632056E4-308A-4278-ABF0-B933989A7C2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$94,99 BUGIGANGA 10/02/23</t>
        </r>
      </text>
    </comment>
    <comment ref="B1696" authorId="0" shapeId="0" xr:uid="{6675E77E-FE8A-484B-971A-F2EB60C6CBA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$101,30 TAMBASA 11/04/23
$83,70 DUTRA 03/05/23</t>
        </r>
      </text>
    </comment>
    <comment ref="B1698" authorId="0" shapeId="0" xr:uid="{E621AD63-C69B-453A-A39A-44B96B7666B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$68,53 DUTRA 03/05/23</t>
        </r>
      </text>
    </comment>
    <comment ref="B1699" authorId="1" shapeId="0" xr:uid="{07511903-4EF3-4787-9F91-CF04EA7650D3}">
      <text>
        <r>
          <rPr>
            <b/>
            <sz val="9"/>
            <color indexed="81"/>
            <rFont val="Segoe UI"/>
            <charset val="1"/>
          </rPr>
          <t>Lucas Paz</t>
        </r>
        <r>
          <rPr>
            <sz val="9"/>
            <color indexed="81"/>
            <rFont val="Segoe UI"/>
            <charset val="1"/>
          </rPr>
          <t xml:space="preserve">
$17,44 TAMBASA 07/03/23</t>
        </r>
      </text>
    </comment>
    <comment ref="B1700" authorId="0" shapeId="0" xr:uid="{4A76FD41-817B-4EE3-B5BA-FD481F518A4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$51,34 2IRMAOS 17/05/23</t>
        </r>
      </text>
    </comment>
    <comment ref="B1701" authorId="0" shapeId="0" xr:uid="{E5E5405C-BE84-4B65-ADD2-112F5C4E448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$12,20 MARCIO 20/06/23</t>
        </r>
      </text>
    </comment>
    <comment ref="B1711" authorId="1" shapeId="0" xr:uid="{60EAA151-7B62-435F-AEE1-0067B9C44F8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$7,50 ANTUNES 18/01/23
$9,30 WARLEI 27/05/23
$6,70 ANTUNES 30/05/23</t>
        </r>
      </text>
    </comment>
    <comment ref="B1712" authorId="1" shapeId="0" xr:uid="{2B749EC8-1546-4D88-82E0-FE60A607463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$10,60 ANTUNES 18/01/23</t>
        </r>
      </text>
    </comment>
    <comment ref="B1713" authorId="0" shapeId="0" xr:uid="{25C33CEE-AF80-4F08-AAE9-FA793C13863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$9,90 LEAL 10/03/23</t>
        </r>
      </text>
    </comment>
    <comment ref="B1714" authorId="0" shapeId="0" xr:uid="{8872AF79-19DD-462C-9B8B-0BC0718146D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$10,99 LEAL 10/03/23</t>
        </r>
      </text>
    </comment>
    <comment ref="B1715" authorId="0" shapeId="0" xr:uid="{F6D75866-7F41-48D6-94DA-4263EABB8A6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$13,25 LEAL 10/03/23</t>
        </r>
      </text>
    </comment>
    <comment ref="B1716" authorId="0" shapeId="0" xr:uid="{8991916D-B54B-43A7-AA38-9D35A3939B32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$15,80 MARCIO 17/04/23</t>
        </r>
      </text>
    </comment>
    <comment ref="B1717" authorId="0" shapeId="0" xr:uid="{F256EC79-10E8-47D9-A51F-B453428C17F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$16,80 MARCIO 15/05/23</t>
        </r>
      </text>
    </comment>
    <comment ref="B1718" authorId="0" shapeId="0" xr:uid="{9E5662C9-A519-432E-ACA4-E34A6EB0D82D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$25,00 ZEZINHO 28/06/23</t>
        </r>
      </text>
    </comment>
    <comment ref="B1723" authorId="0" shapeId="0" xr:uid="{EEA51608-27F3-48BB-B365-FDD2DA2B56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$17,60 MORVILLO 14/03/23</t>
        </r>
      </text>
    </comment>
    <comment ref="B1725" authorId="1" shapeId="0" xr:uid="{5B92837E-0161-4ABD-A632-DE73DDCB26A2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$35,46 NOROAÇO 11/01/23
$30,25 GERDAU 26/01/23
$32,90 FELIFER 15/06/23</t>
        </r>
      </text>
    </comment>
    <comment ref="B1726" authorId="0" shapeId="0" xr:uid="{F460ACCC-8A46-40AA-93F5-3C3D81C6C0C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$0,43 FALCAO 22/03/23
$0,49 BRACELF 23/06/23</t>
        </r>
      </text>
    </comment>
    <comment ref="B1729" authorId="0" shapeId="0" xr:uid="{B5042F6D-1E64-4DF4-85F8-9590A6B0D49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$26,032 IRMAOS 04/04/23
</t>
        </r>
      </text>
    </comment>
    <comment ref="B1730" authorId="0" shapeId="0" xr:uid="{59A5AA59-5264-4B37-8670-E49C4EDE2EA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$9,99 FOX 23/05/23</t>
        </r>
      </text>
    </comment>
    <comment ref="B1732" authorId="0" shapeId="0" xr:uid="{986FC496-FC72-4F27-B960-94F82D673C3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$10,50 LEAL 06/04/23</t>
        </r>
      </text>
    </comment>
    <comment ref="B1733" authorId="0" shapeId="0" xr:uid="{8D641979-987C-4263-BF2B-33570FCE3F0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$10,96 PIETROBON 12/07/23</t>
        </r>
      </text>
    </comment>
    <comment ref="B1734" authorId="0" shapeId="0" xr:uid="{1D142784-A242-4AC1-9BB7-691D3BEDD97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$13,72 PIETROBON 12/07/23</t>
        </r>
      </text>
    </comment>
    <comment ref="B1735" authorId="0" shapeId="0" xr:uid="{34A8F781-8BD5-44D2-9BDC-0BC4B864978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$17,68 PIETROBON 12/07/23</t>
        </r>
      </text>
    </comment>
    <comment ref="B1736" authorId="1" shapeId="0" xr:uid="{80B6D661-176A-466E-B547-C1692EF60D6A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$15,50 WARLEI 11/01/23</t>
        </r>
      </text>
    </comment>
    <comment ref="B1738" authorId="0" shapeId="0" xr:uid="{07FC2EE3-44C6-48B9-8873-3073CF3902F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$6,60 WARLEI 31/03/23</t>
        </r>
      </text>
    </comment>
    <comment ref="B1740" authorId="0" shapeId="0" xr:uid="{474EC654-368E-42FB-9A34-89A074CF4F6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$8,97 DUTRA 19/05/23</t>
        </r>
      </text>
    </comment>
    <comment ref="B1741" authorId="0" shapeId="0" xr:uid="{767AFE54-F9E0-439E-A878-9373B7B2249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$0,54 TAMBASA 04/05/23</t>
        </r>
      </text>
    </comment>
    <comment ref="B1742" authorId="0" shapeId="0" xr:uid="{E0A484D8-EAEA-4D8C-8413-F7890155244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$2,13 TAMBASA 04/05/23</t>
        </r>
      </text>
    </comment>
    <comment ref="B1743" authorId="0" shapeId="0" xr:uid="{934683B2-2CEB-4EA2-9604-A5A206662D5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$6,61 TAMBASA 04/05/23</t>
        </r>
      </text>
    </comment>
    <comment ref="B1744" authorId="0" shapeId="0" xr:uid="{B1BE8500-4543-4C05-8C8C-51977FDF56A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$289,90 PARATI/CONASID 02/03/23</t>
        </r>
      </text>
    </comment>
    <comment ref="B1745" authorId="0" shapeId="0" xr:uid="{EA7965F0-83C2-498F-8D75-76159F6687F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$269,50 CONASID 24/05/23</t>
        </r>
      </text>
    </comment>
    <comment ref="B1747" authorId="0" shapeId="0" xr:uid="{B5568750-713C-4021-A259-3C7CBA14994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$12,55 TAMBASA 04/05/23</t>
        </r>
      </text>
    </comment>
    <comment ref="B1748" authorId="0" shapeId="0" xr:uid="{BB9DACB4-686E-40B2-9519-EDEF5713C9E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$14,07 TAMBASA 04/05/23</t>
        </r>
      </text>
    </comment>
    <comment ref="B1751" authorId="0" shapeId="0" xr:uid="{CEA404BC-03A3-4144-A852-B048B415DFE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$27,90 FUZIL 12/04/23</t>
        </r>
      </text>
    </comment>
    <comment ref="B1755" authorId="0" shapeId="0" xr:uid="{4A67E204-4EDC-4F00-88FF-C487782949B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$84,30 CONASID 27/04/23</t>
        </r>
      </text>
    </comment>
    <comment ref="B1756" authorId="0" shapeId="0" xr:uid="{4151DFC0-9E33-4088-9285-CA860CDD41B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$28,45 CONASID 27/04/23</t>
        </r>
      </text>
    </comment>
    <comment ref="B1758" authorId="0" shapeId="0" xr:uid="{7B8BD405-AEEB-4B9E-BFA2-0A2995DF3F1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$14,09 CONASID 27/04/23</t>
        </r>
      </text>
    </comment>
    <comment ref="B1759" authorId="0" shapeId="0" xr:uid="{DBAE0B28-24BD-4748-AA54-6B693BE6EB3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$41,43 CONASID 15/06/23</t>
        </r>
      </text>
    </comment>
    <comment ref="B1761" authorId="0" shapeId="0" xr:uid="{C06ACEC4-0A28-4314-88EB-E1554F44F56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$36,69 CONASID 13/07/23</t>
        </r>
      </text>
    </comment>
    <comment ref="B1762" authorId="1" shapeId="0" xr:uid="{76E4B961-8433-4FEE-9BCC-55124E377A85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$7,77 BUGIGANGA 29/12
$7,02 CONASID 09/01
$6,41 TAMBASA 07/03/23
$2,22 TAMBASA DRYKOVEDA 28/06/23</t>
        </r>
      </text>
    </comment>
    <comment ref="B1764" authorId="0" shapeId="0" xr:uid="{64D138FD-374B-49EC-AEEB-67595C15B5B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$7,60 WARLEI 04/02/23
$8,20 WARLEI 27/05/23</t>
        </r>
      </text>
    </comment>
    <comment ref="B1765" authorId="0" shapeId="0" xr:uid="{B00ED4C0-712F-4EF6-ADEB-90893196018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$13,00 2 IRMAOS 30/01/23
$6,70 WARLEI 27/05/23</t>
        </r>
      </text>
    </comment>
    <comment ref="B1766" authorId="0" shapeId="0" xr:uid="{084D8EE5-99FB-4D0D-8EC2-F754A97A53D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$69,49 GERDAU 28/02/23</t>
        </r>
      </text>
    </comment>
    <comment ref="B1767" authorId="0" shapeId="0" xr:uid="{0263366A-7FEE-4BCB-A62F-D26E75FB2BD9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$20,50 FELIFER 24/04/23
$18,90 FELIFER 15/06/23</t>
        </r>
      </text>
    </comment>
    <comment ref="B1768" authorId="1" shapeId="0" xr:uid="{AE0B2A92-ACB4-49CD-BA43-BA8BE31DF9FE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$20,89 NOROAÇO 11/01/23</t>
        </r>
      </text>
    </comment>
    <comment ref="B1769" authorId="0" shapeId="0" xr:uid="{C02AEE60-DDD3-4994-BA28-E9C24187304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$43,90 FELIFER 15/06/23</t>
        </r>
      </text>
    </comment>
    <comment ref="B1771" authorId="1" shapeId="0" xr:uid="{16B0FAAB-A9B7-4724-82B8-C09B3B83040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$32,45 NOROAÇO 11/01/23
$28,61 GERDAU 28/02/23
$28,90 FELIFER 24/02/23</t>
        </r>
      </text>
    </comment>
    <comment ref="B1775" authorId="0" shapeId="0" xr:uid="{7343A4F5-BCDA-44F3-BAA0-09A8568570CD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26/02/23 $4,50 LEAL 16/02/23</t>
        </r>
      </text>
    </comment>
    <comment ref="B1776" authorId="0" shapeId="0" xr:uid="{07D8851E-5831-4827-AA11-105E40EAE71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$1,70 LEAL 16/02/23</t>
        </r>
      </text>
    </comment>
    <comment ref="B1780" authorId="0" shapeId="0" xr:uid="{119B5AC8-03F6-4CDE-911A-997E154003C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$4,50 LEAL 28/04/23</t>
        </r>
      </text>
    </comment>
    <comment ref="B1781" authorId="1" shapeId="0" xr:uid="{4F1186A9-4D9E-4E7B-8B3B-8BDCE672E05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$4,75 LEAL 29/12</t>
        </r>
      </text>
    </comment>
    <comment ref="B1782" authorId="0" shapeId="0" xr:uid="{0D1DF56D-BCF3-4188-924E-98FA1884FFA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$6,90 LEAL 30/06/23</t>
        </r>
      </text>
    </comment>
    <comment ref="B1783" authorId="0" shapeId="0" xr:uid="{D9C8C750-1A62-46AF-9663-F34A9699D421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$1,990 LEAL 26/01/23</t>
        </r>
      </text>
    </comment>
    <comment ref="B1784" authorId="1" shapeId="0" xr:uid="{02625888-61A8-4D8B-9DF0-54FC589EAED9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$ 2,95 LEAL 06/01/23
$3,40 LEAL 25/05/23</t>
        </r>
      </text>
    </comment>
    <comment ref="B1785" authorId="0" shapeId="0" xr:uid="{90204362-5AA6-43A4-B54C-58D72325845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$2,95 LEAL 16/02/23</t>
        </r>
      </text>
    </comment>
    <comment ref="B1790" authorId="0" shapeId="0" xr:uid="{A4F45294-A864-43AC-944E-C6CF1F6EC4A9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$2,04 WURTH 26/06/23</t>
        </r>
      </text>
    </comment>
    <comment ref="B1791" authorId="0" shapeId="0" xr:uid="{0FAFEDF4-6E92-43E5-95CE-60A4EA25527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$3,32 WURTH 27/04/23</t>
        </r>
      </text>
    </comment>
    <comment ref="B1793" authorId="0" shapeId="0" xr:uid="{7526F5AF-C042-408F-81CF-869EEF314EE7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$2,31 WURTH 26/06/23</t>
        </r>
      </text>
    </comment>
    <comment ref="B1794" authorId="0" shapeId="0" xr:uid="{6C199079-13CC-4312-9FFE-210D3C15B87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$1,31 WURTH 26/04/23</t>
        </r>
      </text>
    </comment>
    <comment ref="B1795" authorId="0" shapeId="0" xr:uid="{ABF1993C-C4E5-4324-A31A-9E583C7DDA8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$1,42 WURTH 26/04/23</t>
        </r>
      </text>
    </comment>
    <comment ref="B1796" authorId="1" shapeId="0" xr:uid="{EE96C87A-1F71-40DC-85A1-8B22FE0D6F08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$2,37 WURTH 23/01/23
$1,35 WURTH 22/03/23
$1,48 WURTH 26/04/23</t>
        </r>
      </text>
    </comment>
    <comment ref="B1797" authorId="0" shapeId="0" xr:uid="{476A1350-35C1-4FD8-870B-52275F33C016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$1,40 WURTH 22/03/23
$1,51 WURTH 26/04/23</t>
        </r>
      </text>
    </comment>
    <comment ref="B1798" authorId="0" shapeId="0" xr:uid="{B71704CA-6A99-44A9-9998-0ED68BACD3F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$1,97 WURTH 26/04/23</t>
        </r>
      </text>
    </comment>
    <comment ref="B1799" authorId="0" shapeId="0" xr:uid="{2CB54F34-EBA0-4AC4-BD4C-E68906800DFB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$2,01 WURTH 22/03/23
</t>
        </r>
      </text>
    </comment>
    <comment ref="B1800" authorId="0" shapeId="0" xr:uid="{582BE048-C5D9-4166-B74F-38A95296DEA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$2,14 WURTH 26/04/23</t>
        </r>
      </text>
    </comment>
    <comment ref="B1801" authorId="0" shapeId="0" xr:uid="{52ADBF03-F9D1-4FFD-86D6-C313469334BE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$2,23 WURTH 26/04/23</t>
        </r>
      </text>
    </comment>
    <comment ref="B1802" authorId="0" shapeId="0" xr:uid="{4654C951-14BA-489B-8662-85D0C35A0380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$2,58 WURTH 26/04/23</t>
        </r>
      </text>
    </comment>
    <comment ref="B1804" authorId="0" shapeId="0" xr:uid="{BD0CACB7-4E95-4B20-A64E-CAEE2AE2706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$1,19 WURTH 26/06/23</t>
        </r>
      </text>
    </comment>
    <comment ref="B1806" authorId="0" shapeId="0" xr:uid="{219E6589-735E-4110-AE37-0D82E946244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$3,61 WURTH 26/04/23</t>
        </r>
      </text>
    </comment>
    <comment ref="B1807" authorId="0" shapeId="0" xr:uid="{10A69CBF-7EE2-4422-90B3-90144B5F9C4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$10,08 WURTH 22/03/23</t>
        </r>
      </text>
    </comment>
    <comment ref="B1810" authorId="0" shapeId="0" xr:uid="{7CC6BDC0-02EC-486B-8CDD-347CBE2B0F3C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$0,98 WURTH 27/04/23</t>
        </r>
      </text>
    </comment>
    <comment ref="B1814" authorId="0" shapeId="0" xr:uid="{50891BB0-280C-4F24-8DB9-C14BD7493B5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$15,51 WURTH 24/05/23
$14,73 WURTH 26/023</t>
        </r>
      </text>
    </comment>
    <comment ref="B1818" authorId="0" shapeId="0" xr:uid="{E2835EB0-8A9D-42D3-9437-4BB80EB1189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$18,85 WURTH 24/05/23</t>
        </r>
      </text>
    </comment>
    <comment ref="B1820" authorId="0" shapeId="0" xr:uid="{63482559-08A9-4DEB-9DD2-5351231A3AED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$3,70 WURTH 24/05/23</t>
        </r>
      </text>
    </comment>
    <comment ref="B1828" authorId="0" shapeId="0" xr:uid="{176E449C-F611-482E-9B30-E83FE97C5BF1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$9,12 WURTH 22/03/23</t>
        </r>
      </text>
    </comment>
    <comment ref="B1831" authorId="0" shapeId="0" xr:uid="{C23A63F8-6D17-4E60-863C-EF547B8E652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$10,19 WURTH 22/03/23</t>
        </r>
      </text>
    </comment>
    <comment ref="B1834" authorId="0" shapeId="0" xr:uid="{E9F83C05-3FFF-4F05-9BCB-18E5B69B6417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$10,90 WURTH 22/03/23</t>
        </r>
      </text>
    </comment>
    <comment ref="B1837" authorId="1" shapeId="0" xr:uid="{C98ED52E-CAED-4716-B9FB-60CB3F38528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$6,90 WURTH 23/01/23</t>
        </r>
      </text>
    </comment>
    <comment ref="B1838" authorId="0" shapeId="0" xr:uid="{1FBD1479-DA89-466C-BDA7-59DFF7A2F0B3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$7,31 WURTH 26/06/23</t>
        </r>
      </text>
    </comment>
    <comment ref="B1840" authorId="0" shapeId="0" xr:uid="{0CEDFDD3-9769-4345-9F98-02F9DD625BE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$17,41 WURTH 26/04/23</t>
        </r>
      </text>
    </comment>
    <comment ref="B1841" authorId="1" shapeId="0" xr:uid="{803640B2-090A-4A31-8BE7-06B1B57F0AC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$18,39 WURTH 23/01/23</t>
        </r>
      </text>
    </comment>
    <comment ref="B1842" authorId="1" shapeId="0" xr:uid="{6E19D6F1-6E27-4339-B8C9-23578C9E61A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$20,63 WURTH 23/01/23</t>
        </r>
      </text>
    </comment>
    <comment ref="B1852" authorId="0" shapeId="0" xr:uid="{02C73BEE-7E3E-46B2-8E80-ED2CBD7E8922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$8,45 WURTH 26/06/23</t>
        </r>
      </text>
    </comment>
    <comment ref="B1854" authorId="1" shapeId="0" xr:uid="{BE45674A-4511-4E81-9F5B-EBEFE6DCEE9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WURTH 22/12</t>
        </r>
      </text>
    </comment>
    <comment ref="B1855" authorId="0" shapeId="0" xr:uid="{33919C30-BA7E-4A5C-963C-4D7EF50399FA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$33,72 WURTH 22/03/23</t>
        </r>
      </text>
    </comment>
    <comment ref="B1856" authorId="0" shapeId="0" xr:uid="{1E60C840-0531-4FBD-A540-4B4945FF9ADF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$22,17 WURTH 24/05/23</t>
        </r>
      </text>
    </comment>
    <comment ref="B1858" authorId="0" shapeId="0" xr:uid="{9E859A92-3FB5-4920-8484-0DC984ED8593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$10,99 WURTH 24/05/23</t>
        </r>
      </text>
    </comment>
    <comment ref="B1861" authorId="1" shapeId="0" xr:uid="{8F032F21-752B-4872-A331-15B3C471DCE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$6,65 MARCIO 24/01/23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Lucas Paz</author>
  </authors>
  <commentList>
    <comment ref="B8" authorId="0" shapeId="0" xr:uid="{E5FBFCCA-4B1C-4190-8A76-C538B46D4540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$40,43 CANAA 02/03/23</t>
        </r>
      </text>
    </comment>
    <comment ref="B9" authorId="0" shapeId="0" xr:uid="{4B04CF05-975A-4388-948C-710B8C7D442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$36,18 CANAA 02/03/23</t>
        </r>
      </text>
    </comment>
    <comment ref="B11" authorId="0" shapeId="0" xr:uid="{8A73B3E2-2FF4-4DB3-B7CF-3A1E1386E1FA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$15,75 CANAA 02/03/23</t>
        </r>
      </text>
    </comment>
    <comment ref="B15" authorId="0" shapeId="0" xr:uid="{EC7C64FC-0207-40E4-9495-1571264B7D85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$65,03 LEAL 16/02/23</t>
        </r>
      </text>
    </comment>
    <comment ref="B18" authorId="0" shapeId="0" xr:uid="{C7FDA8A3-968B-4B04-9A03-385C16669A44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$15,96 PIETROBON 08/02
$15,40 LEAL 16/02/23</t>
        </r>
      </text>
    </comment>
    <comment ref="B20" authorId="0" shapeId="0" xr:uid="{5BA49561-D382-4DB8-8691-7D1F5A46286E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$44,69 CANAA 02/03/23</t>
        </r>
      </text>
    </comment>
    <comment ref="B22" authorId="0" shapeId="0" xr:uid="{F48FFDF2-431E-4F90-8B9A-A0264A2D33FC}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$12,34 CANAA 02/03/23</t>
        </r>
      </text>
    </comment>
    <comment ref="B25" authorId="0" shapeId="0" xr:uid="{A5A29E6C-9A20-49B3-82D8-F4A6A08F51C8}">
      <text>
        <r>
          <rPr>
            <b/>
            <sz val="9"/>
            <color indexed="81"/>
            <rFont val="Segoe UI"/>
            <charset val="1"/>
          </rPr>
          <t>Administrator:</t>
        </r>
        <r>
          <rPr>
            <sz val="9"/>
            <color indexed="81"/>
            <rFont val="Segoe UI"/>
            <charset val="1"/>
          </rPr>
          <t xml:space="preserve">
$69,49 GERDAU 28/02/23</t>
        </r>
      </text>
    </comment>
    <comment ref="B27" authorId="1" shapeId="0" xr:uid="{ABE4DD71-99DD-4D31-9F4B-97AFA356DCAC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$32,45 NOROAÇO 11/01/23
$28,61 GERDAU 28/02/23</t>
        </r>
      </text>
    </comment>
    <comment ref="B28" authorId="1" shapeId="0" xr:uid="{5A40E94C-8316-42EA-A95D-A478D7943F81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$20,89 NOROAÇO 11/01/23</t>
        </r>
      </text>
    </comment>
    <comment ref="B31" authorId="1" shapeId="0" xr:uid="{ED668BDF-ACB3-4831-A61C-A76FBC6C1930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$83,40 NOROAÇO 11/01</t>
        </r>
      </text>
    </comment>
    <comment ref="B33" authorId="1" shapeId="0" xr:uid="{F6B1B40A-A0B3-4365-92B6-AD5C61FC2C37}">
      <text>
        <r>
          <rPr>
            <b/>
            <sz val="9"/>
            <color indexed="81"/>
            <rFont val="Segoe UI"/>
            <charset val="1"/>
          </rPr>
          <t>Lucas Paz:</t>
        </r>
        <r>
          <rPr>
            <sz val="9"/>
            <color indexed="81"/>
            <rFont val="Segoe UI"/>
            <charset val="1"/>
          </rPr>
          <t xml:space="preserve">
$35,46 NOROAÇO 11/01/23
$30,25 GERDAU 26/01/23</t>
        </r>
      </text>
    </comment>
  </commentList>
</comments>
</file>

<file path=xl/sharedStrings.xml><?xml version="1.0" encoding="utf-8"?>
<sst xmlns="http://schemas.openxmlformats.org/spreadsheetml/2006/main" count="5704" uniqueCount="2577">
  <si>
    <t>DATA</t>
  </si>
  <si>
    <t>CLIENTE</t>
  </si>
  <si>
    <t>PAGAMENTO</t>
  </si>
  <si>
    <t>VALOR</t>
  </si>
  <si>
    <t>SOMA VENDAS DIARIAS</t>
  </si>
  <si>
    <t>VENDA MENSAL</t>
  </si>
  <si>
    <t>DESPESA</t>
  </si>
  <si>
    <t>MÊS</t>
  </si>
  <si>
    <t>Contas a pagar</t>
  </si>
  <si>
    <t>Valor</t>
  </si>
  <si>
    <t>Emissão</t>
  </si>
  <si>
    <t>Vencimento</t>
  </si>
  <si>
    <t>Semana</t>
  </si>
  <si>
    <t>Total:</t>
  </si>
  <si>
    <t>Pago:</t>
  </si>
  <si>
    <t>TOTAL DE SAÍDA:</t>
  </si>
  <si>
    <t>CONTAS FUTURAS</t>
  </si>
  <si>
    <t>SAIDA MENSAL</t>
  </si>
  <si>
    <t>PREGO 20X30</t>
  </si>
  <si>
    <t>VENDA</t>
  </si>
  <si>
    <t>PREÇO COM DESCONTO</t>
  </si>
  <si>
    <t>CUSTO</t>
  </si>
  <si>
    <t>IXA DAGUA</t>
  </si>
  <si>
    <t>S</t>
  </si>
  <si>
    <t>PREÇO SUGERIDO                       (5% CUSTO, 30% LUCRO)</t>
  </si>
  <si>
    <t>SITUAÇÃO</t>
  </si>
  <si>
    <t xml:space="preserve">DESCONTO A VISTA </t>
  </si>
  <si>
    <t>L</t>
  </si>
  <si>
    <t>ACRILICA MAXIMA EFICIENCIA - BRANCO 18l - SUVINIL GLASU</t>
  </si>
  <si>
    <t>ACRILICA MAXIMA EFICIENCIA - CORES 18L - SUVINIL GLASU</t>
  </si>
  <si>
    <t>ACRILICA STANDARD RENDE E COBRE MUITO - BRANCO/GELO 18L - SUVINIL</t>
  </si>
  <si>
    <t>ACRILICA STANDARD RENDE E COBRE MUITO - BRANCO/GELO 3,6L - SUVINIL</t>
  </si>
  <si>
    <t>ACRILICA STANDARD RENDE E COBRE MUITO - CORES 18L - SUVINIL</t>
  </si>
  <si>
    <t>ACRILICA STANDARD RENDE E COBRE MUITO - CORES 3,6L - SUVINIL</t>
  </si>
  <si>
    <t>ADAPTADOR PARA FILTRO</t>
  </si>
  <si>
    <t>ALCA PREFORMADA 16MM</t>
  </si>
  <si>
    <t>ALIANCA FECHADURA EXT 2400 ESTREITA</t>
  </si>
  <si>
    <t>ALIANCA FECHADURA EXT 2600/71</t>
  </si>
  <si>
    <t>APARELHO DE CHOQUE ELETRIFICADOR  30KM PAMPE</t>
  </si>
  <si>
    <t>APLICADOR SILICONE PU REFORÇADO</t>
  </si>
  <si>
    <t>ARALDITE HOBBY 16G</t>
  </si>
  <si>
    <t>ARALDITE HOBBY 23G</t>
  </si>
  <si>
    <t>ARAME LISO ZINCADO 14mm</t>
  </si>
  <si>
    <t>ARAME LISO ZINCADO 16mm</t>
  </si>
  <si>
    <t>ARAME RECOZIDO TORCIDO 1KG</t>
  </si>
  <si>
    <t>AREIA GROSSA</t>
  </si>
  <si>
    <t>D</t>
  </si>
  <si>
    <t>AREIA LAVADA</t>
  </si>
  <si>
    <t>ARGAMASSA VOTOMASSA AC1 20KG</t>
  </si>
  <si>
    <t>ARGAMASSA VOTOMASSA AC2 20KG</t>
  </si>
  <si>
    <t>ARGAMASSA VOTOMASSA AC3 20KG</t>
  </si>
  <si>
    <t>ARRUELA ELETRODUTO CONDUITE 1.1/4 ALUMINIO</t>
  </si>
  <si>
    <t>ARRUELA LISA ZINCADA 1/2</t>
  </si>
  <si>
    <t>ASTRA SIFAO FLEXIVEL HORIZONTAL 1.1/2 BOCA LARGA</t>
  </si>
  <si>
    <t>ASTRA SIFAO FLEXIVEL HORIZONTAL 7/8'' BOCA PEQUENA</t>
  </si>
  <si>
    <t>ASTRA SIFAO SANFONADO CROMADO PRATA</t>
  </si>
  <si>
    <t>ASTRA SIFAO SANFONADO PRETO</t>
  </si>
  <si>
    <t>ATLAS ASSENTO SANITARIO ALMOFADADO QUADRADO</t>
  </si>
  <si>
    <t>ATLAS ROLO 23CM RENDEPLUS</t>
  </si>
  <si>
    <t>ATLAS ROLO DE TEXTURA 23CM MEDIA/RUSTICA</t>
  </si>
  <si>
    <t>ATLAS ROLO ESPUMA CZ 23CM</t>
  </si>
  <si>
    <t>ATLAS ROLO ESPUMA CZ 5CM</t>
  </si>
  <si>
    <t xml:space="preserve">ATLAS ROLO LÃ ANTI-GOTA 23CM </t>
  </si>
  <si>
    <t>ATLAS ROLO LA MISTA 15CM</t>
  </si>
  <si>
    <t>ATLAS ROLO LA MISTA 9CM</t>
  </si>
  <si>
    <t>ATLAS SUPORTE ROLO DE PINTURA GARFO GAIOLA 23CM</t>
  </si>
  <si>
    <t xml:space="preserve">ATLAS SUPORTE ROLO PINTURA GARFO 23CM </t>
  </si>
  <si>
    <t>ATLAS TRINCHA 1</t>
  </si>
  <si>
    <t>ATLAS TRINCHA 1.1/2</t>
  </si>
  <si>
    <t>ATLAS TRINCHA 1/2</t>
  </si>
  <si>
    <t>ATLAS TRINCHA 2</t>
  </si>
  <si>
    <t>ATLAS TRINCHA 2.1/2</t>
  </si>
  <si>
    <t>ATLAS TRINCHA 3</t>
  </si>
  <si>
    <t>ATLAS TRINCHA 3/4</t>
  </si>
  <si>
    <t>ATLAS TRINCHA 4</t>
  </si>
  <si>
    <t>Aumento Amarelo Reverso 1/2x3/4</t>
  </si>
  <si>
    <t>BALDE METALICO 12L</t>
  </si>
  <si>
    <t>BARICAR ESPATULA AÇO 12CM</t>
  </si>
  <si>
    <t>BARRA ROSCADA POLIDA  1/2</t>
  </si>
  <si>
    <t>BARRA ROSCADA POLIDA  1/4</t>
  </si>
  <si>
    <t>BARRA ROSCADA POLIDA  3/8</t>
  </si>
  <si>
    <t>BARRA ROSCADA POLIDA  5/16</t>
  </si>
  <si>
    <t>BARRAMENTO PENTE BIPOLAR CM</t>
  </si>
  <si>
    <t>BASE REGISTRO GAVETA 3/4 DECA</t>
  </si>
  <si>
    <t>BASE REGISTRO PRESSAO 3/4 DECA S/ ACABAMENTO</t>
  </si>
  <si>
    <t>BASE VALVULA DOCOL</t>
  </si>
  <si>
    <t>BETUME NOVATINTAS 100ML</t>
  </si>
  <si>
    <t>BICO TORNEIRA PVC</t>
  </si>
  <si>
    <t>BLOCO 6 FUROS</t>
  </si>
  <si>
    <t>BLOCO 8 FUROS</t>
  </si>
  <si>
    <t>BOIA BEBEDOURO PEQUENA</t>
  </si>
  <si>
    <t>BOMBA MANUAL E MANOMETRO 32X500MM</t>
  </si>
  <si>
    <t>BRAÇO DE CHUVEIRO ALUMÍNIO 40CM</t>
  </si>
  <si>
    <t>BRASFORT CANETA PARA MARCAR PISO</t>
  </si>
  <si>
    <t>BRASFORT FIODE NYLON ROÇADEIRA</t>
  </si>
  <si>
    <t>BRASFORT FITA DEMARCAÇAO  150M ZEBRADA</t>
  </si>
  <si>
    <t>BROCA HSS FERRO 1/4</t>
  </si>
  <si>
    <t>BROCA HSS FERRO 1/8</t>
  </si>
  <si>
    <t>BROCA HSS FERRO 3/8</t>
  </si>
  <si>
    <t>BROCA HSS FERRO 5/16</t>
  </si>
  <si>
    <t>Broca Longa 3/8 Videa - Concreto</t>
  </si>
  <si>
    <t>Broca Longa 5/16 Videa - Concreto</t>
  </si>
  <si>
    <t>BUCHA ELETRODUTO CONDUITE 1.1/4 ALUMINIO</t>
  </si>
  <si>
    <t>BUCHA TIJOLO 10,0MM</t>
  </si>
  <si>
    <t>BUCHA TIJOLO 8,0MM</t>
  </si>
  <si>
    <t>Bucha W UM Pead 6,0mm</t>
  </si>
  <si>
    <t>BUCHA W-UM PEAD C/ ANEL 8</t>
  </si>
  <si>
    <t>BUCHA W-Z WURTH 14MM</t>
  </si>
  <si>
    <t>CABIDE COLANTE ASTRA CARTELA C/ 2</t>
  </si>
  <si>
    <t>CABIDE COLANTE ASTRA CARTELA C/ 4</t>
  </si>
  <si>
    <t>Cabide Metal 5 Gancho</t>
  </si>
  <si>
    <t>CABO DE REDE MONTADO 10M</t>
  </si>
  <si>
    <t>CABO PP 2X1,5MM</t>
  </si>
  <si>
    <t>CABO PP 2X2,5MM</t>
  </si>
  <si>
    <t>Cabo Transferência Barteria - Chupeta</t>
  </si>
  <si>
    <t>Cadeado Haste Longa 30 Papaiz</t>
  </si>
  <si>
    <t>CADEADO TRIANGLE 20MM</t>
  </si>
  <si>
    <t>CADEADO TRIANGLE 25MM</t>
  </si>
  <si>
    <t>CAIXA D'AGUA FORTLEV 1000L</t>
  </si>
  <si>
    <t>CAIXA D'AGUA FORTLEV 250L</t>
  </si>
  <si>
    <t>CAIXA D'AGUA FORTLEV 310L</t>
  </si>
  <si>
    <t>CAIXA D'AGUA FORTLEV 500L</t>
  </si>
  <si>
    <t>CAIXA DE CORREIO PVC PRIME</t>
  </si>
  <si>
    <t>CAIXA FERRAMENTA 5 GAVETAS N07 METAL 50X20X21</t>
  </si>
  <si>
    <t>CAIXA FERRAMENTA BAU N02 METAL 40X16X15</t>
  </si>
  <si>
    <t>CAIXA LUZ TOMADA EMBUTIR ESMALTADA FERRO</t>
  </si>
  <si>
    <t>CAIXA LUZ TOMADA EMBUTIR LEGRAND PRETA</t>
  </si>
  <si>
    <t>CAIXA PADRAO SABESP</t>
  </si>
  <si>
    <t>CAIXA SIFONADA  100x100x50 HERC</t>
  </si>
  <si>
    <t>Caixa Sifonada 250x230x75 Quad Branca</t>
  </si>
  <si>
    <t>CAIXA SIFONADA ASTRA COM FECHO 150X150X50 CROMADA</t>
  </si>
  <si>
    <t>CAIXA SIFONADA ASTRA SIMPLES 150X150X50 CROMADA</t>
  </si>
  <si>
    <t>CAL HIDRATADA CH lll ITAU 20KG</t>
  </si>
  <si>
    <t>CAL HIDRATADA TRADICAL</t>
  </si>
  <si>
    <t>CANAA TUBO ESGOTO RECICLADO 100MM</t>
  </si>
  <si>
    <t>CANAA TUBO ESGOTO RECICLADO 150MM</t>
  </si>
  <si>
    <t>CANAA TUBO ESGOTO RECICLADO 40MM</t>
  </si>
  <si>
    <t>CANAA TUBO ESGOTO RECICLADO 50MM</t>
  </si>
  <si>
    <t>CANAA TUBO ESGOTO RECICLADO 75MM</t>
  </si>
  <si>
    <t>CANALETA BR 20X10X2M</t>
  </si>
  <si>
    <t>CANTONEIRA BRANCA 1/2 3 METROS</t>
  </si>
  <si>
    <t>CANTONEIRA POLIDA 3/4 3 METROS</t>
  </si>
  <si>
    <t>CAPACITOR BIVOLT 2 FIOS</t>
  </si>
  <si>
    <t>CASTOR  ROLO NÃO RESPINGA ECONOMICO 23CM</t>
  </si>
  <si>
    <t>CASTOR BANDEJA 1000ML</t>
  </si>
  <si>
    <t>CASTOR MICROFIBRA PLUS 18X23</t>
  </si>
  <si>
    <t>CASTOR ROLO ESPUMA POLIESTER 05CM</t>
  </si>
  <si>
    <t>CASTOR ROLO TEXTURA 23CM</t>
  </si>
  <si>
    <t>CASTOR ROLO TOPA TUPO 6X15 NÃO RESPINGA</t>
  </si>
  <si>
    <t>CASTOR ROLO TOPA TUPO 6X5 NÃO RESPINGA</t>
  </si>
  <si>
    <t>CASTOR ROLO TOPA TUPO 6X9 NÃO RESPINGA</t>
  </si>
  <si>
    <t xml:space="preserve">CATRACA CAÇULA P/ ARAME LISO </t>
  </si>
  <si>
    <t>CAVADEIRA ARTICULADA REFORCADA PEGORARI</t>
  </si>
  <si>
    <t>Cestinha Válvula Americana Metal Cromada 3.1/2</t>
  </si>
  <si>
    <t>Cestinha Válvula Americana Plástico Cromada 3.1/2</t>
  </si>
  <si>
    <t>CHAPEU 1031</t>
  </si>
  <si>
    <t>CHAPEU 106</t>
  </si>
  <si>
    <t>CHAPEU 108</t>
  </si>
  <si>
    <t>CHAPEU 306</t>
  </si>
  <si>
    <t>CHAPEU 307</t>
  </si>
  <si>
    <t>CHAPEU 324</t>
  </si>
  <si>
    <t>CHAPEU 510</t>
  </si>
  <si>
    <t>CHAPEU 704 / 703</t>
  </si>
  <si>
    <t>CHAVE CANHAO FOXLUX 6MM</t>
  </si>
  <si>
    <t>CHAVE COMBINADA 10MM</t>
  </si>
  <si>
    <t>CHAVE COMBINADA 13MM</t>
  </si>
  <si>
    <t>CHAVE COMBINADA 8MM</t>
  </si>
  <si>
    <t>CHAVE DE CANO WURTH 10</t>
  </si>
  <si>
    <t>CHAVE DE CANO WURTH 12</t>
  </si>
  <si>
    <t>CHAVE L LONGA 10</t>
  </si>
  <si>
    <t>CHAVE L LONGA 11</t>
  </si>
  <si>
    <t>CHAVE L LONGA 13</t>
  </si>
  <si>
    <t>CHAVE LIGA/DESLIGA 2POLOS 15A</t>
  </si>
  <si>
    <t>CHAVE LIGA/DESLIGA/LIGA 3POLOS 15A</t>
  </si>
  <si>
    <t>CHAVE ON OFF 29 15A</t>
  </si>
  <si>
    <t>CHAVE PHILIPIS 1/4X4</t>
  </si>
  <si>
    <t>CHAVE PHILIPIS 1/8X3</t>
  </si>
  <si>
    <t>CHAVE PHILIPIS 3/16X4</t>
  </si>
  <si>
    <t>CHEMICOLOR CORES SPRAY</t>
  </si>
  <si>
    <t>CHEMICOLOR VERNIZ SPRAY</t>
  </si>
  <si>
    <t>CHURRASQUEIRA GRANDE</t>
  </si>
  <si>
    <t>CHURRASQUEIRA MEDIA</t>
  </si>
  <si>
    <t>CHURRASQUEIRA MINI</t>
  </si>
  <si>
    <t>CHURRASQUEIRA PEQUENA</t>
  </si>
  <si>
    <t>CHUVEIRO DUCHA HYDRA GORDUCHA 3T</t>
  </si>
  <si>
    <t>CHUVEIRO DUCHA LORENZETTI MAXI DUCHA</t>
  </si>
  <si>
    <t>CHUVEIRO PLASTICO ASTRA 6''</t>
  </si>
  <si>
    <t>CIMENTO CSN 50KG</t>
  </si>
  <si>
    <t>CIMENTO ITAU 25KG</t>
  </si>
  <si>
    <t>CIMENTO ITAU 50KG</t>
  </si>
  <si>
    <t>COLA SUPERBONDER 3G</t>
  </si>
  <si>
    <t>COLA TUDO WURTH 50ML/75G</t>
  </si>
  <si>
    <t>COLUNA INCEPA ZIP P/ LAVATORIO BR</t>
  </si>
  <si>
    <t>CONECTOR COAXIAL</t>
  </si>
  <si>
    <t>CONECTOR METALICO 16MM</t>
  </si>
  <si>
    <t>CONECTOR PORCELANA 3 X 10MM</t>
  </si>
  <si>
    <t>CONEXAO ADAPTADOR SOLDAVEL 40X1.1/4</t>
  </si>
  <si>
    <t>CONEXAO BRANCA CAP ROSCAVEL 1.1/4</t>
  </si>
  <si>
    <t>CONEXAO BRANCA CAP ROSCAVEL 1X32</t>
  </si>
  <si>
    <t>CONEXAO BRANCA JOELHO ROSCAVEL 1/2X90</t>
  </si>
  <si>
    <t>CONEXAO BRANCA JOELHO ROSCAVEL 1X90</t>
  </si>
  <si>
    <t>CONEXAO BRANCA JOELHO ROSCAVEL 3/4X90</t>
  </si>
  <si>
    <t>CONEXAO BRANCA LUVA ROSCAVEL 1.1/4</t>
  </si>
  <si>
    <t>CONEXAO BRANCA LUVA ROSCAVEL 1.1/5</t>
  </si>
  <si>
    <t>CONEXAO BRANCA LUVA ROSCAVEL 1/2</t>
  </si>
  <si>
    <t>CONEXAO BRANCA PLUG 1/2</t>
  </si>
  <si>
    <t>CONEXAO BRANCA PLUG 3/4</t>
  </si>
  <si>
    <t>CONEXAO BRANCA TEE ROSCAVEL 1''</t>
  </si>
  <si>
    <t>CONEXAO BRANCA TEE ROSCAVEL 1/2''</t>
  </si>
  <si>
    <t>CONEXAO BRANCA TEE ROSCAVEL 3/4''</t>
  </si>
  <si>
    <t>CONEXAO Bucha Redutora Sold Curta 25x20</t>
  </si>
  <si>
    <t>CONEXAO Bucha Redutora Sold Curta 32x25</t>
  </si>
  <si>
    <t>CONEXAO BUCHA REDUTORA SOLD CURTA 50X40</t>
  </si>
  <si>
    <t>CONEXAO Bucha Redutora Sold Longa 40x25</t>
  </si>
  <si>
    <t>CONEXAO Bucha Redutora Sold Longa 50x25</t>
  </si>
  <si>
    <t>CONEXAO Bucha Redutora Sold Longa 50x32</t>
  </si>
  <si>
    <t>CONEXAO Bucha Sold LR 20x1/2</t>
  </si>
  <si>
    <t>CONEXAO Bucha Sold LR 25x3/4</t>
  </si>
  <si>
    <t>CONEXAO CAP ESGOTO AA 40</t>
  </si>
  <si>
    <t>CONEXAO CAP ESGOTO BB 50</t>
  </si>
  <si>
    <t>CONEXAO CAP ESGOTO CC 75</t>
  </si>
  <si>
    <t>CONEXAO CAP ESGOTO DD 100</t>
  </si>
  <si>
    <t>CONEXAO CAP ESGOTO EE 150</t>
  </si>
  <si>
    <t>CONEXAO CAP SOLDAVEL 25MM</t>
  </si>
  <si>
    <t>CONEXAO CAP SOLDAVEL 40MM</t>
  </si>
  <si>
    <t>CONEXAO CAP SOLDAVEL 50MM</t>
  </si>
  <si>
    <t>CONEXAO CURVA ESGOTO 45x75mm</t>
  </si>
  <si>
    <t>CONEXAO CURVA ESGOTO CURTA 90X100</t>
  </si>
  <si>
    <t>CONEXAO CURVA ESGOTO CURTA 90X75</t>
  </si>
  <si>
    <t>CONEXAO CURVA SOLD 90X50MM</t>
  </si>
  <si>
    <t>CONEXAO JOELHO ESG Y 75</t>
  </si>
  <si>
    <t>CONEXAO JOELHO SOLDAVEL 45X25MM</t>
  </si>
  <si>
    <t>CONEXAO JOELHO SOLDAVEL 45x50mm</t>
  </si>
  <si>
    <t>CONEXAO JOELHO SOLDAVEL 90x20mm</t>
  </si>
  <si>
    <t>CONEXAO JOELHO SOLDAVEL 90x25mm</t>
  </si>
  <si>
    <t>CONEXAO JOELHO SOLDAVEL 90X25MM LR</t>
  </si>
  <si>
    <t>CONEXAO JOELHO SOLDAVEL 90x40mm</t>
  </si>
  <si>
    <t>CONEXAO Junção Y Esgoto 100mm 6''</t>
  </si>
  <si>
    <t xml:space="preserve">CONEXAO Junção Y Esgoto 50mm </t>
  </si>
  <si>
    <t>CONEXAO LUVA AZ 25X3/4</t>
  </si>
  <si>
    <t>CONEXAO LUVA DE CORRER SOLDAVEL 25</t>
  </si>
  <si>
    <t>CONEXAO LUVA ESGOTO BB 50MM</t>
  </si>
  <si>
    <t>CONEXAO LUVA ESGOTO CC 75MM</t>
  </si>
  <si>
    <t>CONEXAO LUVA GALVANIZADA 1.1/4</t>
  </si>
  <si>
    <t>CONEXAO LUVA LATAO AZ 25X3/4</t>
  </si>
  <si>
    <t>CONEXAO LUVA SOLD ROSCA 32X1</t>
  </si>
  <si>
    <t>CONEXAO LUVA SOLDAVEL 32</t>
  </si>
  <si>
    <t>CONEXAO LUVA SOLDAVEL 50</t>
  </si>
  <si>
    <t>CONEXAO MANGUEIRA UNIAO INTERNA 1''</t>
  </si>
  <si>
    <t>CONEXAO MANGUEIRA UNIÃO INTERNA 1.1/2</t>
  </si>
  <si>
    <t>CONEXAO MANGUEIRA UNIAO INTERNA 1/2</t>
  </si>
  <si>
    <t>CONEXAO MANGUEIRA UNIAO INTERNA REDUCAO 1.1/2X1.1/4</t>
  </si>
  <si>
    <t>CONEXAO MANGUEIRA UNIAO INTERNA REDUCAO 1.1/4X1</t>
  </si>
  <si>
    <t>CONEXAO MANGUEIRA UNIAO INTERNA REDUCAO 3/4X1/2</t>
  </si>
  <si>
    <t>CONEXAO NIP GALVANIZADO 1.1/4</t>
  </si>
  <si>
    <t>CONEXAO REDUÇAO CURTA SOLD 60X50</t>
  </si>
  <si>
    <t>CONEXAO Registro Esférico Sold União 25mm</t>
  </si>
  <si>
    <t>CONEXAO Registro Esférico Sold União 50mm</t>
  </si>
  <si>
    <t>CONEXAO Tapa Furo Tee Esgoto 100x100</t>
  </si>
  <si>
    <t>CONEXAO Tapa Furo Tee Esgoto 50x50</t>
  </si>
  <si>
    <t>CONEXAO TEE ESGOTO 100x50</t>
  </si>
  <si>
    <t>CONEXAO TEE ESGOTO 100x75</t>
  </si>
  <si>
    <t>CONEXAO TEE ESGOTO BB 50</t>
  </si>
  <si>
    <t>CONEXAO TEE SOLD 32X32</t>
  </si>
  <si>
    <t>CONEXAO TEE SOLD 50X32</t>
  </si>
  <si>
    <t>CONEXAO UNIAO SOLDAVEL 40MM</t>
  </si>
  <si>
    <t>CONEXAO UNIAO SOLDAVEL 50MM</t>
  </si>
  <si>
    <t>Conjunto Banheiro Alpha Branco/Madeirado</t>
  </si>
  <si>
    <t>Conjunto Banheiro Lion com Cuba Branco/Preto</t>
  </si>
  <si>
    <t>Conjunto Banheiro Master Branco/Rústico</t>
  </si>
  <si>
    <t>CONTROLE REMOTO VENTILADOR</t>
  </si>
  <si>
    <t>Controle Ventilador Oscilante Bivolt Soprepor Externo</t>
  </si>
  <si>
    <t>CORANTE EM PÓ TINGECOR GUARANY</t>
  </si>
  <si>
    <t>Corda Pet 05mm (155 mt)</t>
  </si>
  <si>
    <t>Corda Pet 06mm (150 mt)</t>
  </si>
  <si>
    <t>CORDA SEDA BRANCA TRANCADA 19MM</t>
  </si>
  <si>
    <t>D'DIAS ACABAMENTO C50/52</t>
  </si>
  <si>
    <t>D'DIAS CONVERSOL DECA X DOCOL</t>
  </si>
  <si>
    <t>D'DIAS JUNCAO Y</t>
  </si>
  <si>
    <t>D'DIAS MECANISMO PARADO</t>
  </si>
  <si>
    <t>D'DIAS TORNEIRA PIA ALAVANCADA 3/4 C71</t>
  </si>
  <si>
    <t>D'DIAS TORNEIRA PIA BICA RETA</t>
  </si>
  <si>
    <t>D'DIAS TORNEIRA PIA C71 ALAVANCADA 1/2</t>
  </si>
  <si>
    <t>D'DIAS TORNEIRA PIA C71 ALAVANCADA 3/4 BICO ARTICULADO</t>
  </si>
  <si>
    <t>D'DIAS VALVULA AMERICANA</t>
  </si>
  <si>
    <t>D'DIAS VALVULA LAVATORIO METAL</t>
  </si>
  <si>
    <t>D'Dias VALVULA METAL PARA TANQUE COMPLETA</t>
  </si>
  <si>
    <t xml:space="preserve">DELFLEX SIFAO LONGO FLEXIVEL </t>
  </si>
  <si>
    <t>DELFLEX SIFAO SANFONADO 1 BOCA</t>
  </si>
  <si>
    <t>DELFLEX SIFAO SANFONADO 2 BOCAS</t>
  </si>
  <si>
    <t>DELFLEX SIFAO SANFONADO 3 BOCAS</t>
  </si>
  <si>
    <t>DESEMPENADEIRA 22X34</t>
  </si>
  <si>
    <t>DESEMPENADEIRA AZUL CORRUGADA 16X28 INJEREST</t>
  </si>
  <si>
    <t>DESEMPENADEIRA AZUL CORRUGADA 18X30 INJEREST</t>
  </si>
  <si>
    <t>DESEMPENADEIRA LISA 16X28 INJEREST</t>
  </si>
  <si>
    <t>DESINGRIPANTE CRISTAL LUB</t>
  </si>
  <si>
    <t>DESINGRIPANTE ROST OFF MECHANIC</t>
  </si>
  <si>
    <t>DESINGRIPANTE STARRET LUB</t>
  </si>
  <si>
    <t>DESVIADOR CHUVEIRINHO CHUVEIRO 1,70MT</t>
  </si>
  <si>
    <t>DIMMER ROT BLOCO BIC C/ OFF 400W</t>
  </si>
  <si>
    <t>DISCO 4'' TUNGSTENIO</t>
  </si>
  <si>
    <t>DISJUNTOR BIPOLAR 16A</t>
  </si>
  <si>
    <t>DISJUNTOR BIPOLAR 40A</t>
  </si>
  <si>
    <t>DISJUNTOR BIPOLAR 63A</t>
  </si>
  <si>
    <t>DISJUNTOR NEMA TRIPOLAR 60A PRETO</t>
  </si>
  <si>
    <t>DISJUNTOR NEMA UNIPOLAR 20A PRETO</t>
  </si>
  <si>
    <t>DISJUNTOR NEMA UNIPOLAR 30A PRETO</t>
  </si>
  <si>
    <t>DISJUNTOR NEMA UNIPOLAR 40A PRETO</t>
  </si>
  <si>
    <t>DISJUNTOR NEMA UNIPOLAR 50A PRETO</t>
  </si>
  <si>
    <t>DISJUNTOR NEMA UNIPOLAR 60A PRETO</t>
  </si>
  <si>
    <t>DISJUNTOR NEMA UNIPOLAR 70A PRETO</t>
  </si>
  <si>
    <t>DISJUNTOR NEMA UNIPOLAR 90A PRETO</t>
  </si>
  <si>
    <t>DISJUNTOR UNIPOLAR 10A</t>
  </si>
  <si>
    <t>DISJUNTOR UNIPOLAR 25A</t>
  </si>
  <si>
    <t>DISJUNTOR UNIPOLAR 40A</t>
  </si>
  <si>
    <t>DISJUNTOR UNIPOLAR 63A</t>
  </si>
  <si>
    <t>DOBRADIÇA 2.0X1.1/2</t>
  </si>
  <si>
    <t>DOBRADIÇA 3.0X1.7/8</t>
  </si>
  <si>
    <t>DOBRADICA DE PORTEIRA N03</t>
  </si>
  <si>
    <t>DRIVER LED 8W A 25W</t>
  </si>
  <si>
    <t>DUCOR GRAFIATO BARRICA</t>
  </si>
  <si>
    <t>DUCOR MASSA ACRILICA EXTERNA 3,6L</t>
  </si>
  <si>
    <t>DUCOR MASSA ACRILICA EXTERNA BARRICA</t>
  </si>
  <si>
    <t>DUCOR MASSA CORRIDA PVA INTERNA 3,6L</t>
  </si>
  <si>
    <t>DUCOR MASSA CORRIDA PVA INTERNA BARRICA</t>
  </si>
  <si>
    <t>DUCOR SELADOR ACRILICO 18L</t>
  </si>
  <si>
    <t>DUCOR SELADOR ACRILICO 3,6L</t>
  </si>
  <si>
    <t>DUCOR TINTA PISO BASE AGUA CINZA/PRETO/CONCRETO 18L</t>
  </si>
  <si>
    <t>DUCOR TINTA PISO BASE AGUA CINZA/PRETO/CONCRETO 3,6l</t>
  </si>
  <si>
    <t>DUCOR VERNIZ ACRILICO INCOLOR 3,6L</t>
  </si>
  <si>
    <t>DUREPOXI TRADICIONAL 100G</t>
  </si>
  <si>
    <t>DUREPOXI TRADICIONAL 50G</t>
  </si>
  <si>
    <t>ELETRODUTO PVC PRETO 1.1/2 X 3</t>
  </si>
  <si>
    <t>ELETRODUTO PVC PRETO 1.1/4 X 3</t>
  </si>
  <si>
    <t>ENGATE FLEXIVEL 50CM</t>
  </si>
  <si>
    <t>ENGATE FLEXIVEL 60CM</t>
  </si>
  <si>
    <t>ENGATE RAPIDO FEMEA TRAMONTINA</t>
  </si>
  <si>
    <t>ENGATE RAPIDO MACHO TRAMONTINA</t>
  </si>
  <si>
    <t>ENROLADOR MANGUEIRA MEIA LUA METAL</t>
  </si>
  <si>
    <t>ENXADAO DUAS CARAS S/ CABO</t>
  </si>
  <si>
    <t>ENXADAO LARGO TRAMONTINA S/ CABO</t>
  </si>
  <si>
    <t>ENXADAO PANDOLFO S/ CABO</t>
  </si>
  <si>
    <t>ESCADA DOMESTICA 6 DEGRAUS AGATA</t>
  </si>
  <si>
    <t>ESCADA DOMESTICA 8 DEGRAUS AGATA</t>
  </si>
  <si>
    <t>ESCADA EXTENSIVA 10 DEGRAUS ALUMINIO AGATA</t>
  </si>
  <si>
    <t>ESCOVA AÇO COMPEL COM CABO 3 FILEIRAS</t>
  </si>
  <si>
    <t>ESCUDO DE SOLDA</t>
  </si>
  <si>
    <t>Esguicho 7 Funções</t>
  </si>
  <si>
    <t>ESGUICHO JARDIM VERDE BICO DE METAL GARDEN</t>
  </si>
  <si>
    <t>ESPACADOR CRUZETA</t>
  </si>
  <si>
    <t>Estilete 18mm Fertak</t>
  </si>
  <si>
    <t>ESTRIBO QUADRADO 15X15 5/16</t>
  </si>
  <si>
    <t>ESTRIBO RETANGULAR 7X15 5/16</t>
  </si>
  <si>
    <t>EUCATEX RESINA ACRILICA INCOLOR 3,6L</t>
  </si>
  <si>
    <t>EUCATEX THINNER  5L</t>
  </si>
  <si>
    <t>EUCATEX THINNER 900ML</t>
  </si>
  <si>
    <t>EXTENSAO CROMADA MEDIA 1/2</t>
  </si>
  <si>
    <t>FAMASTIL IRRIGADOR SETORIAL 1/2</t>
  </si>
  <si>
    <t>FAME RESISTENCIA P/ DUCHA FAMINHO</t>
  </si>
  <si>
    <t>FAME TORNEIRA COM FILTRO ACQUAFAM</t>
  </si>
  <si>
    <t>FAME TORNEIRA ELETRICA 4T ELEGANCE</t>
  </si>
  <si>
    <t>FERRO DE SOLDA</t>
  </si>
  <si>
    <t>FERTAK DISCO FLAP 4'' G40</t>
  </si>
  <si>
    <t>FERTAK SERRA COPO DIAMANTADA C/ HASTE 40MM</t>
  </si>
  <si>
    <t>FERTAK TOOLS ALICATE MULTIFUNCAO</t>
  </si>
  <si>
    <t>FERTAK TOOLS CHAVE DESTE DIGITAL</t>
  </si>
  <si>
    <t>FERTAK TOOLS COLHER DE PEDREIRO N10</t>
  </si>
  <si>
    <t>FERTAK TOOLS COLHER DE PEDREIRO N8</t>
  </si>
  <si>
    <t>FERTAK TOOLS COLHER DE PEDREIRO N9</t>
  </si>
  <si>
    <t>Fita Demarcação Amarela</t>
  </si>
  <si>
    <t>FITA EMPACOTAMENTO TRANSPARENTE</t>
  </si>
  <si>
    <t>Fita Isolante 33+ 3M</t>
  </si>
  <si>
    <t>FITA ISOLANTE COLORIDA FOXLUX</t>
  </si>
  <si>
    <t>FITA ISOLANTE IMPERIAL 3M 18MM X 20M</t>
  </si>
  <si>
    <t>FITA ISOLANTE IMPERIAL 3M 18MM X 5M</t>
  </si>
  <si>
    <t>FITA VEDA ROSCA 18MMX10M WURTH</t>
  </si>
  <si>
    <t>FITA VEDA ROSCA 18MMX50M WURTH</t>
  </si>
  <si>
    <t>FIXA FORTE DUPLA FACE 19X02 4KG</t>
  </si>
  <si>
    <t>FIXA FORTE DUPLA FACE 19X02 800G</t>
  </si>
  <si>
    <t>Fixador de Cal</t>
  </si>
  <si>
    <t>FORTFIX 900ML</t>
  </si>
  <si>
    <t>FOXLUX LUVA MULTIUSO LATEX AMARELA M/G</t>
  </si>
  <si>
    <t>FUSILVEL FACA 100A</t>
  </si>
  <si>
    <t>FUSIVEL CARRTUCHO 60A 250V</t>
  </si>
  <si>
    <t>GANCHO 10 C/ BUCHA</t>
  </si>
  <si>
    <t>GANCHO 6 C/ BUCHA</t>
  </si>
  <si>
    <t>GANCHO 8 C/ BUCHA</t>
  </si>
  <si>
    <t>GANCHO L 8 C/ BUCHA</t>
  </si>
  <si>
    <t>GARDEN IRRIGADOR GIRATORIO 6 JATOS ALUMINIO</t>
  </si>
  <si>
    <t>GARIN PU CALHA 80G</t>
  </si>
  <si>
    <t>GARIN SILICONE ALTA TEMPERATURA</t>
  </si>
  <si>
    <t>GEL SILICONE 200G WURTH</t>
  </si>
  <si>
    <t>GESSO COLA BEM 1KG</t>
  </si>
  <si>
    <t>GLASU ESMALTE 0,255ml</t>
  </si>
  <si>
    <t>GLASU ESMALTE 0,9l</t>
  </si>
  <si>
    <t>GLASU ESMALTE 3,6l</t>
  </si>
  <si>
    <t>GRAFITE EM PO 25GR</t>
  </si>
  <si>
    <t>GRAMPO HASTE TERRA 1/2</t>
  </si>
  <si>
    <t>GRELHA ALUMINIO COM COLETOR 15X50</t>
  </si>
  <si>
    <t>GRELHA ALUMINIO COM COLETOR 20X20</t>
  </si>
  <si>
    <t>GRELHA ALUMINIO COM COLETOR 20X30</t>
  </si>
  <si>
    <t>GRELHA CHURRASCO 40X50</t>
  </si>
  <si>
    <t>GRELHA CHURRASCO 50X50</t>
  </si>
  <si>
    <t>GRELHA CHURRASCO INOX 40X50</t>
  </si>
  <si>
    <t>GRELHA INOX 100MM QUAD/RED SSMETAIS</t>
  </si>
  <si>
    <t>HASTE TERRA 1/2 X 2MTS</t>
  </si>
  <si>
    <t>IGOL ECOASFALTO SIKA 3,6 (SIMILAR NEUTROL)</t>
  </si>
  <si>
    <t>ILUMI EXTENSAO 2P 10A 3MT</t>
  </si>
  <si>
    <t>ILUMI EXTENSAO 2P 10A 5MT</t>
  </si>
  <si>
    <t xml:space="preserve">ILUMI PLUGUE FEMEA 2P 10A POTE </t>
  </si>
  <si>
    <t>ILUMI QUADRO DE DISJUNTORES 12DIN</t>
  </si>
  <si>
    <t>IRWIN LAPIS DE CARPINTEIRO</t>
  </si>
  <si>
    <t>IRWIN TRENA STANDARD 5M</t>
  </si>
  <si>
    <t>ISOLADOR DE CERCA TIPO CASTANHA GRANDE</t>
  </si>
  <si>
    <t>ISOLADOR DE CERCA TIPO GANCHO</t>
  </si>
  <si>
    <t>ISOLADOR DE CERCA TIPO W GRANDE</t>
  </si>
  <si>
    <t>JANELA CORRER 100X150X120 COD002 GEROTO ALUMINIO BR</t>
  </si>
  <si>
    <t>Kit Acessório Banheiro Alumínio</t>
  </si>
  <si>
    <t>Kit Chaves Combinada 9 Peças</t>
  </si>
  <si>
    <t>KIT DUCHA HIGIENICA MARINI METAL</t>
  </si>
  <si>
    <t>KIT MANGUEIRA 10M</t>
  </si>
  <si>
    <t>KIT REPARO VALVULA DOCOL 1.1/2 ORIGINAL</t>
  </si>
  <si>
    <t>KIT REPARO VALVULA HRDRA DECA ORIGINAL</t>
  </si>
  <si>
    <t>KIT VARAO DE CORTINA 2M</t>
  </si>
  <si>
    <t>KIT VARAO DE CORTINA 3M</t>
  </si>
  <si>
    <t>LAMPADA TUBOLAR LED 18W 6500K BIV AVANT</t>
  </si>
  <si>
    <t>LAVATORIO COM COLUNA CZ</t>
  </si>
  <si>
    <t>LAVATORIO INCEPA ZIP BR S/ COLUNA BR</t>
  </si>
  <si>
    <t>LIMA ENXADA KF</t>
  </si>
  <si>
    <t>LINHA PEDREIRO TRANÇADA MULTIFIO 100M</t>
  </si>
  <si>
    <t>LINHA PEDREIRO TRANÇADA MULTIFIO 50M</t>
  </si>
  <si>
    <t>LIXA AGUA 1200/1500/2000</t>
  </si>
  <si>
    <t>LIXA FERRO 3M</t>
  </si>
  <si>
    <t>LIXA MASSA/MADEIRA 3M</t>
  </si>
  <si>
    <t>LIZA FERRO 3M 220</t>
  </si>
  <si>
    <t>LONA CILO 8X50 R200</t>
  </si>
  <si>
    <t>LONA POLITILENO 3x2 FOXLUX</t>
  </si>
  <si>
    <t>LONA PRETA PLASTICO 15KG 4X100 MAXILONA</t>
  </si>
  <si>
    <t>LORENZETTI TORNEIRA ELETRICA  127V 4800W</t>
  </si>
  <si>
    <t>LUCONI ASSENTO SANITARIO POPULAR BRANCO</t>
  </si>
  <si>
    <t>LUMINARIA DE EMERGENCIA 30 LEDS BIVOLT</t>
  </si>
  <si>
    <t>LUMINARIA LED SLIM 18W 60X7,5CM</t>
  </si>
  <si>
    <t>LUMINARIA LED SLIM 36W 120X7,5CM</t>
  </si>
  <si>
    <t>LUVA BORRACHA AMARELA XG</t>
  </si>
  <si>
    <t xml:space="preserve">LUVA ELETRODUTO CONDUITE 1.1/4 </t>
  </si>
  <si>
    <t>Luva Mão Algodão Nitril Amarela 9 Wuth</t>
  </si>
  <si>
    <t>LUVA MAO BRANCA PIMENTADA AZUL</t>
  </si>
  <si>
    <t>LUVA MAO POLIEST LARANJA WURTH</t>
  </si>
  <si>
    <t xml:space="preserve">LUVA RASPA DE COURO CANO LONGO </t>
  </si>
  <si>
    <t>LUVA RASPA DE COURO CANO LONGO WURTH</t>
  </si>
  <si>
    <t>MANGUEIRA CORRUGADA 3/4</t>
  </si>
  <si>
    <t>MANGUEIRA DE GASOLINA</t>
  </si>
  <si>
    <t>MANGUEIRA PARA PISCINA 1.1/2'' SILICONADA</t>
  </si>
  <si>
    <t>MANGUEIRA SAIDA MAQUINA DE LAVAR 1,40</t>
  </si>
  <si>
    <t>MANGUEIRA SAIDA TANQUINHO 1,10</t>
  </si>
  <si>
    <t>MANTA ADESIVA 10 CM RL 10MTS</t>
  </si>
  <si>
    <t>MANTA ADESIVA 20 CM RL 10MTS</t>
  </si>
  <si>
    <t>MAO FRANCESA 150 BRANCA</t>
  </si>
  <si>
    <t>MAO FRANCESA 300 BRANCA</t>
  </si>
  <si>
    <t>MAO FRANCESA 350 BRANCA</t>
  </si>
  <si>
    <t>MAO FRANCESA 400 BRANCA</t>
  </si>
  <si>
    <t>MAO FRANCESA 500 BRANCA</t>
  </si>
  <si>
    <t>MARINI ENGATE FLEXIVEL 1,20M</t>
  </si>
  <si>
    <t>MARINI ENGATE FLEXIVEL 60CM</t>
  </si>
  <si>
    <t>MARINI KIT BANHEIRO STANDART</t>
  </si>
  <si>
    <t>MARINI PORTA PAPEL COM TAMPA</t>
  </si>
  <si>
    <t>MARINI PORTA TOALHA ROSTO</t>
  </si>
  <si>
    <t>MARINI SABONETEIRA SEM SUPORTE</t>
  </si>
  <si>
    <t>MARTELETA 2 CORTES</t>
  </si>
  <si>
    <t>MARTELO CABO DE MADEIRA 25MM</t>
  </si>
  <si>
    <t>MEGA DUCHA HIGIENICA PLASTICO</t>
  </si>
  <si>
    <t>METAIS REI SALVA REGISTRO S/ ACABAMENTO</t>
  </si>
  <si>
    <t>MINI PLAFON</t>
  </si>
  <si>
    <t>MOR GARRAFA BULE 650ML VERMELHO/AMARELO</t>
  </si>
  <si>
    <t>MOR GARRAFA CAFÉ 1L RUBI/AZUL</t>
  </si>
  <si>
    <t>MOR GARRAFA CAFÉ PRESSAO NOBILE 1L PRETA</t>
  </si>
  <si>
    <t xml:space="preserve">MOR VARAL DE CHÃO C/ ABAS </t>
  </si>
  <si>
    <t>MULTIMETRO DIGITAL</t>
  </si>
  <si>
    <t>NEUTROL ACQUA 3,6L</t>
  </si>
  <si>
    <t>NEUTROL ACQUA 900ml</t>
  </si>
  <si>
    <t>NILO REPARO CHAVETA AMARELA</t>
  </si>
  <si>
    <t>NOVA LIGA 1L</t>
  </si>
  <si>
    <t>NUMERO ALUMINIO</t>
  </si>
  <si>
    <t>NUMERO ESPELHADO</t>
  </si>
  <si>
    <t>Oleo Singer 100ml</t>
  </si>
  <si>
    <t>PA COM CABO QUADRADA MOMFORT</t>
  </si>
  <si>
    <t>PARAFUSO BROCANTE 35X35</t>
  </si>
  <si>
    <t>PARAFUSO CHIPBOARD 4,0X50MM</t>
  </si>
  <si>
    <t>PARAFUSO CHIPBOARD 5,0x30MM</t>
  </si>
  <si>
    <t>PARAFUSO CHIPBOARD 5,0X45MM</t>
  </si>
  <si>
    <t>PARAFUSO CHIPBOARD 6,0X100MM</t>
  </si>
  <si>
    <t>PARAFUSO CHIPBOARD 6,0x35MM</t>
  </si>
  <si>
    <t>PARAFUSO CHIPBOARD 6,0x45MM</t>
  </si>
  <si>
    <t>PARAFUSO CHIPBOARD 6,0X60MM</t>
  </si>
  <si>
    <t>PARAFUSO CHIPBOARD 6,0X70MM</t>
  </si>
  <si>
    <t>PARAFUSO CHIPBOARD 6,0X90MM</t>
  </si>
  <si>
    <t>PARAFUSO FIXACAO ASSENTO SANITARIO ASTRA</t>
  </si>
  <si>
    <t>PARAFUSO FRANCES POL UNC 1/4x2</t>
  </si>
  <si>
    <t>PARAFUSO FRANCES POL UNC 1/4x2.1/2</t>
  </si>
  <si>
    <t>PARAFUSO FRANCES POL UNC 1/4x3.1/2</t>
  </si>
  <si>
    <t xml:space="preserve">PARAFUSO FRANCES POL UNC 3/8X2  </t>
  </si>
  <si>
    <t xml:space="preserve">PARAFUSO FRANCES POL UNC 3/8X5  </t>
  </si>
  <si>
    <t xml:space="preserve">PARAFUSO FRANCES POL UNC 3/8X5.1/2  </t>
  </si>
  <si>
    <t xml:space="preserve">PARAFUSO FRANCES POL UNC 3/8X6  </t>
  </si>
  <si>
    <t xml:space="preserve">PARAFUSO FRANCES POL UNC 3/8X6.1/2   </t>
  </si>
  <si>
    <t>PARAFUSO FRANCES POL UNC 5/16x2</t>
  </si>
  <si>
    <t>PARAFUSO FRANCES POL UNC 5/16x2.1/2</t>
  </si>
  <si>
    <t>PARAFUSO FRANCES POL UNC 5/16x3.1/2</t>
  </si>
  <si>
    <t xml:space="preserve">PARAFUSO FRANCES POL UNC 5/16X5  </t>
  </si>
  <si>
    <t xml:space="preserve">PARAFUSO FRANCES POL UNC 5/16X6  </t>
  </si>
  <si>
    <t>PARAFUSO ROSCA TOTAL 5X35MM</t>
  </si>
  <si>
    <t xml:space="preserve">PARAFUSO SEXT ROSCA UNC 1/4X1    </t>
  </si>
  <si>
    <t xml:space="preserve">PARAFUSO SEXT ROSCA UNC 1/4X2   </t>
  </si>
  <si>
    <t xml:space="preserve">PARAFUSO SEXT ROSCA UNC 1/4X3.1/2  </t>
  </si>
  <si>
    <t xml:space="preserve">PARAFUSO SEXT ROSCA UNC 1/4X4  </t>
  </si>
  <si>
    <t>PARAFUSO SEXT ROSCA UNC 1/4X5</t>
  </si>
  <si>
    <t xml:space="preserve">PARAFUSO SEXT ROSCA UNC 3/8X1  </t>
  </si>
  <si>
    <t xml:space="preserve">PARAFUSO SEXT ROSCA UNC 3/8X1.1/2  </t>
  </si>
  <si>
    <t xml:space="preserve">PARAFUSO SEXT ROSCA UNC 3/8X2.1/2  </t>
  </si>
  <si>
    <t xml:space="preserve">PARAFUSO SEXT ROSCA UNC 3/8X5  </t>
  </si>
  <si>
    <t>PARAFUSO SEXT ROSCA UNC 3/8X6</t>
  </si>
  <si>
    <t>PARAFUSO SEXT ROSCA UNC 5/16x1</t>
  </si>
  <si>
    <t xml:space="preserve">PARAFUSO SEXT ROSCA UNC 5/16X1.1/2  </t>
  </si>
  <si>
    <t>PARAFUSO SEXT ROSCA UNC 5/16x2</t>
  </si>
  <si>
    <t>PARAFUSO SEXT ROSCA UNC 5/16x2.1/2</t>
  </si>
  <si>
    <t>PARAFUSO SEXT ROSCA UNC 5/16x3.1/2</t>
  </si>
  <si>
    <t xml:space="preserve">PARAFUSO SEXT ROSCA UNC 5/16X4  </t>
  </si>
  <si>
    <t xml:space="preserve">PARAFUSO SEXT ROSCA UNC 5/16X5 </t>
  </si>
  <si>
    <t>PARAFUSO SEXTAVADO BROCANTE 1/4X2</t>
  </si>
  <si>
    <t>PARAFUSO SEXTAVADO BROCANTE 3/4X5,5</t>
  </si>
  <si>
    <t>PARAFUSO SEXTAVADO SOBERBO 1/4X100</t>
  </si>
  <si>
    <t>PASTA PARA SOLDA 110G</t>
  </si>
  <si>
    <t>PEDRA/PEDRISCO</t>
  </si>
  <si>
    <t>PENAIRA FEIJAO 70AM SÃO JORGE</t>
  </si>
  <si>
    <t>PENDULE</t>
  </si>
  <si>
    <t>PIA BACIA INOX 1,50 X 0,55</t>
  </si>
  <si>
    <t>PIA FIBRA 1,20 x 0,55</t>
  </si>
  <si>
    <t>PIA FIBRA 1,50 x 0,55</t>
  </si>
  <si>
    <t>PIA FIBRA 2,00 x 0,55</t>
  </si>
  <si>
    <t>PINO MACHO ILUMI 2P 10A</t>
  </si>
  <si>
    <t>Pitão 10 C/ Bucha</t>
  </si>
  <si>
    <t>Pitão 8 C/ Bucha</t>
  </si>
  <si>
    <t>PLACA SINALIZACAO ALUGA/CAO BRAVO</t>
  </si>
  <si>
    <t>PLACA SINALIZACAO SANITARIO/ENTRADA/DEF FISICO</t>
  </si>
  <si>
    <t>PLASBIL PORTA SANFONADA PVC 80CM X 2,10M AREIA/CINZA</t>
  </si>
  <si>
    <t>PLASBIL PORTA SANFONADA PVC 80CM X 2,10M BRANCA</t>
  </si>
  <si>
    <t>PLASTILIT PORTA SANFONADA PVC 80CM X 2,10M BRANCA</t>
  </si>
  <si>
    <t>PLASTILIT TUBO ESGOTO PLASTILIT 100MM</t>
  </si>
  <si>
    <t>PLASTILIT TUBO ESGOTO PLASTILIT 40MM</t>
  </si>
  <si>
    <t>PLASTILIT TUBO ESGOTO PLASTILIT 50MM</t>
  </si>
  <si>
    <t>PLASTILIT TUBO ESGOTO PLASTILIT 75MM</t>
  </si>
  <si>
    <t>PLASTILIT TUBO SOLDÁVEL PLASTILIT 20MM</t>
  </si>
  <si>
    <t>PLASTILIT TUBO SOLDÁVEL PLASTILIT 25MM</t>
  </si>
  <si>
    <t>PLASTILIT TUBO SOLDÁVEL PLASTILIT 32MM</t>
  </si>
  <si>
    <t>PLASTILIT TUBO SOLDÁVEL PLASTILIT 40MM</t>
  </si>
  <si>
    <t>PLASTILIT TUBO SOLDÁVEL PLASTILIT 50MM</t>
  </si>
  <si>
    <t>PLASTILIT TUBO SOLDÁVEL PLASTILIT 60MM</t>
  </si>
  <si>
    <t>PORCA SEXTAVADA 1/4</t>
  </si>
  <si>
    <t>PORCA SEXTAVADA 3/8</t>
  </si>
  <si>
    <t>PORCA SEXTAVADA 5/16</t>
  </si>
  <si>
    <t>PORTA GRELHA 10CM ALUMINIO SSMETAIS</t>
  </si>
  <si>
    <t>PORTA SHAMPOO CANTO CROMADO</t>
  </si>
  <si>
    <t>Porta Shampoo Reto 10x25 Marini</t>
  </si>
  <si>
    <t>Porta Shampoo Reto 10x35 Marini</t>
  </si>
  <si>
    <t>Porta Shampoo Reto Luxo Marini</t>
  </si>
  <si>
    <t>PORTA TOALHA MARINI STANDART</t>
  </si>
  <si>
    <t>PREGO 10X10</t>
  </si>
  <si>
    <t>PREGO 12X12</t>
  </si>
  <si>
    <t>PREGO 13X18</t>
  </si>
  <si>
    <t>PREGO 14X21</t>
  </si>
  <si>
    <t>PREGO 15X15</t>
  </si>
  <si>
    <t>PREGO 15X21</t>
  </si>
  <si>
    <t>PREGO 17X21</t>
  </si>
  <si>
    <t>PREGO 17X27</t>
  </si>
  <si>
    <t>PREGO 17X27 CABEÇA DUPLA</t>
  </si>
  <si>
    <t>PREGO 18X24</t>
  </si>
  <si>
    <t>PREGO 19X30</t>
  </si>
  <si>
    <t>PREGO 22X42</t>
  </si>
  <si>
    <t>PREGO 22X48</t>
  </si>
  <si>
    <t>PREGO GRAMPO</t>
  </si>
  <si>
    <t>PREGO GRAMPO PEQUENO GENERAL</t>
  </si>
  <si>
    <t>PRETINHO - TIPO 1 - GALÃO 5L</t>
  </si>
  <si>
    <t>PRIME IMPERIO  METAIS TORNEIRA BANHEIRO ABS CROMADO</t>
  </si>
  <si>
    <t>PRIME IMPERIO  METAIS TORNEIRA COZINHA ABS CROMADO</t>
  </si>
  <si>
    <t>PRIME IMPERIO METAIS TORNEIRA BANHEIRO ABS BRANCA</t>
  </si>
  <si>
    <t>Prime Master 3,6l</t>
  </si>
  <si>
    <t>Prime Master 900ml</t>
  </si>
  <si>
    <t>PROFIELD REGISTRO METAL 1</t>
  </si>
  <si>
    <t>PROFIELD REGISTRO METAL 1/2</t>
  </si>
  <si>
    <t>PROFIELD REGISTRO METAL 3/4</t>
  </si>
  <si>
    <t>PROTETOR DE SURTO DPS 20 KA BIV</t>
  </si>
  <si>
    <t>PROTETOR DE SURTO DPS 40 KA BIV</t>
  </si>
  <si>
    <t>PU 40 WURTH</t>
  </si>
  <si>
    <t>RALO SIFONADO ASTRA SAIDA P/ BAIXO</t>
  </si>
  <si>
    <t>RASTELO ARAME REGULAVEL 22D MAX</t>
  </si>
  <si>
    <t>Rastelo Plástico 22 Dentes</t>
  </si>
  <si>
    <t>REBITE ALUMINIO 32X12</t>
  </si>
  <si>
    <t>REBITE ALUMINIO 4X8MM</t>
  </si>
  <si>
    <t>Rebite Alumínio 6x19mm - (1,5 kg - R$109,00)</t>
  </si>
  <si>
    <t>Rebite Alumínio 6x25mm - (1,4 kg - R$109,00)</t>
  </si>
  <si>
    <t>REBOLO COPO CONICO 36/60</t>
  </si>
  <si>
    <t>REFIL LORENZETTI ACQUABELLA</t>
  </si>
  <si>
    <t>REFLETOR LED 100W FOXLUX</t>
  </si>
  <si>
    <t>REFLETOR LED 100W HITEC</t>
  </si>
  <si>
    <t>REFLETOR LED 30W</t>
  </si>
  <si>
    <t>REFLETOR LED 30W FOXLUX</t>
  </si>
  <si>
    <t>REFLETOR LED 50W FOXLUX</t>
  </si>
  <si>
    <t>REFLETOR LED 50W HITEC</t>
  </si>
  <si>
    <t>REGADOR PLASTICO 10L</t>
  </si>
  <si>
    <t>REGISTRO DE PRESSAO 3/4 DIKA C/ ACABAMENTO</t>
  </si>
  <si>
    <t>REGUA ALUMINIO 2MT LEVE</t>
  </si>
  <si>
    <t>REGUA ALUMINIO 3MT LEVE</t>
  </si>
  <si>
    <t>REMOVEDOR DE FERRUGEM WURTH 250ML</t>
  </si>
  <si>
    <t>REMOVEDOR DE TINTA 1KG 1L</t>
  </si>
  <si>
    <t>REPARO CABEÇOTE C33</t>
  </si>
  <si>
    <t xml:space="preserve">REPARO CAIXA ACOPLADA ASTRA BOIA </t>
  </si>
  <si>
    <t xml:space="preserve">REPARO CAIXA ACOPLADA ASTRA BOTAO ACIONAMENTO  </t>
  </si>
  <si>
    <t xml:space="preserve">REPARO CAIXA ACOPLADA BLUKIT  </t>
  </si>
  <si>
    <t>REPARO CAIXA ACOPLADA PARAFUSO FIXACAO MIX REPAROS</t>
  </si>
  <si>
    <t>Reparo M-18 MUS</t>
  </si>
  <si>
    <t>REPARO MIX 100 DOCOL</t>
  </si>
  <si>
    <t>REPARO MIX 200</t>
  </si>
  <si>
    <t>REPARO MIX 222</t>
  </si>
  <si>
    <t>REPARO REGISTRO 2100</t>
  </si>
  <si>
    <t>REPARO REGISTRO 2101</t>
  </si>
  <si>
    <t>REPARO REGISTRO 2102</t>
  </si>
  <si>
    <t>REPARO REGISTRO 2103</t>
  </si>
  <si>
    <t>REPARO REGISTRO 2104</t>
  </si>
  <si>
    <t>REPARO REGISTRO 2105</t>
  </si>
  <si>
    <t>REPARO REGISTRO 2106</t>
  </si>
  <si>
    <t>REPARO REGISTRO 2107</t>
  </si>
  <si>
    <t>REPARO REGISTRO 2108</t>
  </si>
  <si>
    <t>REPARO REGISTRO 2109</t>
  </si>
  <si>
    <t>REPARO REGISTRO 2110</t>
  </si>
  <si>
    <t>REPARO REGISTRO 2112</t>
  </si>
  <si>
    <t>REPARO REGISTRO DECA R05 / 3075</t>
  </si>
  <si>
    <t>REPARO REGISTRO DECA R06 / 3076</t>
  </si>
  <si>
    <t>REPARO REGISTRO DECA R07 / 3077</t>
  </si>
  <si>
    <t>REPARO REGISTRO PRESSÃO DOCOL R07 / 4200</t>
  </si>
  <si>
    <t>RESISTENCIA LORENZETTI MAXI DUCHA ULTRA 127/220</t>
  </si>
  <si>
    <t>ROLO LÃ 328 ALTAS 23CM</t>
  </si>
  <si>
    <t>SARGENTO 3X1</t>
  </si>
  <si>
    <t>SELAMAIS INCOLOR 50G</t>
  </si>
  <si>
    <t>SENSOR DE PRESENÇA AREA EXTERNA</t>
  </si>
  <si>
    <t>SENSOR DE PRESENÇA SOBREPOR AREA INTERNA</t>
  </si>
  <si>
    <t>SERRA COPO 45MM</t>
  </si>
  <si>
    <t>SERRA COPO 53MM</t>
  </si>
  <si>
    <t>SIL CABO FLEXIVEL 1,5MM</t>
  </si>
  <si>
    <t>SIL CABO FLEXIVEL 2,5MM</t>
  </si>
  <si>
    <t>SIL CABO FLEXIVEL 4,0MM</t>
  </si>
  <si>
    <t>SILVER TAPE ADELBRAS 48MMX5M</t>
  </si>
  <si>
    <t xml:space="preserve">Soquete com Chave </t>
  </si>
  <si>
    <t>SOQUETE PORCELANATO E27</t>
  </si>
  <si>
    <t>Soquete Rabicho</t>
  </si>
  <si>
    <t>SPLIT BOLT 25MM</t>
  </si>
  <si>
    <t>STAM FECHADURA 501-502/03 ESTREITA</t>
  </si>
  <si>
    <t>STAM FECHADURA 804/03 EXT</t>
  </si>
  <si>
    <t>STICK VARAL DE PAREDE 18M</t>
  </si>
  <si>
    <t>Suporte Botijão</t>
  </si>
  <si>
    <t xml:space="preserve">SUPORTE DE ANTENA TV EXTERNO </t>
  </si>
  <si>
    <t>SUPORTE DE MANGUEIRA PLASTICO PRETO MEIA LUA</t>
  </si>
  <si>
    <t>SUPORTE DE TV</t>
  </si>
  <si>
    <t>SUPORTE PARA LAJE TETO</t>
  </si>
  <si>
    <t>SUPORTE PARA VARAO PAR</t>
  </si>
  <si>
    <t>SUPORTE SERRA COPO</t>
  </si>
  <si>
    <t>LU</t>
  </si>
  <si>
    <t>TALHADEIRA FERRO 3/4</t>
  </si>
  <si>
    <t>Tanque Duplo Mármore Sintético 1,05x0,55</t>
  </si>
  <si>
    <t>Tanque Triplo Mármore Sintético 1,50x0,55</t>
  </si>
  <si>
    <t>TARJETA TRINCO CAIPIRA RETO N04 10CM</t>
  </si>
  <si>
    <t>TARJETA TRINCO CAIPIRA RETO N06 15CM</t>
  </si>
  <si>
    <t>TELA ANTI INSETO COLETOR 4''</t>
  </si>
  <si>
    <t>TELA MOSQUITEIRO  BRANCO 1,2X50MTS</t>
  </si>
  <si>
    <t>TELA SOMBRITE 1,50X50M 50%</t>
  </si>
  <si>
    <t>THOMPSON LAMINA DE ROÇADEIRA 3 PONTAS</t>
  </si>
  <si>
    <t>Tijolo Pó de Mico</t>
  </si>
  <si>
    <t>Tinta Acrílica Master 18l</t>
  </si>
  <si>
    <t>Tinta Acrílica Master 3,6l</t>
  </si>
  <si>
    <t>TINTA PISO BASE AGUA VERDE - DUCOR - 3,6l</t>
  </si>
  <si>
    <t>TINTA PISO BASE AGUA VERDE - DUCOR - BALDE</t>
  </si>
  <si>
    <t>Torneira Lorenzetti com filtro</t>
  </si>
  <si>
    <t>TORNEIRA PIA ABS BROMADO</t>
  </si>
  <si>
    <t>TORNEIRA PIA PAREDE BICA MÓVEL BRANCA TIGRE</t>
  </si>
  <si>
    <t>Torneira Preta Simples Jardim</t>
  </si>
  <si>
    <t>TORNEIRA TANQUE 15CM BRANCA TIGRE</t>
  </si>
  <si>
    <t>TORNEIRA TANQUE MAQUINA ESFERA</t>
  </si>
  <si>
    <t>TRELIÇA GERDAU H8 6/4,2/4,2MM 6M</t>
  </si>
  <si>
    <t>TRILHO DESTACAVEL SUPORTE P/ DISJUNTOR</t>
  </si>
  <si>
    <t>Válvula Krona Lavatório Plástico s/ Ladrão c/ Unho</t>
  </si>
  <si>
    <t>VALVULA LAVATORIO BRANCA PLASTICO</t>
  </si>
  <si>
    <t>VASSOURA POPULAR C/ CABO</t>
  </si>
  <si>
    <t>VASSOURA SAFIRA PLUS C/ CABO</t>
  </si>
  <si>
    <t>VEDA CALHA GARIN</t>
  </si>
  <si>
    <t>VEDA CALHA WURTH</t>
  </si>
  <si>
    <t>VEDAÇÃO DE SAIDA CAIXA ACOPLADA</t>
  </si>
  <si>
    <t>VEDACIT COMPOUND OTTO 1KG</t>
  </si>
  <si>
    <t>VEDACIT VEDALIT 18L</t>
  </si>
  <si>
    <t>VEDACIT VEDALIT 3,6l</t>
  </si>
  <si>
    <t>VEDACIT VEDAPREN 3,6</t>
  </si>
  <si>
    <t>VERGALHAO FERRO 1/2</t>
  </si>
  <si>
    <t xml:space="preserve">VERGALHAO FERRO 3/8 </t>
  </si>
  <si>
    <t>VERGALHAO FERRO 4.2 - 3/16</t>
  </si>
  <si>
    <t xml:space="preserve">VERGALHAO FERRO 5/16 </t>
  </si>
  <si>
    <t>VERNIZ DE MOTOR WURTH</t>
  </si>
  <si>
    <t>WEB MODULO INTERRUPTOR SIMPLES</t>
  </si>
  <si>
    <t>WEG CONJUNTO SOBREPOR EXTERNO 3/2/1 POSTOS</t>
  </si>
  <si>
    <t>WEG MODULO INTERRUPTOR PARALELO</t>
  </si>
  <si>
    <t>WEG MODULO REDE</t>
  </si>
  <si>
    <t>WEG MODULO TOMADA 2P+T 10A COMPOSE</t>
  </si>
  <si>
    <t>WEG MODULO TOMADA 2P+T 20A COMPOSE</t>
  </si>
  <si>
    <t>WEG PLACA 4x2 MODULAR CORES</t>
  </si>
  <si>
    <t>WEG PLACA C/ SUPORTE 4x2 1/2/3 POSTOS MOD BR</t>
  </si>
  <si>
    <t>WEG SUPORTE PLACA MODULAR 4x2</t>
  </si>
  <si>
    <t>WURTH ABRACADEIRA CHAPA U 1''</t>
  </si>
  <si>
    <t>WURTH ABRACADEIRA CHAPA U 1/2''</t>
  </si>
  <si>
    <t>WURTH ABRACADEIRA CHAPA U 3 1/2''</t>
  </si>
  <si>
    <t>WURTH ABRACADEIRA ROSCA SEM FIM 16X27X9</t>
  </si>
  <si>
    <t>WURTH ABRACADEIRA ROSCA SEM FIM 40X60X9</t>
  </si>
  <si>
    <t>WURTH ABRACADEIRA ROSCA SEM FIM 8X12X9</t>
  </si>
  <si>
    <t>WURTH ABRACADEIRA ROSCA SEM FIM 90X110X9</t>
  </si>
  <si>
    <t>WURTH AUTO FRESS CHEIRINHO</t>
  </si>
  <si>
    <t>WURTH DESENCARBONIZANTE 300ML</t>
  </si>
  <si>
    <t>WURTH DISCO FIBRA LIXA G120</t>
  </si>
  <si>
    <t>WURTH DISCO FIBRA LIXA G36</t>
  </si>
  <si>
    <t>WURTH DISCO FIBRA LIXA G80</t>
  </si>
  <si>
    <t>WURTH DISCO SUPERFLEX G80 4''</t>
  </si>
  <si>
    <t>WURTH EMBELEZADOR DE COURO 100ML</t>
  </si>
  <si>
    <t>WURTH FLANELA DE LIMPEZA</t>
  </si>
  <si>
    <t>WURTH FLUIDO PARA RADIADOR 1L</t>
  </si>
  <si>
    <t>WURTH KIT HIDRATAÇÃO LIMPEZA DE COURO</t>
  </si>
  <si>
    <t>WURTH LAVA E ENCERA 430ML</t>
  </si>
  <si>
    <t xml:space="preserve">WURTH LUVA MAO NYLON PRETA 9 </t>
  </si>
  <si>
    <t>WURTH LUVA MULTIUSO AMARELA</t>
  </si>
  <si>
    <t>WURTH OCULOS SUMMER ESCURO</t>
  </si>
  <si>
    <t>WURTH OCULOS SUMMER INCOLOR</t>
  </si>
  <si>
    <t>WURTH PANO DE MICROFIBRA</t>
  </si>
  <si>
    <t>WURTH RPW REVITALIZADOR PARA BORRACHAS</t>
  </si>
  <si>
    <t>WURTH SELANTE ACRILICO BR</t>
  </si>
  <si>
    <t>WURTH SHAMPOO AUTOMOTIVO C/ CERA 1L</t>
  </si>
  <si>
    <t>WURTH TRENA 3MT</t>
  </si>
  <si>
    <t>WURTH TRENA 8MT</t>
  </si>
  <si>
    <t>WURTH WATER OFF 100ML</t>
  </si>
  <si>
    <t>WURTH W-MAX DISCO DE SERRA MADEIRA 24D 4''</t>
  </si>
  <si>
    <t>WURTH W-MAX DISCO DESBASTE  7''</t>
  </si>
  <si>
    <t>WURTH W-MAX DISCO DESBASTE 4''</t>
  </si>
  <si>
    <t xml:space="preserve">PRODUTO </t>
  </si>
  <si>
    <t>A PAGAR</t>
  </si>
  <si>
    <t>-</t>
  </si>
  <si>
    <t>A DEPOSITAR</t>
  </si>
  <si>
    <t>12.DEZEMBRO</t>
  </si>
  <si>
    <t>TAMBASA 5/5</t>
  </si>
  <si>
    <t xml:space="preserve">ARMARIO PLASTICO ATLAS BANHEIRO </t>
  </si>
  <si>
    <t>ASCCA GRELHA COM COLETOR ANTI INSETO MONTAVEL 15X25</t>
  </si>
  <si>
    <t>ATLAS ASSENTO ALMOFADADO OVAL BRANCO</t>
  </si>
  <si>
    <t>CADEADO TRIANGLE 32MM</t>
  </si>
  <si>
    <t>CANTONEIRA BRANCA 3/4 3 METROS</t>
  </si>
  <si>
    <t>CANTONEIRA POLIDA 1/2 3 METROS</t>
  </si>
  <si>
    <t>CANTONEIRA PRETA 3/4 3 METROS</t>
  </si>
  <si>
    <t>CHAVE L LONGA 12</t>
  </si>
  <si>
    <t>CHAVE L LONGA 15</t>
  </si>
  <si>
    <t>CHAVE L LONGA 8</t>
  </si>
  <si>
    <t>CHAVE PHILIPIS 1/4X1/2</t>
  </si>
  <si>
    <t>COLUNA PRONTA 8MM (15X15) 6M GERDAU</t>
  </si>
  <si>
    <t>COLUNA PRONTA 8MM (7X14) 6M GERDAU</t>
  </si>
  <si>
    <t>CONEXAO CURVA SOLD 90X25MM</t>
  </si>
  <si>
    <t>CONEXAO CURVA SOLD 90x32</t>
  </si>
  <si>
    <t>DISCO 9'' DE SERRA MADEIRA 24D  THOMPSON</t>
  </si>
  <si>
    <t>DISJUNTOR NEMA UNIPOLAR 35A PRETO</t>
  </si>
  <si>
    <t>DUCOR SELADOR ACRILICO 1L</t>
  </si>
  <si>
    <t>ENGATE FLEXIVEL 40CM</t>
  </si>
  <si>
    <t>FITA CREPE 48x50 ADERE</t>
  </si>
  <si>
    <t>FITA ISOLANTE STECK 20M</t>
  </si>
  <si>
    <t>FORMAO PREMIUM 1.1/4 CHANFRADO THOMPSON</t>
  </si>
  <si>
    <t>GRELHA ALUMINIO SEM COLETOR 20X20 COM SUPORTE</t>
  </si>
  <si>
    <t>GRELHA ALUMINIO SEM COLETOR 20X20 SEM SUPORTE</t>
  </si>
  <si>
    <t>GRELHA ALUMINIO SEM COLETOR 20X50 COM SUPORTE</t>
  </si>
  <si>
    <t>GRELHA ALUMINIO SEM COLETOR 20X50 SEM SUPORTE</t>
  </si>
  <si>
    <t>KIT JARDIM JARDINAGEM</t>
  </si>
  <si>
    <t>KIT MANGUEIRA 15M</t>
  </si>
  <si>
    <t>LOTTUS FLEX DISCO CORTE PORCELANATO EXTRA FINO 22 C/ ANEL</t>
  </si>
  <si>
    <t>LOTTUS FLEX DISCO CORTE SEGMENTADO/TURBO FURO 22 C/ ANEL</t>
  </si>
  <si>
    <t>MALHA POP LEVE 20X20 3.4MM PAINEL 2X3M GERDAU</t>
  </si>
  <si>
    <t>MANGUEIRA JARDIM 1/2 SILICONE</t>
  </si>
  <si>
    <t>MANGUEIRA POLITILENO IPLASTIC 3/4X2,0MM</t>
  </si>
  <si>
    <t>MANQUEIRA JARDIM 1/2 TRANCADA</t>
  </si>
  <si>
    <t>MARROART CONJUNTO MILANO BANHEIRO 640X320X595 AÇO</t>
  </si>
  <si>
    <t>MARROART CONJUNTO SIENA BANHEIRO 450X320X59 AÇO</t>
  </si>
  <si>
    <t>MARROART GABINETE COZINHA ELLOS BRANCO 120 AÇO</t>
  </si>
  <si>
    <t>MARROART GABINETE COZINHA ELLOS BRANCO 150 AÇO</t>
  </si>
  <si>
    <t>MARROART GABINETE COZINHA ELLOS BRANCO 180 AÇO</t>
  </si>
  <si>
    <t>MARROART GABINETE TANQUE 1 CUBA AÇO</t>
  </si>
  <si>
    <t>MARROART GABINETE TANQUE 2 CUBAS AÇO</t>
  </si>
  <si>
    <t>MARTELO CABO DE MADEIRA BRAZHU 25MM</t>
  </si>
  <si>
    <t>MARTELO DE SILICONE</t>
  </si>
  <si>
    <t>NILO AREJADOR ARTICULADO ABS 3/4</t>
  </si>
  <si>
    <t>NILO BARRA DE APOIO 60CM CROMADO</t>
  </si>
  <si>
    <t>NILO CHAVETA CROMADA  C33 R01</t>
  </si>
  <si>
    <t>NILO CHAVETA CROMADA  R01</t>
  </si>
  <si>
    <t>NILO MECANISMO M18</t>
  </si>
  <si>
    <t>NILO REGISTRO DE PRESSAO 3/4 1400 NILO</t>
  </si>
  <si>
    <t>NILO REPARO REGISTRO R6</t>
  </si>
  <si>
    <t>NILO REPARO REGISTRO R8</t>
  </si>
  <si>
    <t>PARAFUSO CHIPBOARD 4,0X40MM</t>
  </si>
  <si>
    <t>PASSA FIO 15M C/ ALMA FOXLUX</t>
  </si>
  <si>
    <t>PIA GARCA MARMOFIBRA PRETA/BRANCA 1,50</t>
  </si>
  <si>
    <t>PILHA EVEREADY AA</t>
  </si>
  <si>
    <t>PREGO 19X36</t>
  </si>
  <si>
    <t>PRIME IMPERIO METAIS TORNEIRA COZINHA ABS BRANCA</t>
  </si>
  <si>
    <t>PRUMO PVC</t>
  </si>
  <si>
    <t>PULVERIZADOR FAMASTIL 2L</t>
  </si>
  <si>
    <t>RASTELO PLASTICO 24D ROMA</t>
  </si>
  <si>
    <t>REGUA ALUMINIO 3MT MEDIA AZUL</t>
  </si>
  <si>
    <t>ROMA ASSENTO SANITARIO BRANCO/CORES</t>
  </si>
  <si>
    <t>SOLEIRA CINZA CORUMBA / VERDE UBATUBA 0,82 X 0,14</t>
  </si>
  <si>
    <t>SOLEIRA CINZA CORUMBA / VERDE UBATUBA 0,92 X 0,14</t>
  </si>
  <si>
    <t>SUPORTE CAIXA DESCARGA</t>
  </si>
  <si>
    <t>TANQUE GARCA MARMOFIBRA  LEVE 1 BOLA/BATEDOR</t>
  </si>
  <si>
    <t>TOMADA EM BARRA 3 KAHEL</t>
  </si>
  <si>
    <t>TOMADA EM BARRA 4 KAHEL</t>
  </si>
  <si>
    <t>TOMADA EM BARRA 5 KAHEL</t>
  </si>
  <si>
    <t>WURTH LUVA MISTA RASPA</t>
  </si>
  <si>
    <t>WURTH LUVA NITRIL CINZA</t>
  </si>
  <si>
    <t>WURTH LUVA VAQUETA PETROLEIRA</t>
  </si>
  <si>
    <t>WURTH MASCARA RESPIRADOR</t>
  </si>
  <si>
    <t>WURTH SERRA ACO CARBONO 24D</t>
  </si>
  <si>
    <t>PIX</t>
  </si>
  <si>
    <t>DINHEIRO</t>
  </si>
  <si>
    <t>DEBITO</t>
  </si>
  <si>
    <t>SETEMBRO</t>
  </si>
  <si>
    <t>CONEXAO LUVA AZ 25X1/2</t>
  </si>
  <si>
    <t>COMBUSTIVEL</t>
  </si>
  <si>
    <t>CREDITO</t>
  </si>
  <si>
    <t xml:space="preserve">ARRUELA LISA ZINCADA 5/16 </t>
  </si>
  <si>
    <t xml:space="preserve">ARRUELA LISA ZINCADA 3/8 </t>
  </si>
  <si>
    <t>VASO SANITARIO LOGASA PARATI BRANCO SIMPLES</t>
  </si>
  <si>
    <t xml:space="preserve">1 - dia 1 a 8 </t>
  </si>
  <si>
    <t>2 - dia 9 a 16</t>
  </si>
  <si>
    <t>3 - dia 17 a 24</t>
  </si>
  <si>
    <t>4 - dia 25 a 30</t>
  </si>
  <si>
    <t>CONASID 2/2</t>
  </si>
  <si>
    <t>CAIXA MEDICAO ACRILICA ELEKTRO</t>
  </si>
  <si>
    <t>AIEDEM ABRACADEIRA CHAPA U 4''</t>
  </si>
  <si>
    <t>CONEXAO ADAPTADOR SOLDAVEL 32x1''</t>
  </si>
  <si>
    <t>CONEXAO ADAPTADOR SOLDAVEL 25x3/4</t>
  </si>
  <si>
    <t>CONEXAO ADAPTADOR SOLDAVEL 20x1/2</t>
  </si>
  <si>
    <t>CONEXAO ADAPTADOR SOLDAVEL 50X1.1/2</t>
  </si>
  <si>
    <t>CHUVEIRO DUCHA LORENZETTI BELLA DUCHA ULTRA 4T</t>
  </si>
  <si>
    <t>ILUMI EXTENSAO 2P 10A 10MT</t>
  </si>
  <si>
    <t>RESISTENCIA LORENZETTI BELLA DUCHA 4T (MODELO ANTIGO)</t>
  </si>
  <si>
    <t>RESISTENCIA LORENZETTI BELLA DUCHA 4T (MODELO NOVO</t>
  </si>
  <si>
    <t>MANGUEIRA POLITILENO IPLASTIC 1X2,0MM</t>
  </si>
  <si>
    <t>DUCOR MASSA CORRIDA PVA INTERNA - LITRO</t>
  </si>
  <si>
    <t>PROFIELD 7'' DISCO SEGMENTADO</t>
  </si>
  <si>
    <t xml:space="preserve">DISCO 7'' DIAMANTADO TURBO THOMPSON </t>
  </si>
  <si>
    <t>BROCA MOURAO MADEIRA 3/8 MELFI</t>
  </si>
  <si>
    <t>BROCA MOURAO MADEIRA 1/2 PROFIELD</t>
  </si>
  <si>
    <t>BUCHA BLOCO BRANCA 8MM</t>
  </si>
  <si>
    <t>BUCHA BLOCO BRANCA 10MM</t>
  </si>
  <si>
    <t>ARRUELA LISA ZINCADA 1/4</t>
  </si>
  <si>
    <t>PARAFUSO FENDA 3/16X2</t>
  </si>
  <si>
    <t>PARAFUSO FENDA 3/16X1.1/2</t>
  </si>
  <si>
    <t>PARAFUSOS FENDA 3/16 X 2.1/2</t>
  </si>
  <si>
    <t>PARAFUSO FENDA 1/4X1.1/2</t>
  </si>
  <si>
    <t>PARAFUSO FENDA 1/4X2.1/2</t>
  </si>
  <si>
    <t>PARAFUSO FRANCES POL UNC 3/8X3</t>
  </si>
  <si>
    <t>D'DIAS ENGATE TRANÇADO 40CM</t>
  </si>
  <si>
    <t>D'DIAS ENGATE TRANÇADO 60CM</t>
  </si>
  <si>
    <t>ASTRA ASSENTO SANITARIO TALENTO OVAL</t>
  </si>
  <si>
    <t>ASTRA ASSENTO SANITARIO SOFT</t>
  </si>
  <si>
    <t>ASTRA ASSENTO SANITARIO POP POPULAR</t>
  </si>
  <si>
    <t xml:space="preserve">ASTRA ASSENTO SANITARIO MASTER </t>
  </si>
  <si>
    <t>ASTRA ARMARIO BANHEIRO ALUMINIO AL41*BR1</t>
  </si>
  <si>
    <t>ARMARIO PLASTICO ASTRA A52*BR1</t>
  </si>
  <si>
    <t>ASTRA BACIA 14L</t>
  </si>
  <si>
    <t>ASTRA BACIA 20L</t>
  </si>
  <si>
    <t>ASTRA BACIA 25L</t>
  </si>
  <si>
    <t>ASTRA SUPORTE DE MANGUEIRA PLASTICO PMJ*VD5</t>
  </si>
  <si>
    <t>ASTRA BOIA 3/4 x 1/2 TB1234</t>
  </si>
  <si>
    <t>CAIXA DE PASSAGEM</t>
  </si>
  <si>
    <t>VALVULA DE RETENCAO 100MM</t>
  </si>
  <si>
    <t>TELHA MULTILIT 6MM 3,66 x 1,10</t>
  </si>
  <si>
    <t>TELHA MULTILIT 3,05x1,10 6mm</t>
  </si>
  <si>
    <t xml:space="preserve">PARAFUSO TELHEIRO TELHA </t>
  </si>
  <si>
    <t>FECHADURA EXT BICO DE PAPAGAIO PORTA DE CORRER 6917 AROUCA</t>
  </si>
  <si>
    <t>IMBER TUBO SOLDAVEL 32MM</t>
  </si>
  <si>
    <t>CONEXAO MANGUEIRA UNIAO INTERNA 3/8'</t>
  </si>
  <si>
    <t>DISJUNTOR NEMA UNIPOLAR 80A PRETO</t>
  </si>
  <si>
    <t>DISJUNTOR NEMA BIPOLAR  40A PRETO</t>
  </si>
  <si>
    <t>DOUBLE TAPE FITA DUPLA FACE 15 X 1,5 MTS</t>
  </si>
  <si>
    <t>ILUMI QUADRO DE DISJUNTORES 4DIN</t>
  </si>
  <si>
    <t>WEG MODULO INTERRUPTOR SIMPLES</t>
  </si>
  <si>
    <t>HIPERLAR ESMALTE 112,5ML</t>
  </si>
  <si>
    <t>CONEXAO BRANCA NIPEL ROSCA 1/2</t>
  </si>
  <si>
    <t>CONEXAO LUVA ESGOTO DD  100MM</t>
  </si>
  <si>
    <t>BATALHAO PORTA PTA CRYSTAL LAMINADA PRONTA BRANCA 84X215X12</t>
  </si>
  <si>
    <t>BATALHAO VITRO 4FOLHAS C/ GRADE LISO 120X100X80 BRC L16</t>
  </si>
  <si>
    <t>BATALHAO VITRO 4FOLHAS C/ GRADE LISO 150X100X80 BRC L16</t>
  </si>
  <si>
    <t>CADEADO TRIANGLE 38MM</t>
  </si>
  <si>
    <t>CADEADO TRIANGLE 50MM</t>
  </si>
  <si>
    <t>ALICATE DE BICO 6'' TATOOLS</t>
  </si>
  <si>
    <t>MARINI CABIDE SIMPLES</t>
  </si>
  <si>
    <t>MARINI SABONETEIRA COM SUPORTE</t>
  </si>
  <si>
    <t>CHAVE CANHAO PROFIELD 6MM</t>
  </si>
  <si>
    <t>CHAVE CANHAO PROFIELD 8MM</t>
  </si>
  <si>
    <t>LIQUIDO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</si>
  <si>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</si>
  <si>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</si>
  <si>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</si>
  <si>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</si>
  <si>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</si>
  <si>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</si>
  <si>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</si>
  <si>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</si>
  <si>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OUTUBRO</t>
  </si>
  <si>
    <t>NOVEMBRO</t>
  </si>
  <si>
    <t>DEZEMBRO</t>
  </si>
  <si>
    <t>ESCADA DOMESTICA 4 DEGRAUS AGATA</t>
  </si>
  <si>
    <t>GRELHA INOX 150MM QUAD/RED SSMETAIS</t>
  </si>
  <si>
    <t xml:space="preserve">PORTA SHAMPOO GRANDE DE CANTO BRANCO </t>
  </si>
  <si>
    <t>MAO FRANCESA 250 BRANCA</t>
  </si>
  <si>
    <t>GRELHA ALUMINIO COM COLETOR 15X30</t>
  </si>
  <si>
    <t>GRELHA ALUMINIO COM COLETOR 20X50</t>
  </si>
  <si>
    <t>CAL PINTURA 8KG</t>
  </si>
  <si>
    <t>SETOR</t>
  </si>
  <si>
    <t>LOJA</t>
  </si>
  <si>
    <t>OUTROS</t>
  </si>
  <si>
    <t>SISTEMA</t>
  </si>
  <si>
    <t>BASICO</t>
  </si>
  <si>
    <t>CANIVETE</t>
  </si>
  <si>
    <t>AREJADOR TORNEIRA ANTIRRESPINGO</t>
  </si>
  <si>
    <t>EXTENSOR FLEXIVEL DE TORNEIRA</t>
  </si>
  <si>
    <t>TESOURA PROFIELD</t>
  </si>
  <si>
    <t>CATRACA PRENDEDOR DE CARGA 4,5M X 2,5CM</t>
  </si>
  <si>
    <t>PROFIELD JOGO DE SERRA COPO PARA MADEIRA 6PCS</t>
  </si>
  <si>
    <t>PROFIELD JOGO DE SERRA COPO PARA MADEIRA 11PCS</t>
  </si>
  <si>
    <t>CADEADO TRIANGLE 75MM</t>
  </si>
  <si>
    <t>BLACK DECKER FURADEIRA IMPACTO 3/8 (10MM) 560W 127V</t>
  </si>
  <si>
    <t>BLACK DECKER FURADEIRA IMPACTO 1/2 560W 127V C/ MALETA</t>
  </si>
  <si>
    <t>IRWIN TRENA PROFISSIONAL EMBORRACHADA 8MT</t>
  </si>
  <si>
    <t>STANLEY TRENA BASICA 8MT</t>
  </si>
  <si>
    <t>STANLEY DISCO CORTE AÇO/INOX 4</t>
  </si>
  <si>
    <t>ALICATE RIBITADOR RIBITADORA IRWIN</t>
  </si>
  <si>
    <t>BROCA 3 PONTAS IRWIN 5MM</t>
  </si>
  <si>
    <t>BROCA 3 PONTAS IRWIN 10MM</t>
  </si>
  <si>
    <t>PIA BACIA INOX 2,00 X 0,55</t>
  </si>
  <si>
    <t>PIA FIBRA 1,80 X 0,55</t>
  </si>
  <si>
    <t>PIA BACIA INOX 1,20 X 0,55</t>
  </si>
  <si>
    <t>PIA BACIA INOX 1,80 X 0,55</t>
  </si>
  <si>
    <t>CHEQUE</t>
  </si>
  <si>
    <t>CREDITO PARCELADO</t>
  </si>
  <si>
    <t>PARAFUSOS BROCANTE FLANGEADO 4.2X16</t>
  </si>
  <si>
    <t>ALICATE TORQUE TURQUESA N12</t>
  </si>
  <si>
    <t>BARICAR BARRA DE APOIO 040CM BRANCO</t>
  </si>
  <si>
    <t>BARICAR BARRA DE APOIO 060CM BRANCO</t>
  </si>
  <si>
    <t>BARICAR BARRA DE APOIO 060CM CROMADO</t>
  </si>
  <si>
    <t>BARICAR BARRA DE APOIO 080CM BRANCO</t>
  </si>
  <si>
    <t>BARICAR BARRA DE APOIO 100CM BRANCO</t>
  </si>
  <si>
    <t>CAPACITOR 127V 3 FIOS</t>
  </si>
  <si>
    <t>BARICAR ESPATULA AÇO 10CM</t>
  </si>
  <si>
    <t>BARICAR ESPATULA AÇO 8CM</t>
  </si>
  <si>
    <t>PACETA COLHER DE PEDREIRO</t>
  </si>
  <si>
    <t>FERTAK TOOLS COLHER DE PEDREIRO N7</t>
  </si>
  <si>
    <t>DESEMPENADEIRA AZUL 12x22</t>
  </si>
  <si>
    <t xml:space="preserve">INOVA TORNEIRA DE MESA LAVATORIO </t>
  </si>
  <si>
    <t>INOVA TORNEIRA BICA MOVEL LAVATORIO</t>
  </si>
  <si>
    <t>INOVA TORNEIRA BICA MOVEL PAREDE</t>
  </si>
  <si>
    <t>INOVA ESGUICHO GATILHO</t>
  </si>
  <si>
    <t xml:space="preserve">INOVA TORNEIRA JARDIM PRATA </t>
  </si>
  <si>
    <t>TINGIDOR IMBUIA 200ML MOCOCA</t>
  </si>
  <si>
    <t>TINGIDOR MOGNO 200ML MOCOCA</t>
  </si>
  <si>
    <t>CORTAG ALICATE NIVELAMENTO PISO</t>
  </si>
  <si>
    <t>RODEL CORTAR PISO 7 X 80mm</t>
  </si>
  <si>
    <t>HIPERLAR ESMALTE 3,6L</t>
  </si>
  <si>
    <t>ADERE FITA FORTE DUPLA FACE 12MMX2M</t>
  </si>
  <si>
    <t>DISJUNTOR UNIPOLAR 20A</t>
  </si>
  <si>
    <t>ROLDANA 36 C/ PREGO</t>
  </si>
  <si>
    <t>ROLDANA 24 C/ PREGO</t>
  </si>
  <si>
    <t>DOUBLE TAPE FITA DUPLA FACE 12 X 1 MTS</t>
  </si>
  <si>
    <t>RELE FOTOCELULA 500E ELETRONICO</t>
  </si>
  <si>
    <t>FRISO RODINHO DE PORTA 80CM</t>
  </si>
  <si>
    <t>ARGAMASSA ARGACELIT AC3 PSP</t>
  </si>
  <si>
    <t>FAME CHUVEIRO DUCHA FAMINHO 4T 110/220</t>
  </si>
  <si>
    <t>FAME PISTOLA COLA QUENTE 15W</t>
  </si>
  <si>
    <t>BATALHAO MAXIM-AR CRYSTAL QUAD 60X60X12</t>
  </si>
  <si>
    <t>CHURRASQUEIRA BOTIJAO</t>
  </si>
  <si>
    <t>GRELHA QUAD/RETAN</t>
  </si>
  <si>
    <t>D'DIAS MECANISMO M22 1/4 DE VOLTA</t>
  </si>
  <si>
    <t>D'DIAS ENGATE DUCHA HIGIENICA 120CM</t>
  </si>
  <si>
    <t>EUCATEX RESINA ACRILICA CERAMICA TELHA 18L</t>
  </si>
  <si>
    <t>01.JANEIRO</t>
  </si>
  <si>
    <t>PU 40 FIX</t>
  </si>
  <si>
    <t>REBOLO DIAMANTADO TURBO</t>
  </si>
  <si>
    <t>PARAFUSO SEXTAVADO SOBERBO 1/4X75</t>
  </si>
  <si>
    <t>WURTH ABRACADEIRA CHAPA U 1 1/4''</t>
  </si>
  <si>
    <t>WURTH ABRACADEIRA CHAPA U 1 1/2''</t>
  </si>
  <si>
    <t>PARAFUSOS BROCANTE FLANGEADO 1/2X5,5</t>
  </si>
  <si>
    <t>PREGO TELHEIRO 18X30</t>
  </si>
  <si>
    <t>BOIA CAIXA DESCARGA ALUMASA</t>
  </si>
  <si>
    <t>MANGUEIRA TRANCADA ENTRADA DE AGUA MAQUINA 1,80</t>
  </si>
  <si>
    <t>TARJETA TRINCO CAIPIRA RETO N03 7,5CM</t>
  </si>
  <si>
    <t>BOTINA COURO S/ BICO FERRO PRETA</t>
  </si>
  <si>
    <t>LIMA THOMPSON ENXADA</t>
  </si>
  <si>
    <t>CONEXAO LUVA DE CORRER ESGOTO 75</t>
  </si>
  <si>
    <t>CONEXAO LUVA DE CORRER ESGOTO 50</t>
  </si>
  <si>
    <t>CONEXAO LUVA DE CORRER ESGOTO 40</t>
  </si>
  <si>
    <t>CONEXAO LUVA DE CORRER ESGOTO 100</t>
  </si>
  <si>
    <t>ELETRODUTO GALVANIZADO 3/4</t>
  </si>
  <si>
    <t>REFLETOR LED 20W FOXLUX</t>
  </si>
  <si>
    <t>REGISTRO DE GAS VINIGAS</t>
  </si>
  <si>
    <t>ABRACADEIRA ENFORCA GATO  2,5X100MM 100UNI</t>
  </si>
  <si>
    <t>CADEADO PADO LT-25mm</t>
  </si>
  <si>
    <t>CADEADO PADO LT-30mm</t>
  </si>
  <si>
    <t>CADEADO PADO LT-35mm</t>
  </si>
  <si>
    <t>CADEADO PADO LT-40mm</t>
  </si>
  <si>
    <t>CADEADO PADO LT-50mm</t>
  </si>
  <si>
    <t>CADEADO PADO LT-20MM</t>
  </si>
  <si>
    <t>CHEMICOLOR VERNIZ SPRAY MADEIRA</t>
  </si>
  <si>
    <t>LUVA PU BLACK MARLUVAS</t>
  </si>
  <si>
    <t>MOR FAROL LANTERNA HOLOFOTE POWER LED 265 LUMENS</t>
  </si>
  <si>
    <t>MOR FAROL LANTERNA HOLOFOTE POWER LED 65 LUMENS</t>
  </si>
  <si>
    <t>MOR FAROL LANTERNA HOLOFOTE POWER LED 140 LUMENS</t>
  </si>
  <si>
    <t>MOR FAROL LANTERNA HOLOFOTE POWER LED 250 LUMENS</t>
  </si>
  <si>
    <t>REGISTRO PVC ROSCA/SOLD 3/4</t>
  </si>
  <si>
    <t>REGISTRO PVC ROSCA/SOLD 1 1/2</t>
  </si>
  <si>
    <t xml:space="preserve">REGISTRO PVC ROSCA/SOLD 1 </t>
  </si>
  <si>
    <t>REGISTRO PVC ROSCA/SOLD 1 1/4</t>
  </si>
  <si>
    <t>CHAVE COMBINADA 11MM</t>
  </si>
  <si>
    <t>CHAVE COMBINADA 15MM</t>
  </si>
  <si>
    <t>ELETRODUTO GALVANIZADO 1.1/4</t>
  </si>
  <si>
    <t>DISJUNTOR TRIPOLAR 63A</t>
  </si>
  <si>
    <t>DISJUNTOR TRIPOLAR 40A</t>
  </si>
  <si>
    <t>DISJUNTOR TRIPOLAR 25A</t>
  </si>
  <si>
    <t>ARMARIO PLASTICO HERCBANHEIRO 34X37</t>
  </si>
  <si>
    <t>MARROART CONJUNTO SIENA BANHEIRO 610X320X595 AÇO</t>
  </si>
  <si>
    <t>VENDA BRUTA</t>
  </si>
  <si>
    <t>DIA 30 60REAIS CHEQUE</t>
  </si>
  <si>
    <t xml:space="preserve">MANGUEIRA JARDIM 3/4x2,5 </t>
  </si>
  <si>
    <t>SUPORTE VARAL GALVANIZADO</t>
  </si>
  <si>
    <t>MARRETA MOMFORT 1KG</t>
  </si>
  <si>
    <t>CAIXA DE CORREIO TIJOLINHO</t>
  </si>
  <si>
    <t>CAIXA DE CORREIO REVISTA</t>
  </si>
  <si>
    <t>CAIXA DE CORREIO CORRESPONDENCIA VERTICAL</t>
  </si>
  <si>
    <t>LIXEIRA PAREDE</t>
  </si>
  <si>
    <t>LIXEIRA CHAO</t>
  </si>
  <si>
    <t>TABOA PINUS 3X025</t>
  </si>
  <si>
    <t>TABOA PINUS 3X030</t>
  </si>
  <si>
    <t>VEDACIT IMPERMEABILIZANTE 3,6L</t>
  </si>
  <si>
    <t>REPARO CAIXA ACOPLADA ASTRA MECANISMO DE ENTRADA UNIVERSAL</t>
  </si>
  <si>
    <t>CUNHA PARA ENXADA</t>
  </si>
  <si>
    <t>ESPACADOR NIVELADOR ALINHA PISO 1/1.5/2MM DEPLASTI</t>
  </si>
  <si>
    <t>CUNHA NIVELADORA DEPLASTI</t>
  </si>
  <si>
    <t>CONEXAO MANGUEIRA ADAPTADOR INTERNO 1.1/2</t>
  </si>
  <si>
    <t>CONEXAO MANGUEIRA ADAPTADOR INTERNO 1 x 3/4</t>
  </si>
  <si>
    <t>CONEXAO MANGUEIRA ADAPTADOR INTERNO 3/4</t>
  </si>
  <si>
    <t>ATLAS ROLO ESPUMA AMARELA 15CM</t>
  </si>
  <si>
    <t>CABO ENXADA 150CM</t>
  </si>
  <si>
    <t>REJUNTE VOTOMASSA 1KG</t>
  </si>
  <si>
    <t>BLACK DECKER ESMERILHADEIRA ANGULAR 4.1/2 650W 127V</t>
  </si>
  <si>
    <t>CARVAO FURADEIRA</t>
  </si>
  <si>
    <t>BLACK DECKER PARAFUSAD/FURAD.12V C/31 ACESS+MALETA</t>
  </si>
  <si>
    <t>BLACK DECKER PARAFUSAD/FURAD.12V C/13 ACESS+CAIXA</t>
  </si>
  <si>
    <t>BROCA 3 PONTAS IRWIN 4MM</t>
  </si>
  <si>
    <t>MOR GUARDA CHUVA SORTIDO</t>
  </si>
  <si>
    <t>MOR GUARDA CHUVA PRETO</t>
  </si>
  <si>
    <t>CAPA LARGA/PAULISTINHA</t>
  </si>
  <si>
    <t>PE DE CABRA</t>
  </si>
  <si>
    <t>MARINI VALVULA AMERICANA BORRACHA</t>
  </si>
  <si>
    <t>ACABAMENTO VALVULA DOCOL CINZA/BEGE</t>
  </si>
  <si>
    <t>ACABAMENTO VALVULA DOCOL CROMADO</t>
  </si>
  <si>
    <t xml:space="preserve">REPARO CAIXA ACOPLADA OBTURADOR  </t>
  </si>
  <si>
    <t>TECLA ACABAMENTO VALVULA DOCOL</t>
  </si>
  <si>
    <t>EXTENSAO CROMADA LONGA 3/4</t>
  </si>
  <si>
    <t>EXTENSAO CROMADA CURTA 3/4</t>
  </si>
  <si>
    <t>BUCHA REDUÇAO 3/4X1/2 AMARELA</t>
  </si>
  <si>
    <t>MARINI PORTA SHAMPOO INOX 10X35</t>
  </si>
  <si>
    <t>MARINI PORTA SHAMPOO CANTO STANDART</t>
  </si>
  <si>
    <t>EXTENSAO CROMADA CURTA 1/2</t>
  </si>
  <si>
    <t>MARINI KIT BANHEIRO LUXO</t>
  </si>
  <si>
    <t>MARINI KIT BANHEIRO REDONDO</t>
  </si>
  <si>
    <t>TORNEIRA ESFERA JARDIM 3/4</t>
  </si>
  <si>
    <t>SUPORTE DUCHA HIGIENICA</t>
  </si>
  <si>
    <t>SALVA REGISTRO 7 BUCHAS C/ ACABAMENTO</t>
  </si>
  <si>
    <t>CHAVETA AMARELA  R01</t>
  </si>
  <si>
    <t>FIXA FORTE DUPLA FACE 19X02 400G</t>
  </si>
  <si>
    <t>COLA CONTATO CASCOLA TRADICIONAL 195G</t>
  </si>
  <si>
    <t>COLA CONTATO CASCOLA TRADICIONAL 2,8KG</t>
  </si>
  <si>
    <t>COLA CONTATO CASCOLA TRADICIONAL 400G</t>
  </si>
  <si>
    <t>DESEMPENADEIRA GRAFIATO 14X27 ROMA</t>
  </si>
  <si>
    <t>GANCHO REDE PARAFUSAR</t>
  </si>
  <si>
    <t>CHAVE CANHAO PROFIELD 10MM</t>
  </si>
  <si>
    <t>CHAVE CANHAO PROFIELD 11MM</t>
  </si>
  <si>
    <t xml:space="preserve">DISCO 7'' DE SERRA MADEIRA 24D  </t>
  </si>
  <si>
    <t>D'DIAS KIT DUCHA HIGIENICA ABS</t>
  </si>
  <si>
    <t>GARFO GAIOLA REFORÇADO</t>
  </si>
  <si>
    <t>GARFO COMUM REFORÇADO</t>
  </si>
  <si>
    <t>ESPATULA PAG 12</t>
  </si>
  <si>
    <t>ESPATULA PAG 15</t>
  </si>
  <si>
    <t>BUCHA BLOCO BRANCA 6MM</t>
  </si>
  <si>
    <t>FITA VEDA ROSCA 12MMX5M WURTH</t>
  </si>
  <si>
    <t>PARAFUSO SEXTAVADO SOBERBO 5/16X80</t>
  </si>
  <si>
    <t>COLA VINIL 17G</t>
  </si>
  <si>
    <t>COLSON CAMARA DE AR</t>
  </si>
  <si>
    <t>CABO COAXIAL 95% FOXLUX</t>
  </si>
  <si>
    <t>CABIDE DUPLO ALIANÇA</t>
  </si>
  <si>
    <t>JOELHEIRA CORTAG</t>
  </si>
  <si>
    <t>ILUMI ESPELHO CEGO PLACA CEGA</t>
  </si>
  <si>
    <t>ILUMI ESPELHO CEGO PLACA CEGA COM FURO</t>
  </si>
  <si>
    <t>PREGO 26 X 84</t>
  </si>
  <si>
    <t>CHAPEU 216</t>
  </si>
  <si>
    <t>ILUMI AA CONJUNTO 1 TOMADA 20A 4X2</t>
  </si>
  <si>
    <t xml:space="preserve">ILUMI AB CONJUNTO 1 TOMADA 10A 4x2 </t>
  </si>
  <si>
    <t>ILUMI AC CONJUNTO  2 TOMADAS 10A 4X2</t>
  </si>
  <si>
    <t>ILUMI AD CONJUNTO 3 TOMADAS 4X2</t>
  </si>
  <si>
    <t>ILUMI BB CONJUNTO 2 INTERRUPTOR SIMPLES</t>
  </si>
  <si>
    <t xml:space="preserve">ILUMI BA CONJUNTO  1 INTERRUPTOR SIMPLES  </t>
  </si>
  <si>
    <t>ILUMI CA CONJUNTO  1 INTER SIMP + 1 TOMADA 10A</t>
  </si>
  <si>
    <t>ILUMI CB CONJUNTO  2 INTER SIMP + 1 TOMADA 10A</t>
  </si>
  <si>
    <t>CONEXAO TEE SOLD 25x25</t>
  </si>
  <si>
    <t>CONEXAO TEE SOLD 32x25</t>
  </si>
  <si>
    <t>CONEXAO TEE SOLD 50x25</t>
  </si>
  <si>
    <t>CONEXAO TEE SOLD 50x50</t>
  </si>
  <si>
    <t xml:space="preserve">CONEXAO FRANJA FLANGE 25x3/4 </t>
  </si>
  <si>
    <t xml:space="preserve">CONEXAO FRANJA FLANGE 32x1 </t>
  </si>
  <si>
    <t xml:space="preserve">CONEXAO FRANJA FLANGE 40x1.1/4 </t>
  </si>
  <si>
    <t xml:space="preserve">CONEXAO FRANJA FLANGE 50x1.1/2 </t>
  </si>
  <si>
    <t>CONEXAO FRANJA FLANGE 60X2</t>
  </si>
  <si>
    <t>CONEXAO JOELHO SOLDAVEL 45x40mm</t>
  </si>
  <si>
    <t>CABO FLEXIVEL C 6MM</t>
  </si>
  <si>
    <t>DISCO LIXA 4''</t>
  </si>
  <si>
    <t>DISCO LIXA 7''</t>
  </si>
  <si>
    <t>SIKATOP 18KG</t>
  </si>
  <si>
    <t>SIKATOP 4KG</t>
  </si>
  <si>
    <t>02.FEVEREIRO</t>
  </si>
  <si>
    <t>03.MARÇO</t>
  </si>
  <si>
    <t>VEDACIT BIANCO 3,6KG</t>
  </si>
  <si>
    <t>VEDACIT BIANCO 900G</t>
  </si>
  <si>
    <t>ASSENTO SANITARIO ALUMASA ALMOFADADO</t>
  </si>
  <si>
    <t>TESOURA DE PODA MOMFORT</t>
  </si>
  <si>
    <t>PNEU CARRIOLA 3.25X8</t>
  </si>
  <si>
    <t>MISTURADOR DE TINTA</t>
  </si>
  <si>
    <t>ESTANHO 15G</t>
  </si>
  <si>
    <t>DESEMPENADEIRA MADEIRA 24X14</t>
  </si>
  <si>
    <t>PRUMO DE PAREDE 400G MOMFORT</t>
  </si>
  <si>
    <t>PRUMO DE PAREDE 500G MOMFORT</t>
  </si>
  <si>
    <t>MAO FRANCESA 200 BRANCA</t>
  </si>
  <si>
    <t>PA DE BICO MOMFORT</t>
  </si>
  <si>
    <t>MARRETA MOMFORT 1,5KG</t>
  </si>
  <si>
    <t>ENXADA LARGA PEGORARI</t>
  </si>
  <si>
    <t>GRELHA ALUMINIO SEM COLETOR 20X30 SEM SUPORTE</t>
  </si>
  <si>
    <t>GRELHA ALUMINIO SEM COLETOR 15X30 SEM SUPORTE</t>
  </si>
  <si>
    <t>PAMPA ROLO LA ANTI-GOTA VERMELHO 23CM</t>
  </si>
  <si>
    <t>PAMPA ROLO LA ANTI-GOTA BRANCO/AMARELO BRANCO/VERDE 23CM</t>
  </si>
  <si>
    <t>PAMPA ROLO LA EXTRA PLUS CAIXA 23CM</t>
  </si>
  <si>
    <t>PAMPA ROLO LA ALTA NATURAL HOBBY 23CM</t>
  </si>
  <si>
    <t>PAMPA SUPORTE ROLO 23CM</t>
  </si>
  <si>
    <t>STARRET DISCO CORTE INOX ACO 4''</t>
  </si>
  <si>
    <t>FITA ISOLANTE IMPERIAL 3M 18MM X 10M</t>
  </si>
  <si>
    <t>PU BISNAGA CINZA 80G GARIN</t>
  </si>
  <si>
    <t>ESPAÇADOR NIVELADOR CORTAG C/ 50 PCS</t>
  </si>
  <si>
    <t>CUNHA CORTAG C/ 50PCS</t>
  </si>
  <si>
    <t>CORANTE HIDRACOR LIQUIDO CORES</t>
  </si>
  <si>
    <t>CORANTE HIDRACOR LIQUIDO BRANCO</t>
  </si>
  <si>
    <t>CHEMICOLOR METALIZADO SPRAY</t>
  </si>
  <si>
    <t>CHUVEIRO DUCHA LORENZETTI SHOWER ELETRONICA</t>
  </si>
  <si>
    <t>FITA CREPE 18x50 ADERE</t>
  </si>
  <si>
    <t>EUCATEX PEG PINTE TINTA ACRILICA INTERIOR 3,6L</t>
  </si>
  <si>
    <t>EUCATEX ZARCAO LARANJA/CINZA 900ML</t>
  </si>
  <si>
    <t>EUCATEX ZARCAO LARANJA/CINZA 3,6L</t>
  </si>
  <si>
    <t>EUCATEX ACRILICA RENDE EXTRA 3,6L</t>
  </si>
  <si>
    <t>EUCATEX AGUARRAS 5L</t>
  </si>
  <si>
    <t>EUCATEX AGUARRAS 900ML</t>
  </si>
  <si>
    <t>EUCATEX SELADORA MADEIRA 3,6L</t>
  </si>
  <si>
    <t>EUCATEX SELADORA MADEIRA 900ML</t>
  </si>
  <si>
    <t>EUCATEX VERNIZ BRILHANTE 900ML</t>
  </si>
  <si>
    <t>EUCATEX VERNIZ IMBUIA/MOGNO 225ML</t>
  </si>
  <si>
    <t>EUCATEX VERNIZ IMBUIA/MOGNO 3,6L</t>
  </si>
  <si>
    <t>EUCATEX VERNIZ IMBUIA/MOGNO 900ML</t>
  </si>
  <si>
    <t>EUCATEX VERNIZ MARITIMO BRILHANTE 3,6L</t>
  </si>
  <si>
    <t>CONEXAO LUVA GALVANIZADA 1.1/2</t>
  </si>
  <si>
    <t>CHAVE CATRACA 11</t>
  </si>
  <si>
    <t>ELETRODO DENVER 2,5MM</t>
  </si>
  <si>
    <t>CORDA 3MM</t>
  </si>
  <si>
    <t>BASE DISCO 4'' BORRACHA COM VELCRO COM ADAPTADOR</t>
  </si>
  <si>
    <t>BASE DISCO 7'' BORRACHA COM VELCRO COM ADAPTADOR</t>
  </si>
  <si>
    <t>ARAME FARPADO 400M F14 VARJAO BELGO</t>
  </si>
  <si>
    <t>ARAME FARPADO 500M F16 FORTE BELGO</t>
  </si>
  <si>
    <t>LIXA VELCRO 7''</t>
  </si>
  <si>
    <t>TELA SOMBRITE 3,00X50M 50%</t>
  </si>
  <si>
    <t>DISCO 7'' CORTE AÇO/INOX</t>
  </si>
  <si>
    <t>DISCO 4''  DISCO PORCELANATO CORTAG</t>
  </si>
  <si>
    <t>ENXADA TANE 1,5L</t>
  </si>
  <si>
    <t>ENXADA TANE 2,0L</t>
  </si>
  <si>
    <t>PISTOLA DE PINTURA AR DIRETO MODELO 90</t>
  </si>
  <si>
    <t>TAMBASA 4/5</t>
  </si>
  <si>
    <t>04.ABRIL</t>
  </si>
  <si>
    <t>05.MAIO</t>
  </si>
  <si>
    <t>DISCO 9'' SEGMENTADO PROFIELD</t>
  </si>
  <si>
    <t>CHAVE BITS CANHAO 5/16</t>
  </si>
  <si>
    <t>CHAVE BITS CANHAO 7/16</t>
  </si>
  <si>
    <t>MARTELO TROYA  MINI 23MM</t>
  </si>
  <si>
    <t>JOGO ESCOVA DE AÇO PROFIELD</t>
  </si>
  <si>
    <t>BASE DISCO 4'' BORRACHA COM VELCRO SEM ADAPTADOR</t>
  </si>
  <si>
    <t>BASE DISCO 7'' BORRACHA COM VELCRO SEM ADAPTADOR</t>
  </si>
  <si>
    <t>JOGO CHAVE 3X1</t>
  </si>
  <si>
    <t>JOGO CHAVE BITS SAINT REF F93</t>
  </si>
  <si>
    <t>JOGO CHAVE BITS PROFIELD</t>
  </si>
  <si>
    <t>MANDRIL MTX 1/2</t>
  </si>
  <si>
    <t>WURTH FILTRO DE LUZ LENTE</t>
  </si>
  <si>
    <t>DISCO 9'' CORTE AÇO/INOX WURTH</t>
  </si>
  <si>
    <t>WURTH ROST-OFF EDIÇÃO ESPECIAL</t>
  </si>
  <si>
    <t>BROCA HSS 9/64</t>
  </si>
  <si>
    <t>WURTH SILICONE SPRAY AUTOMOTIVO</t>
  </si>
  <si>
    <t>PARAFUSO PONTA AGULHA FLANGEADO 4,2 X 13</t>
  </si>
  <si>
    <t>PARAFUSO PONTA AGULHA FLANGEADO 4,2 X 19</t>
  </si>
  <si>
    <t>TELHA TRANSPARENTE ROMANA</t>
  </si>
  <si>
    <t xml:space="preserve">CONEXAO LUVA SOLDAVEL 40 </t>
  </si>
  <si>
    <t xml:space="preserve">CONEXAO Luva Soldável 60 </t>
  </si>
  <si>
    <t xml:space="preserve">CONEXAO JOELHO AZUL LR 25x3/4 </t>
  </si>
  <si>
    <t xml:space="preserve">CONEXAO JOELHO AZUL LR 25x1/2 </t>
  </si>
  <si>
    <t xml:space="preserve">CONEXAO JOELHO AZUL LR 20x1/2 </t>
  </si>
  <si>
    <t>CONEXAO LUVA AZUL LR  25X3/4</t>
  </si>
  <si>
    <t>CONEXAO BRANCA BUCHA REDUCAO ROSCAVEL 1.1/2X1</t>
  </si>
  <si>
    <t>CONEXAO BRANCA BUCHA REDUCAO ROSCAVEL 1.1/2X3/4</t>
  </si>
  <si>
    <t>CONEXAO BRANCA BUCHA REDUCAO ROSCAVEL 1.1/4X1</t>
  </si>
  <si>
    <t>CONEXAO BRANCA BUCHA REDUCAO ROSCAVEL 1.1/4X3/4</t>
  </si>
  <si>
    <t>CONEXAO BRANCA BUCHA REDUCAO ROSCAVEL 1X3/4</t>
  </si>
  <si>
    <t>CONEXAO BRANCA BUCHA REDUCAO ROSCAVEL 3/4X20</t>
  </si>
  <si>
    <t>CONEXAO BRANCA LUVA REDUCAO ROSCAVEL 1X3/4</t>
  </si>
  <si>
    <t>CONEXAO BRANCA LUVA REDUCAO ROSCAVEL 3/4X1/2</t>
  </si>
  <si>
    <t>CONEXAO MANGUEIRA TEE C/ BOCA ROSCA 3/4</t>
  </si>
  <si>
    <t>CONEXAO MANGUEIRA UNIAO INTERNA REDUCAO 1X3/4</t>
  </si>
  <si>
    <t>CARRIOLA FUZIL CHAPA 26</t>
  </si>
  <si>
    <t>BOTA PVC SOLA AMARELA</t>
  </si>
  <si>
    <t xml:space="preserve">PROTETOR ORICULAR </t>
  </si>
  <si>
    <t>STAM FECHADURA 803/03 EXT</t>
  </si>
  <si>
    <t>CHEMICOLOR REMOVEDOR DE TINTA</t>
  </si>
  <si>
    <t>FITA CREPE 24X50 ADERE</t>
  </si>
  <si>
    <t>CONEXAO REDUCAO ESG 100X50</t>
  </si>
  <si>
    <t>CONEXAO REDUCAO ESG 100x50</t>
  </si>
  <si>
    <t>CONEXAO REDUCAO ESG 50X40</t>
  </si>
  <si>
    <t>CONEXAO REDUCAO ESG 100x75</t>
  </si>
  <si>
    <t>CONEXAO REDUCAO ESG 75x50</t>
  </si>
  <si>
    <t>WEG CAIXA PROTECAO DISJ C/ TOMADA</t>
  </si>
  <si>
    <t>FIMAP ESPELHEIRA REFLEX LED 64CM</t>
  </si>
  <si>
    <t>FIMAP ESPELHEIRA VENEZA 57,2CM</t>
  </si>
  <si>
    <t>FIMAP CONJUNTO QUALITY 58CM</t>
  </si>
  <si>
    <t>FIMAP CONJUNTO HIT 44,2CM</t>
  </si>
  <si>
    <t>FIMAP CONJUNTO SONNY 58CM</t>
  </si>
  <si>
    <t>MARROART GABINETE COZINHA ELLOS BRANCO 200 AÇO</t>
  </si>
  <si>
    <t>MARROART AEREO DUPLO S/ VIDRO 0,85</t>
  </si>
  <si>
    <t>MARROART AEREO TRIPLO S/ VIDRO 1,15</t>
  </si>
  <si>
    <t>BICO TORNEIRA METAL</t>
  </si>
  <si>
    <t>SELA TRINCA GARIN 450G</t>
  </si>
  <si>
    <t>DESEMPENADEIRA 15X26</t>
  </si>
  <si>
    <t>BARICAR ESPATULA SILICONE</t>
  </si>
  <si>
    <t>FILTRO DE LINHA 5 TOMADAS NBR</t>
  </si>
  <si>
    <t>CONTROLE VENTILADOR TRIO 3+7 UF C/ CAPACITOR</t>
  </si>
  <si>
    <t>CANTONEIRA ABAS IGUAIS 2''</t>
  </si>
  <si>
    <t>CANTONEIRA ABAS IGUAIS 4''</t>
  </si>
  <si>
    <t>HERC IRRIGADOR GIRATORIO</t>
  </si>
  <si>
    <t xml:space="preserve">LUMINARIA PLAFON LED 18W 22X22CM </t>
  </si>
  <si>
    <t>CAIXA SIFONADA C/ TAMPA QUADRADA 150X150X50 HERC</t>
  </si>
  <si>
    <t>CAIXA SIFONADA C/ TAMPA QUADRADA 250X172X50 HERC</t>
  </si>
  <si>
    <t>PENDENTE AÇO IDEAL</t>
  </si>
  <si>
    <t xml:space="preserve">REPARO CAIXA ACOPLADA  BOTAO ACIONADOR C/ CORRENTE  </t>
  </si>
  <si>
    <t>CATALISADOR ACELERADOR SECAGEM 150ML MAX RUBBER</t>
  </si>
  <si>
    <t>MIX REPAROS VEDADOR LAVATORIO 912</t>
  </si>
  <si>
    <t>MIX REPAROS VEDADOR TANQUE 903</t>
  </si>
  <si>
    <t>MIX REPAROS VEDADOR VALVULA AMERICANA 913</t>
  </si>
  <si>
    <t>BORRACHA ANEL LUVA DE CORRER ESG 100</t>
  </si>
  <si>
    <t>BORRACHA ANEL LUVA DE CORRER SOLD 25</t>
  </si>
  <si>
    <t>ALICATE UNIVERSAL FERJA</t>
  </si>
  <si>
    <t>BALDE CRISTAL 23KG</t>
  </si>
  <si>
    <t>FUNDO CRISTAL 3,6L</t>
  </si>
  <si>
    <t>FUNDO CRISTAL 14L</t>
  </si>
  <si>
    <t xml:space="preserve">CABO PARALELO  1,5MM </t>
  </si>
  <si>
    <t xml:space="preserve">CABO PARALELO  2,5MM </t>
  </si>
  <si>
    <t xml:space="preserve">CABO FLEXIVEL AA 1,5MM </t>
  </si>
  <si>
    <t xml:space="preserve">CABO FLEXIVEL AB 2,5MM </t>
  </si>
  <si>
    <t xml:space="preserve">CABO FLEXIVEL B 4MM </t>
  </si>
  <si>
    <t>CABO FLEXIVEL D 10MM</t>
  </si>
  <si>
    <t xml:space="preserve">CABO FLEXIVEL E 16MM </t>
  </si>
  <si>
    <t>CABO SOM CRISTAL 2x1.5MM</t>
  </si>
  <si>
    <t>KIT MANGUEIRA 20M</t>
  </si>
  <si>
    <t>MANGUEIRA DE NIVEL 5/16 X 1.5</t>
  </si>
  <si>
    <t>TOLEMAT DOBRADIÇA LEVE 3.1/2 DOURADA/PRETA</t>
  </si>
  <si>
    <t>TOLEMAT DOBRADIÇA LEVE 3.1/2 COMUM</t>
  </si>
  <si>
    <t>LUMINARIA PLAFON LED 18W 22X22CM AVANT</t>
  </si>
  <si>
    <t>FOXLUX DISCO CORTE INOX ACO 4''</t>
  </si>
  <si>
    <t>ADESIVO PVC COLA 17G</t>
  </si>
  <si>
    <t>ARANDELA/PENDENTE LUMINARIA AÇO IDEAL</t>
  </si>
  <si>
    <t>PULVERIZADOR FAMASTIL 500ML</t>
  </si>
  <si>
    <t>HIPERLAR ESMALTE 900ML</t>
  </si>
  <si>
    <t>DISJUNTOR UNIPOLAR 16A</t>
  </si>
  <si>
    <t>DISJUNTOR BIPOLAR 25A</t>
  </si>
  <si>
    <t>DISJUNTOR BIPOLAR 32A</t>
  </si>
  <si>
    <t>SPOT LUMINARIA LUZ ARTICULADO</t>
  </si>
  <si>
    <t>LAMPADA BULBO HALOGENA 127V 70W</t>
  </si>
  <si>
    <t>CONECTOR FIO ALAVANCA 2P</t>
  </si>
  <si>
    <t>CONECTOR FIO ALAVANCA 3P</t>
  </si>
  <si>
    <t>SPOT LED 5W EMBUTIR</t>
  </si>
  <si>
    <t>SPLIT BOLT 16MM</t>
  </si>
  <si>
    <t>GRAMPO BIMETALICO</t>
  </si>
  <si>
    <t>BROCA CONCRETO 6MM</t>
  </si>
  <si>
    <t>WURTH FITA TELADA ADESIVA 48MMX45MTS</t>
  </si>
  <si>
    <t>WURTH PU-40 PU40 WMAX CINZA 400G</t>
  </si>
  <si>
    <t>WURTH PU-40 PU40 WMAX PRETO 400G</t>
  </si>
  <si>
    <t>DISCO 4'' DISCO PORCELANATO WURTH</t>
  </si>
  <si>
    <t>PARAFUSO CHIPBOARD 5,0X50MM</t>
  </si>
  <si>
    <t>PARAFUSO CHIPBOARD 4,0x45MM</t>
  </si>
  <si>
    <t>WURTH ABRACADEIRA ROSCA SEM FIM 12X22X9</t>
  </si>
  <si>
    <t>PARAFUSO PRETO PONTA GULHA 3,5 X 40</t>
  </si>
  <si>
    <t>PARAFUSO SEXTAVADO SOBERBO 1/4X70</t>
  </si>
  <si>
    <t>PARAFUSO SEXTAVADO SOBERBO 1/4X50</t>
  </si>
  <si>
    <t>ALICATE DE PRESSAO 10''</t>
  </si>
  <si>
    <t>CHAVE TESTE DIGITAL</t>
  </si>
  <si>
    <t>CHAVE L LONGA 14</t>
  </si>
  <si>
    <t>CHAVE PHILIPIS 2X150</t>
  </si>
  <si>
    <t>CONEXAO NIP GALVANIZADO 1.1/2</t>
  </si>
  <si>
    <t>REGISTRO UNIAO MANGUEIRA 3/4</t>
  </si>
  <si>
    <t>REGISTRO UNIAO MANGUEIRA 1''</t>
  </si>
  <si>
    <t>CONEXAO ESPIGAO GALVANIZADO 1/2</t>
  </si>
  <si>
    <t>MARINI PORTA PAPEL STANDART S/ TAMPA</t>
  </si>
  <si>
    <t>PARAFUSO SEXT ROSCA UNC 1/2X4.1/2</t>
  </si>
  <si>
    <t>CAIDA D'AGUA FORTLEV 2000L</t>
  </si>
  <si>
    <t>CAIDA D'AGUA FORTLEV 100L</t>
  </si>
  <si>
    <t>FORTLEV BOIA HASTE ALUMINIO</t>
  </si>
  <si>
    <t>FORTLEV BOIA HASTE ABS</t>
  </si>
  <si>
    <t>EUCATEX ESMALTE EUCALUX PRETO FOSCO 3,6L</t>
  </si>
  <si>
    <t>EUCATEX ACRILICA RENDE EXTRA 18L</t>
  </si>
  <si>
    <t>EUCATEX EXTRA PISO 18L</t>
  </si>
  <si>
    <t>BATALHAO PORTA PRONTA MADEIRA 70/80 CM CEREJEIRA/MOGNO/IMBUIA</t>
  </si>
  <si>
    <t>BATALHAO PORTA MADEIRA C/ PORTAL 80</t>
  </si>
  <si>
    <t>BATALHAO MAXIM-AR STAN QUAD 50X50X12 CRU</t>
  </si>
  <si>
    <t>JANELA CORRER 100X150X120  RIOBRAS AÇO BR</t>
  </si>
  <si>
    <t>PORTA BALCAO CORRER 3 FOLHAS 213X120 REQ13 RIOBRAS</t>
  </si>
  <si>
    <t>NIVEL PROFIELD 30CM</t>
  </si>
  <si>
    <t>NIVEL PROFIELD 45CM</t>
  </si>
  <si>
    <t>NIVEL PROFIELD 60CM</t>
  </si>
  <si>
    <t>PULVERIZADOR PARA GARRAFA PET</t>
  </si>
  <si>
    <t>VEDANEL ANEL DE VEDACAO C/ GUIA</t>
  </si>
  <si>
    <t>ALICATE CRIMPAR REDE FOXLUX</t>
  </si>
  <si>
    <t>MANGUEIRA ENTRADA DE AGUA 120CM MAQUINA DE LAVAR</t>
  </si>
  <si>
    <t>MANGUEIRA ENTRADA DE AGUA 120CM TANQUINHO</t>
  </si>
  <si>
    <t>NIVEL ALUMINIO FOXLUX 16''</t>
  </si>
  <si>
    <t>NIVEL ALUMINIO FOXLUX 20''</t>
  </si>
  <si>
    <t>NIVEL ALUMINIO FOXLUX 24''</t>
  </si>
  <si>
    <t>CAIXA DE GORDURA COM CESTO</t>
  </si>
  <si>
    <t xml:space="preserve">CAIXA DE INSPECAO </t>
  </si>
  <si>
    <t>ESCADA DOMESTICA 7 DEGRAUS AGATA</t>
  </si>
  <si>
    <t>ESCADA DOMESTICA 5 DEGRAUS AGATA</t>
  </si>
  <si>
    <t>DISCO VELCRO 4''</t>
  </si>
  <si>
    <t>CABO ENXADA 120CM</t>
  </si>
  <si>
    <t>MASSEIRA PLASTICA 20L</t>
  </si>
  <si>
    <t>MASSEIRA METAL 20L</t>
  </si>
  <si>
    <t>MAO FRANCESA 300 COLONIAL PRETA</t>
  </si>
  <si>
    <t>CESTO C/ TAMPA 40L</t>
  </si>
  <si>
    <t>LUVA PIGMENTADA BRANCA</t>
  </si>
  <si>
    <t>LIXEIRA BASCULANTE 3,6L</t>
  </si>
  <si>
    <t>LIXEIRA BASCULANTE 7L</t>
  </si>
  <si>
    <t>SUPORTE DE PIA PARAFUSAR</t>
  </si>
  <si>
    <t>SUPORTE DE PIA CHUMBAR</t>
  </si>
  <si>
    <t>RODO PLASTICO 40CM</t>
  </si>
  <si>
    <t>RODO PLASTICO 60CM</t>
  </si>
  <si>
    <t>2X</t>
  </si>
  <si>
    <t>3X</t>
  </si>
  <si>
    <t>4X</t>
  </si>
  <si>
    <t>5X</t>
  </si>
  <si>
    <t>6X</t>
  </si>
  <si>
    <t>7X</t>
  </si>
  <si>
    <t>8X</t>
  </si>
  <si>
    <t>9X</t>
  </si>
  <si>
    <t>10X</t>
  </si>
  <si>
    <t>11X</t>
  </si>
  <si>
    <t>TON</t>
  </si>
  <si>
    <t>CIELO</t>
  </si>
  <si>
    <t>12X</t>
  </si>
  <si>
    <t>LONA CILO 8 X 50 MTS 200 FUZIL</t>
  </si>
  <si>
    <t>RASTELO C/ CABO CAFÉ FUZIL</t>
  </si>
  <si>
    <t>MANTA ADESIVA 30 CM RL 10MTS</t>
  </si>
  <si>
    <t>PRUMO DE PAREDE 700G FUZIL</t>
  </si>
  <si>
    <t>MARTELO CABO DE MADEIRA 27MM FUZIL</t>
  </si>
  <si>
    <t>BOTA PVC SOLA AMARELA MOTOSAFE</t>
  </si>
  <si>
    <t>status</t>
  </si>
  <si>
    <t>REPARO CAIXA ACOPLADA MECANISMO COMPLETO</t>
  </si>
  <si>
    <t>JUNCAO METAL MAQUINA DE LAVAR</t>
  </si>
  <si>
    <t>REPARO MIX 220</t>
  </si>
  <si>
    <t>REPARO MIX 250</t>
  </si>
  <si>
    <t>VEDADOR CAIXA ACOPLADA 642</t>
  </si>
  <si>
    <t>CRONOS GRELHA COM COLETOR ESCOVADO 30X30 C/ TELA</t>
  </si>
  <si>
    <t>CRONOS GRELHA COM COLETOR ESCOVADO 20X20 C/ TELA</t>
  </si>
  <si>
    <t>CRONOS GRELHA COM COLETOR ESCOVADO 20X30 C/ TELA</t>
  </si>
  <si>
    <t>CRONOS GRELHA COM COLETOR ESCOVADO 15X50 C/ TELA</t>
  </si>
  <si>
    <t>COLA INSTANTANEA 793</t>
  </si>
  <si>
    <t>CRONOS RALO OCULTO PVC 10X10</t>
  </si>
  <si>
    <t>CRONOS SUPORTE LIXA MANUAL/EXTENSOR</t>
  </si>
  <si>
    <t xml:space="preserve">TELHA ROMANA </t>
  </si>
  <si>
    <t>CONEXAO MANGUEIRA TEE INTERNO 3/4</t>
  </si>
  <si>
    <t>ROLDANA 48</t>
  </si>
  <si>
    <t>ALIANCA FECHADURA COLONIAL 3600/104</t>
  </si>
  <si>
    <t>ALIANCA FECHADURA COLONIAL 4600/104</t>
  </si>
  <si>
    <t>LAMPADA ANTI INSETO</t>
  </si>
  <si>
    <t>LIMPA CONTATO SPRAY 200ML</t>
  </si>
  <si>
    <t>LAMPADA GELADEIRA</t>
  </si>
  <si>
    <t>WURTH ESPUMA LIMPADORA</t>
  </si>
  <si>
    <t>WURTH ABRACADEIRA CHAPA U 3/4''</t>
  </si>
  <si>
    <t>BROCA HSS FERRO 5/32</t>
  </si>
  <si>
    <t>BROCA HSS FERRO 1/16</t>
  </si>
  <si>
    <t>DUCOR MASSA ACRILICA EXTERNA 1L</t>
  </si>
  <si>
    <t>ASTRA CAIXA DE DESCARGA 9L</t>
  </si>
  <si>
    <t>ASTRA ASSENTO SANITARIO CLASSIQUE</t>
  </si>
  <si>
    <t>REPARO CAIXA ACOPLADA MECANISMO COMPLETO ASTRA</t>
  </si>
  <si>
    <t>ASTRA CAIXA DE DESCARGA ACOPLADA DUPLO ACIONAMENTO CAU1</t>
  </si>
  <si>
    <t>ASTRA CAIXA DE DESCARGA ACOPLADA DUPLO ACIONAMENTO CAU2</t>
  </si>
  <si>
    <t>ASTRA CAIXA BAIXA DE DESCARGA</t>
  </si>
  <si>
    <t xml:space="preserve">PAG DESEMPENADEIRA LISA AÇO 30 X 12 </t>
  </si>
  <si>
    <t xml:space="preserve">PAG DESEMPENADEIRA PORCELANATO GALOCHA 35X12 </t>
  </si>
  <si>
    <t>PAG DESEMPENADEIRA DENTADA 35X12</t>
  </si>
  <si>
    <t>PAG DESEMPENADEIRA DENTADA 30X12</t>
  </si>
  <si>
    <t>PAG DESEMPENADEIRA DENTADA 25X12</t>
  </si>
  <si>
    <t>MANGUEIRA GAS (MT) 3/8X3</t>
  </si>
  <si>
    <t xml:space="preserve">ADESIVO PVC COLA PINCEL 175G </t>
  </si>
  <si>
    <t xml:space="preserve">ADESIVO PVC COLA 75GR </t>
  </si>
  <si>
    <t>COLA BRANCA 500G</t>
  </si>
  <si>
    <t>COLA BRANCA 1KG</t>
  </si>
  <si>
    <t>FERTAK DISCO FLAP 7''</t>
  </si>
  <si>
    <t>JOGO BROCAS HSS 8UNI</t>
  </si>
  <si>
    <t>JOGO BROCAS CONCRETO 8UNI</t>
  </si>
  <si>
    <t>WEG MODULO CEGO BCO</t>
  </si>
  <si>
    <t>WEG PLACA C/SUPORTE CEGA</t>
  </si>
  <si>
    <t>IQUINE DELANIL ESMALTE 3L</t>
  </si>
  <si>
    <t>IQUINE DELANIL ESMALTE 750ML</t>
  </si>
  <si>
    <t>PLASTILIT CAIXA DE GORDURA C/ CESTO DE LIMPEZA</t>
  </si>
  <si>
    <t xml:space="preserve">PLASTILIT VALVULA RETENÇÃO RETENCAO ESGOTO </t>
  </si>
  <si>
    <t>PARAFUSO FRANCES POL UNC 1/4x3</t>
  </si>
  <si>
    <t>PARAFUSO SEXTAVADO SOBERBO 3/8X120</t>
  </si>
  <si>
    <t>MASSA PLASTICA CARPLAST 400G</t>
  </si>
  <si>
    <t>LAMPADA 50W LED</t>
  </si>
  <si>
    <t>LAMPADA 30W LED</t>
  </si>
  <si>
    <t>LAMPADA 20W LED</t>
  </si>
  <si>
    <r>
      <t xml:space="preserve">LAMPADA 15W LED </t>
    </r>
    <r>
      <rPr>
        <b/>
        <sz val="11"/>
        <color rgb="FFFF0000"/>
        <rFont val="Calibri"/>
        <family val="2"/>
        <scheme val="minor"/>
      </rPr>
      <t>VER COMENTARIO</t>
    </r>
  </si>
  <si>
    <r>
      <t xml:space="preserve">LAMPADA 12W LED </t>
    </r>
    <r>
      <rPr>
        <b/>
        <sz val="11"/>
        <color rgb="FFFF0000"/>
        <rFont val="Calibri"/>
        <family val="2"/>
        <scheme val="minor"/>
      </rPr>
      <t>VER COMENTARIO</t>
    </r>
  </si>
  <si>
    <r>
      <t xml:space="preserve">LAMPADA 9W LED </t>
    </r>
    <r>
      <rPr>
        <b/>
        <sz val="11"/>
        <color rgb="FFFF0000"/>
        <rFont val="Calibri"/>
        <family val="2"/>
        <scheme val="minor"/>
      </rPr>
      <t>VER COMENTARIO</t>
    </r>
  </si>
  <si>
    <t>REFLETOR LED 200W FOXLUX</t>
  </si>
  <si>
    <t>DISJUNTOR BIPOLAR 10A</t>
  </si>
  <si>
    <t>CONEXAO CAP SOLDAVEL 60</t>
  </si>
  <si>
    <t>CONEXAO TEE AZUL AZ 3/4X1/2</t>
  </si>
  <si>
    <t>CONEXAO TEE AZUL AZ 3/4X25</t>
  </si>
  <si>
    <t>APLICADOR DE SILICONE LEVE</t>
  </si>
  <si>
    <t>APLICADOR DE SILICONE PROFISSINAL VERMELHO</t>
  </si>
  <si>
    <t>ENGATE RAPIDO C/ ADAP METAL FOX</t>
  </si>
  <si>
    <t>ESGUICHO METAL FOX</t>
  </si>
  <si>
    <t>TELA SOMBRITE 4,00X50M 50%</t>
  </si>
  <si>
    <t>BROCA CHATA 1/4</t>
  </si>
  <si>
    <t>BROCA CHATA 5/16</t>
  </si>
  <si>
    <t>BROCA CHATA 3/8</t>
  </si>
  <si>
    <t>BROCA CHATA 1/2</t>
  </si>
  <si>
    <t>REGISTRO PVC ROSCA/SOLD 60</t>
  </si>
  <si>
    <t>DOBRADICA PORTEIRA 3'' (PAR)</t>
  </si>
  <si>
    <t>CHAVE CANHAO PROFIELD 7MM</t>
  </si>
  <si>
    <t>BARRAMENTO PENTE UNIPOLAR CM</t>
  </si>
  <si>
    <t>BARRAMENTO PENTE TRIPOLAR CM</t>
  </si>
  <si>
    <t>INTERFONE PORTEIRO ELETRONICO AGL</t>
  </si>
  <si>
    <t>CORDINHA DE CADEIRA</t>
  </si>
  <si>
    <t>MANGUEIRA POLITILENO IPLASTIC 1X3,0MM</t>
  </si>
  <si>
    <t>MANGUEIRA POLITILENO IPLASTIC 1.1/4X3,0MM</t>
  </si>
  <si>
    <t>BATALHAO 5/6 0096</t>
  </si>
  <si>
    <t>BATALHAO 6/6 0097</t>
  </si>
  <si>
    <t>06.JUNHO</t>
  </si>
  <si>
    <t>07.JULHO</t>
  </si>
  <si>
    <t>08.AGOSTO</t>
  </si>
  <si>
    <t>dados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</si>
  <si>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</si>
  <si>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</si>
  <si>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</si>
  <si>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</si>
  <si>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</si>
  <si>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</si>
  <si>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</si>
  <si>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</si>
  <si>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</si>
  <si>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</si>
  <si>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</si>
  <si>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</si>
  <si>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</si>
  <si>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</si>
  <si>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valores</t>
  </si>
  <si>
    <t>BATALHAO PORTA LAMINADA PREMIUM 80 BATENTE 12 (CRUA)</t>
  </si>
  <si>
    <t>BATALHAO PORTA LAMINADA SLIM 80/70 BATENTE 12 (CRUA)</t>
  </si>
  <si>
    <t>BATALHAO PORTA LAMINADA POP 80 BATENTE 12 (CRUA)</t>
  </si>
  <si>
    <t>BATALHAO VITRO SLIM QUAD 120X100X12 (CRU)</t>
  </si>
  <si>
    <t>BATALHAO VITRO SLIM QUAD 150X100X12 (CRU)</t>
  </si>
  <si>
    <t>BATALHAO VENEZIANA SLIM QUAD 120X100X12 (CRU)</t>
  </si>
  <si>
    <t>BATALHAO PORTA C/ GRADE QUAD CRYSAL 80</t>
  </si>
  <si>
    <t>BATALHAO VENEZIANA CRYSTAL QUAD 120X100X12</t>
  </si>
  <si>
    <t>PLASTILIT TUBO ESGOTO 150MM</t>
  </si>
  <si>
    <t>CHAVE CANHAO PROFIELD 13MM</t>
  </si>
  <si>
    <t>KIT EMENDA TERMOSTATICA</t>
  </si>
  <si>
    <t>EMENDA RETA MADEIRA 45CM (UNI)</t>
  </si>
  <si>
    <t>CONEXAO ESPIGAO GALVANIZADO 3/4</t>
  </si>
  <si>
    <t>MARCOS JM (ANDRÉ GOTA DAGUA 17981961717)</t>
  </si>
  <si>
    <t>EUCATEX 2/2</t>
  </si>
  <si>
    <t>REFETOR LED 200W HITEC</t>
  </si>
  <si>
    <t>ORGANIZADOR FIOS 10MT</t>
  </si>
  <si>
    <t xml:space="preserve">COTOVELO P/ CANALETA </t>
  </si>
  <si>
    <t>ALICATE DE BICO 5'' MINI PROFIELD</t>
  </si>
  <si>
    <t>ALICATE DE CORTE 5'' MINI PROFIELD</t>
  </si>
  <si>
    <t>DISCO 9'' TURBO PROFIELD</t>
  </si>
  <si>
    <t>DISCO 7'' TURBO/SEGMENTADO</t>
  </si>
  <si>
    <t>DISCO 4'' CORRENTE MADEIRA PROFIELD</t>
  </si>
  <si>
    <t>PROFIELD REGISTRO METAL 1/4</t>
  </si>
  <si>
    <t>CHAVE PARA MANDRIL 13MM</t>
  </si>
  <si>
    <t>FERRO DE PUA 1/4</t>
  </si>
  <si>
    <t>FERRO DE PUA 5/16</t>
  </si>
  <si>
    <t>FERRO DE PUA 3/8</t>
  </si>
  <si>
    <t>PENEIRA FEIJAO/ARROZ/AREIA BORDA PLASTICO</t>
  </si>
  <si>
    <t>RODO CURRAL 2,5L</t>
  </si>
  <si>
    <t>TAMBASA 2/3</t>
  </si>
  <si>
    <t>TAMBASA 3/3</t>
  </si>
  <si>
    <t>ARCO DE SERRA 12'' VERMELHO LOTUS</t>
  </si>
  <si>
    <t>ARCO DE SERRA 12'' PLASTICO</t>
  </si>
  <si>
    <t>FILTRO DE LINHA 4 TOMADAS NBR</t>
  </si>
  <si>
    <t xml:space="preserve">CONTROLE VENTILADOR TRIO OSCILANTE C/ BOTAO </t>
  </si>
  <si>
    <t>GARIN SILICONE 250G INCOLOR</t>
  </si>
  <si>
    <t>SERROTE PODA PEQUENO</t>
  </si>
  <si>
    <t>GRELHA ALUMINIO SEM COLETOR 20X100 COM SUPORTE</t>
  </si>
  <si>
    <t>GRELHA ALUMINIO COM COLETOR 20X100</t>
  </si>
  <si>
    <t>CAIXA SIFONADA BRANCA INJEREST 100 QUAD</t>
  </si>
  <si>
    <t>CAIXA SIFONADA CROMADA INJEREST 100 QUAD</t>
  </si>
  <si>
    <t>PA DE LIXO PLASTICO</t>
  </si>
  <si>
    <t>PA DE LIXO AÇO</t>
  </si>
  <si>
    <t>BATEDOR DE TINTA</t>
  </si>
  <si>
    <t>D'DIAS TORNEIRA BANCADA BICA RETA</t>
  </si>
  <si>
    <t>D'DIAS GATILHO PARA DUCHA HIGIÊNICA ABS</t>
  </si>
  <si>
    <t>D'DIAS GATILHO PARA DUCHA HIGIÊNICA METAL</t>
  </si>
  <si>
    <t>DUCOR FUNDO PREPARADOR 18L</t>
  </si>
  <si>
    <t>INOVA TORNEIRA MAQUINA DE LAVAR</t>
  </si>
  <si>
    <t>INOVA TORNEIRA COZINHA LONGA</t>
  </si>
  <si>
    <t>INOVA TORNEIRA COZINHA/TANQUE LONGA</t>
  </si>
  <si>
    <t>PLASTILIT TUBO ESGOTO PLASTILIT 150MM</t>
  </si>
  <si>
    <t>PLASTILIT TUBO ESGOTO 100MM</t>
  </si>
  <si>
    <t>PLASTILIT TUBO ESGOTO 75MM</t>
  </si>
  <si>
    <t>PLASTILIT TUBO ESGOTO 50MM</t>
  </si>
  <si>
    <t>PLASTILIT TUBO ESGOTO 40MM</t>
  </si>
  <si>
    <t>DESCONTO</t>
  </si>
  <si>
    <t>EMPRESTIMO 6/24</t>
  </si>
  <si>
    <t>EMPRESTIMO 7/24</t>
  </si>
  <si>
    <t>EMPRESTIMO 8/24</t>
  </si>
  <si>
    <t>EMPRESTIMO 9/24</t>
  </si>
  <si>
    <t>EMPRESTIMO 10/24</t>
  </si>
  <si>
    <t>EMPRESTIMO 11/24</t>
  </si>
  <si>
    <t>EMPRESTIMO 12/24</t>
  </si>
  <si>
    <t>EMPRESTIMO 13/24</t>
  </si>
  <si>
    <t>EMPRESTIMO 14/24</t>
  </si>
  <si>
    <t>09.SETEMBRO</t>
  </si>
  <si>
    <t>10.OUTUBRO</t>
  </si>
  <si>
    <t>11.NOVEMBRO</t>
  </si>
  <si>
    <t>CONEXAO CURVA ESGOTO LONGA 45x100mm</t>
  </si>
  <si>
    <t>CONEXAO CURVA ESGOTO LONGA 90 X 100mm</t>
  </si>
  <si>
    <t>KIT ATLAS ECONOMICO C/ BANDEJA 3PCS</t>
  </si>
  <si>
    <t>ADERE DUPLA FACE 19X02 800G</t>
  </si>
  <si>
    <t>CONEXAO BRANCA CAP ROSCAVEL 3/4X25</t>
  </si>
  <si>
    <t>KIT MANGUEIRA DE GAS 1,25MTS</t>
  </si>
  <si>
    <t>CAIXA PROTECAO 2 DISJUNTOR STECK AR CONDICIONADO</t>
  </si>
  <si>
    <t>ILUMI CONJUNTO 1 INTERRUPTOR EXTERNO</t>
  </si>
  <si>
    <t>ILUMI CONJUNTO 1 TOMADA EXTERNO</t>
  </si>
  <si>
    <t>MASSA DE CALAFETAR POLYTUBES 21 FILETE</t>
  </si>
  <si>
    <t>COLA CONTATO CASCOLA TRADICIONAL 30G</t>
  </si>
  <si>
    <t>Cidamazetti001@</t>
  </si>
  <si>
    <t>GAXETA E PORCA MIX 105</t>
  </si>
  <si>
    <t>PORCA SEXTAVADA 5/16 ROSCA TRAVANTE</t>
  </si>
  <si>
    <t>PORCA SEXTAVADA 3/8 ROSCA TRAVANTE</t>
  </si>
  <si>
    <t>CHAVE COMBINADA 12MM</t>
  </si>
  <si>
    <t>CHAVE PHILIPIS 3/16X5</t>
  </si>
  <si>
    <t>CANAA TUBO ESGOTO 150MM</t>
  </si>
  <si>
    <t>CANAA TUBO ESGOTO 100MM</t>
  </si>
  <si>
    <t>CANAA TUBO ESGOTO 75MM</t>
  </si>
  <si>
    <t>CANAA TUBO ESGOTO 50MM</t>
  </si>
  <si>
    <t>CANAA TUBO ESGOTO 40MM</t>
  </si>
  <si>
    <t>PRODUTO ESGOTO</t>
  </si>
  <si>
    <t>METRO</t>
  </si>
  <si>
    <t>PLASTILIT TUBO SOLDÁVE 60MM</t>
  </si>
  <si>
    <t>PLASTILIT TUBO SOLDÁVEL 50MM</t>
  </si>
  <si>
    <t>PLASTILIT TUBO SOLDÁVEL 40MM</t>
  </si>
  <si>
    <t>PLASTILIT TUBO SOLDÁVEL 32MM</t>
  </si>
  <si>
    <t>PLASTILIT TUBO SOLDÁVEL 25MM</t>
  </si>
  <si>
    <t>PLASTILIT TUBO SOLDÁVEL 20MM</t>
  </si>
  <si>
    <t>CANAA TUBO SOLDAVEL 50MM</t>
  </si>
  <si>
    <t>CANAA TUBO SOLDAVEL 25MM</t>
  </si>
  <si>
    <t xml:space="preserve">VERGALHÃO FERRO 1/4 </t>
  </si>
  <si>
    <t>COLUNA PRONTA 8MM (15X15) 6M</t>
  </si>
  <si>
    <t>TRELIÇA GERDAU H8 4,2MM 6M</t>
  </si>
  <si>
    <t xml:space="preserve">MALHA POP LEVE 20X20 3.4MM 2X3M </t>
  </si>
  <si>
    <t>COLUNA PRONTA 8MM (7X14) 6M</t>
  </si>
  <si>
    <t>FITA VEDA ROSCA 18MMX25M FIRLON</t>
  </si>
  <si>
    <t>FITA VEDA ROSCA 18MMX50M FIRLON</t>
  </si>
  <si>
    <t>COLA MADEIRA 100F TEKBOND</t>
  </si>
  <si>
    <t>COLA MADEIRA GARIN 280G</t>
  </si>
  <si>
    <t>ARMINDO $387</t>
  </si>
  <si>
    <t xml:space="preserve">FIXA TUDO BRANCO 80G GARIN </t>
  </si>
  <si>
    <t>REFLETOR MTX BIVOLT 50W-RGB C/MEMORIA MULTICOR</t>
  </si>
  <si>
    <t>SOQUETE LAMPADA TUBOLAR G13</t>
  </si>
  <si>
    <t>DUCOR FUNDO PREPARADOR 3,6L</t>
  </si>
  <si>
    <t>CANTONEIRA ABAS IGUAIS 3''</t>
  </si>
  <si>
    <t>BUCHA BLOCO BRANCA 12MM</t>
  </si>
  <si>
    <t>MANGUEIRA CORRUGADA 1 32</t>
  </si>
  <si>
    <t>PARAFUSO FRANCES POL UNC 5/16X3</t>
  </si>
  <si>
    <t>APARELHO VENTISOL VENTILADOR DE MESA TURBO ECO 30CM</t>
  </si>
  <si>
    <t>APARELHO VENTEX VENTILADOR DE TETO YRIS</t>
  </si>
  <si>
    <t>APARELHO VENTEX VENTILADOR DE TETO VALEN LED</t>
  </si>
  <si>
    <t>APARELHO VENTSOL VENTILADOR DE COLUNA 50CM</t>
  </si>
  <si>
    <t>APARELHO VENTEX VENTILADOR PAREDE 60CM</t>
  </si>
  <si>
    <t>APARELHO CADENSE VENTILADOR DE MESA 40CM</t>
  </si>
  <si>
    <t>STANLEY ESMERILHADEIRA ANG. 4.1/2" (11 5MM) 620W 127V</t>
  </si>
  <si>
    <t>BLACK DECKER SERRA TICO TICO 400W 127V</t>
  </si>
  <si>
    <t>STANLEY FURADEIRA IMPACTO 600W 13MM 127V</t>
  </si>
  <si>
    <t>WURTH LAMINA ESTILETE 18MM</t>
  </si>
  <si>
    <t>SACHE GRAXA GRAFITADA 80G</t>
  </si>
  <si>
    <t>WURTH ADESIVO PARA MATERIAL POROSO 20G</t>
  </si>
  <si>
    <t>WURTH ADESIVO JUNTA DE MOTORES 75G</t>
  </si>
  <si>
    <t>WURTH ABRACADEIRA ROSCA SEM FIM 32X50X9</t>
  </si>
  <si>
    <t>WURTH ABRACADEIRA ROSCA SEM FIM 20X32X9</t>
  </si>
  <si>
    <t>PLASTILIT PORTA SANFONADA PVC 90CM X 2,10M BRANCA</t>
  </si>
  <si>
    <t>ANTENA TV 20/17 DIGITAL</t>
  </si>
  <si>
    <t>CONEXAO JOELHO ESGOTO 45x40MM</t>
  </si>
  <si>
    <t>CONEXAO JOELHO ESGOTO 90x40MM</t>
  </si>
  <si>
    <t>CONEXAO JOELHO ESGOTO 45x50MM</t>
  </si>
  <si>
    <t>CONEXAO JOELHO ESGOTO 90x50MM</t>
  </si>
  <si>
    <t>CONEXAO JOELHO ESGOTO 45x75MM</t>
  </si>
  <si>
    <t>CONEXAO JOELHO ESGOTO 90x75mm</t>
  </si>
  <si>
    <t>CONEXAO JOELHO ESGOTO 45x100MM</t>
  </si>
  <si>
    <t>CONEXAO JOELHO ESGOTO 90X100MM</t>
  </si>
  <si>
    <t>CONEXAO TEE ESGOTO DD 100</t>
  </si>
  <si>
    <t>MACANETA ALIANÇA 86617</t>
  </si>
  <si>
    <t>LUMINARIA PLAFON LED 24W 30X30CM BELLAUX</t>
  </si>
  <si>
    <t>NILO TORNEIRA ABS ALTA CROMADA</t>
  </si>
  <si>
    <t>NILO TORNEIRA ABS TANQUE/MAQUINA CROMADA</t>
  </si>
  <si>
    <t>NILO TORNEIRA ABS TANQUE/JARDIM</t>
  </si>
  <si>
    <t>D'DIAS TORNEIRA PIA 1158</t>
  </si>
  <si>
    <t>NILO REGISTRO METAL DUCHA HIGIENICA</t>
  </si>
  <si>
    <t>NILO REGISTRO GAVETA 1.1/2</t>
  </si>
  <si>
    <t>EXTENSAO CROMADA LONGA 1/2</t>
  </si>
  <si>
    <t>NILO TORNEIRA PIA BICA MOVEL GOURMET BLACK</t>
  </si>
  <si>
    <t>NILO TORNEIRA BANCADA BICA MOVEL GOURMT RED</t>
  </si>
  <si>
    <t>PREGO 13X15</t>
  </si>
  <si>
    <t>FELIFER 3/3</t>
  </si>
  <si>
    <t>MANGUEIRA JARDIM 1/2 TRANCADA AMARELA</t>
  </si>
  <si>
    <t>FIMAP GABINETE FIT 1,44</t>
  </si>
  <si>
    <t>FIMAP ARMARIO QUARTZO 64,5CM - APENAS A PARTE DE BAIXO</t>
  </si>
  <si>
    <t>FIMAP ARMARIO VENEZA 58CM - APENAS A PARTE DE BAIXO</t>
  </si>
  <si>
    <t>VASO SANITARIO CONJUNTO BACIA COM CAIXA ACOPLADA BR REDONDO</t>
  </si>
  <si>
    <t>MASSA PLASTICA ULTRALIGHT 495G</t>
  </si>
  <si>
    <t>SEU ANJO 12,00</t>
  </si>
  <si>
    <t>ENGATE FLEXIVEL 30CM</t>
  </si>
  <si>
    <t>ENGATE RAPIDO ESGUICHO TRAMONTINA</t>
  </si>
  <si>
    <t>DUCHE HIGIENICA WARLEI SEM MARCA</t>
  </si>
  <si>
    <t>MARINI KIT BANHEIRO BLACK</t>
  </si>
  <si>
    <t>RALO SIFONADO SAIDA P/ BAIXO METAL PESADO</t>
  </si>
  <si>
    <t>BROXA RETANGULAR PLASTICO</t>
  </si>
  <si>
    <t>CONEXAO MANGUEIRA UNIAO INTERNA 3/4</t>
  </si>
  <si>
    <t>ESPUDE PARA VASO</t>
  </si>
  <si>
    <t>REPARO CAIXA ACOPLADA BOTAO ACIONADOR MIX 637</t>
  </si>
  <si>
    <t>VALVULA LAVATORIO ABS</t>
  </si>
  <si>
    <t>MARROART 3/3</t>
  </si>
  <si>
    <t>ASTRA ASSENTO SANITARIO ALMOFADADO TPK/AS</t>
  </si>
  <si>
    <t>ASTRA ASSENTO SANITAQIO QUADRADO THEMA TTH/PP</t>
  </si>
  <si>
    <t>DOIS IRMAOS 3/3 00144</t>
  </si>
  <si>
    <t>FERTAK ALICATE BOMBA D'AGUA</t>
  </si>
  <si>
    <t>LONA POLITILENO 4x3 FOXLUX</t>
  </si>
  <si>
    <t>LONA POLITILENO 4X4 FOXLUX</t>
  </si>
  <si>
    <t>CABO DE VASSOURA</t>
  </si>
  <si>
    <t>ENXADAO SERVENTE 2,5L C/ CABO</t>
  </si>
  <si>
    <t>ENXADA FUZIL 3,0L C/ CABO</t>
  </si>
  <si>
    <t>ENXADA MONFORT 2,5L S/ CABO</t>
  </si>
  <si>
    <t>CONEXAO MANGUEIRA JOELHO INTERNO 3/4</t>
  </si>
  <si>
    <t>CONEXAO MANGUEIRA JOELHO INTERNO 1/2</t>
  </si>
  <si>
    <t>CONEXAO MANGUEIRA ADAPTADOR INTERNO  1.1/4</t>
  </si>
  <si>
    <t>CONEXAO JOELHO ESGOTO 90X100MM C/ VISITA 50</t>
  </si>
  <si>
    <t>ABRACADEIRA LAMPADA TUBOLAR T8</t>
  </si>
  <si>
    <t>ILUMI PULSADOR CAMPAINHA EXTERNO</t>
  </si>
  <si>
    <t>CONEXAO LUVA SOLD ROSCA 40X1.1/4</t>
  </si>
  <si>
    <t>CUBA CELITE EMBUTIR 39X30</t>
  </si>
  <si>
    <t>CUBA CELITE EMBUTIR 49X32</t>
  </si>
  <si>
    <t>PREGO 19X27</t>
  </si>
  <si>
    <t>DUCOR 3/3 00150</t>
  </si>
  <si>
    <t xml:space="preserve">TUBO PONTA AZUL </t>
  </si>
  <si>
    <t>BARRA ROSCADA POLIDA 3/16</t>
  </si>
  <si>
    <t>CHEMICOLOR CORES ALTA TEMPERATURA</t>
  </si>
  <si>
    <t>LEAL 3/3 00153</t>
  </si>
  <si>
    <t>17 991609045 MARCELO VIDRACEIRO</t>
  </si>
  <si>
    <t>TELA MANGUEIRAO 1,00MT F18</t>
  </si>
  <si>
    <t>TELA GALINHEIRO 1,80MT F22</t>
  </si>
  <si>
    <t>TELA PINTEIRO 1,00MT F24</t>
  </si>
  <si>
    <t>ARAME LISO ZINCADO 20MM</t>
  </si>
  <si>
    <t>LAMINA ROCADEIRA 350MM</t>
  </si>
  <si>
    <t>FACAO LONGO WENZEL</t>
  </si>
  <si>
    <t>MACHADO TRAMONTINA 3,5L TRAMONTINA</t>
  </si>
  <si>
    <t>REGISTRO PVC ROSCA EXTERNA 3/4</t>
  </si>
  <si>
    <t>TAMBASA 3/5</t>
  </si>
  <si>
    <t>ESPACADOR NIVELADOR CORTAG PCT C 50PCS</t>
  </si>
  <si>
    <t>RETENTOR VALVULA DESCARGA 1.1/2</t>
  </si>
  <si>
    <t>SARAN ACABAMENTO REGISTRO SARAN</t>
  </si>
  <si>
    <t>BRAÇO DE CHUVEIRO ALUMINIO REFORÇADO 30CM</t>
  </si>
  <si>
    <t>VASSOURAO MADEIRA C/ CABO</t>
  </si>
  <si>
    <t>LUVA PVC PUNHO LONGO VERDE</t>
  </si>
  <si>
    <t>PROTETOR ORICULAR  C/ ABAFADOR</t>
  </si>
  <si>
    <t>MASCARA C/ RESPIRADOR PFF2</t>
  </si>
  <si>
    <t>CONEXAO ESPIGAL GALVANIZADO 1</t>
  </si>
  <si>
    <t>CONEXAO UNIAO INTERNA METAL FUNDIDO 1/2</t>
  </si>
  <si>
    <t>CONEXAO UNIAO INTERNA METAL FUNDIDO 1</t>
  </si>
  <si>
    <t>D'DIAS TORNEIRA BANCADA GOURMET PRETA COD1040</t>
  </si>
  <si>
    <t>D'DIAS TORNEIRA PIA GOURMET CROMADA COD1038</t>
  </si>
  <si>
    <t>D'DIAS TORNEIRA PIA GOURMET PRETA DOIS JATOS COD 1046</t>
  </si>
  <si>
    <t>D'DIAS TORNEIRA BANCADA GOURMET CROMADA COD1039</t>
  </si>
  <si>
    <t>D'DIAS TORNEIRA TANQUE MAQUINA COD1043</t>
  </si>
  <si>
    <t xml:space="preserve">D'DIAS TORNEIRA DE JARDIM AMARELA/CROMADA 1130 </t>
  </si>
  <si>
    <t>SANRO TOP LUVA LATEX VERDE</t>
  </si>
  <si>
    <t>LANTERNA DE CABEÇA RECARREGAVEL</t>
  </si>
  <si>
    <t>ESPUMA EXPANSIVA  500ML</t>
  </si>
  <si>
    <t>PLASTILIT ASSENTO SANITARIO SOFT BRANCO RED</t>
  </si>
  <si>
    <t xml:space="preserve">MARINI CABIDE STANDART </t>
  </si>
  <si>
    <t>TORNEIRA ESFERA JARDIM 1/2</t>
  </si>
  <si>
    <t>PORTAO PET</t>
  </si>
  <si>
    <t>MANGUEIRA CRISTAL 5/8X1,5</t>
  </si>
  <si>
    <t>MANGUEIRA CRISTAL 1/2X1,5</t>
  </si>
  <si>
    <t>MANGUEIRA AR/AGUA PRESSAO 300PSI 5/16</t>
  </si>
  <si>
    <t xml:space="preserve">ESPETO SIMPLES GIRATORIO </t>
  </si>
  <si>
    <t>PINO BOB BENJAMIM</t>
  </si>
  <si>
    <t>KIT REPARO PNEU</t>
  </si>
  <si>
    <t>JOGO CATRACA 17PCS</t>
  </si>
  <si>
    <t>CAMISETA CAMISA PESCA</t>
  </si>
  <si>
    <t>EXTENSOR PARAFUSADEIRA</t>
  </si>
  <si>
    <t>PNEUS 4/4</t>
  </si>
  <si>
    <t>PNEUS 3/4</t>
  </si>
  <si>
    <t>ARGAMASSA ARGACELIT AC2</t>
  </si>
  <si>
    <t>ELETRODUTO GALVANIZADO 2</t>
  </si>
  <si>
    <t>REFLETOR LED EMBU 100W LUZ QUENTE</t>
  </si>
  <si>
    <t>VERGALHAO FERRO 1/4</t>
  </si>
  <si>
    <t>CIMENTO CAMPEAO</t>
  </si>
  <si>
    <t>TELHA MULTILIT 5MM 2,44x1,10 5MM</t>
  </si>
  <si>
    <t>TELHA MULTILIT 4MM 2,44 x 0,50M 4MM</t>
  </si>
  <si>
    <t>WURTH 2/3</t>
  </si>
  <si>
    <t>WURTH 3/3</t>
  </si>
  <si>
    <t>WURTH ABRACADEIRA ROSCA SEM FIM 10X16X9</t>
  </si>
  <si>
    <t>WURTH ABRACADEIRA ROSCA SEM FIM 30X45X9</t>
  </si>
  <si>
    <t>WURTH ABRACADEIRA ROSCA SEM FIM 50X70X9</t>
  </si>
  <si>
    <t>WURTH ABRACADEIRA ROSCA SEM FIM 70X89X9</t>
  </si>
  <si>
    <t xml:space="preserve">WURTH PEDRA DE AFIACAO </t>
  </si>
  <si>
    <t>BROCA 3 PONTAS IRWIN 6MM</t>
  </si>
  <si>
    <t>ABRACADEIRA ENFORCA GATO 3,6X140MM 100UNI</t>
  </si>
  <si>
    <t>ABRACADEIRA ENFORCA GATO 4,8X200MM 100UNI</t>
  </si>
  <si>
    <t>ABRACADEIRA ENFORCA GATO 3,6X200MM 100UNI</t>
  </si>
  <si>
    <t>ABRACADEIRA ENFORCA GATO 2,5X200MM 100UNI</t>
  </si>
  <si>
    <t>ABRACADEIRA ENFORCA GATO 7,8X360MM 100UNI</t>
  </si>
  <si>
    <t>WURTH ABRACADEIRA CHAPA U 2''</t>
  </si>
  <si>
    <t>WURTH COADOR DE TINTA</t>
  </si>
  <si>
    <t>PARAFUSO SEXT ROSCA UNC 3/4X4.1/2 C/ PORCA/RUELA</t>
  </si>
  <si>
    <t>PORCA SEXTAVADA 3/4</t>
  </si>
  <si>
    <t>ARRUELA LISA ZINCADA 3/4</t>
  </si>
  <si>
    <t>PARAFUSO FRANCES POL UNC 5/16X4</t>
  </si>
  <si>
    <t>TECCTINTAS 8/10</t>
  </si>
  <si>
    <t>TECCTINTAS 9/10</t>
  </si>
  <si>
    <t>TECCTINTAS 10/10</t>
  </si>
  <si>
    <t>GENCO LIMPA BORDAS 1L</t>
  </si>
  <si>
    <t>GENCO ALGICIDA DE CHOQUE 1L</t>
  </si>
  <si>
    <t>GENCO CLARIFICANTE 1L</t>
  </si>
  <si>
    <t>GENCO PASTILHA CLORO</t>
  </si>
  <si>
    <t>SUVINIL ESMALTE 3,6L</t>
  </si>
  <si>
    <t>PORTA TRABALHADA MADEIRA 90 CM</t>
  </si>
  <si>
    <t>PORTA TRABALHADA MADEIRA 80CM</t>
  </si>
  <si>
    <t>PORTA PINTURA 80CM</t>
  </si>
  <si>
    <t>PORTA TRABALHADA MADEIRA 80CM C/ PORTAL</t>
  </si>
  <si>
    <t>OK</t>
  </si>
  <si>
    <t>PNEUS 3/3</t>
  </si>
  <si>
    <t>ALUGUEL</t>
  </si>
  <si>
    <t>C005</t>
  </si>
  <si>
    <t>C006</t>
  </si>
  <si>
    <t>DUTRA 3/3</t>
  </si>
  <si>
    <t>TELHA PVC 2,42X0,86 COLONIAL</t>
  </si>
  <si>
    <t>TELHA TRANSPARENTE 2,44X1,10</t>
  </si>
  <si>
    <t>EUCATEX VERNIZ BRILHANTE 225ML</t>
  </si>
  <si>
    <t>ROMERO 2/2 00167</t>
  </si>
  <si>
    <t>REFLETOR LED 50W LED BEE</t>
  </si>
  <si>
    <t>ILUMINARIA PLAFON LED 25W 33X33CM SEM FIM</t>
  </si>
  <si>
    <t>REFIL COLA QUENTE</t>
  </si>
  <si>
    <t>FALCAO 4/4</t>
  </si>
  <si>
    <t>LIMA MOTOSERRA 3/16 KF</t>
  </si>
  <si>
    <t>LIMA MOTOSERRA 7/32 KF</t>
  </si>
  <si>
    <t>LIMA SERROTE KF</t>
  </si>
  <si>
    <t>TAMBASA 1/3</t>
  </si>
  <si>
    <t>CABO CAVADEIRA ARTICULADA</t>
  </si>
  <si>
    <t>LIMA ENXADA KF C/ CABO</t>
  </si>
  <si>
    <t>MASSA DE POLIR BRANCA N02 400G MEGACAR</t>
  </si>
  <si>
    <t>VASO PLASTICO REDONDO 17X13 N2</t>
  </si>
  <si>
    <t>VASO PLASTICO REDONDO 25X20 N4</t>
  </si>
  <si>
    <t>VASO PLASTICO REDONDO 10X06 N0</t>
  </si>
  <si>
    <t>CORRENTE XAXIM 44CM</t>
  </si>
  <si>
    <t>CORRENTE XAXIM 64CM</t>
  </si>
  <si>
    <t>VASO XAXIM COCO 18X10</t>
  </si>
  <si>
    <t>VASO XAXIM COCO 21X11</t>
  </si>
  <si>
    <t>TANQUE FIBRA  TRIPLO  1,50X0,55</t>
  </si>
  <si>
    <t>TANQUE FIBRA DUPLO 1,10x0,55</t>
  </si>
  <si>
    <t>STANLEY FURADEIRA IMPACTO 600W 13MM 127V C/ MALETA</t>
  </si>
  <si>
    <t xml:space="preserve">ATLAS ROLO ESPUMA CZ 9CM </t>
  </si>
  <si>
    <t>CANALETA  BR 10X10X2M</t>
  </si>
  <si>
    <t>FECHADURA ELETRONICA AGL</t>
  </si>
  <si>
    <t>SEU ANTONIO DEU 150 + 330 + 380 + 240</t>
  </si>
  <si>
    <t>MINERACAO</t>
  </si>
  <si>
    <t>ROMERO GABINETE 3 GAV 150 AÇO</t>
  </si>
  <si>
    <t>ROMERO GABINETE 4 GAV 150 AÇO</t>
  </si>
  <si>
    <t>ROMERO GABINETE 4 GAV 120 AÇO</t>
  </si>
  <si>
    <t>ROMERO GABINETE C/ TANQUE DUPLO FIBRA 1,05X105</t>
  </si>
  <si>
    <t>TANQUE FIBRA 1 BOLA/BATEDOR LEVE 60X60</t>
  </si>
  <si>
    <t>CHAVE INGLESA N08</t>
  </si>
  <si>
    <t>BDB 3/3 LU $421,23</t>
  </si>
  <si>
    <t>CHUVEIRO DUCHA HYDRA BALLERINA 3T</t>
  </si>
  <si>
    <t>BATERIA PILHA ENERGIZER 2025</t>
  </si>
  <si>
    <t>PILHA EVEREADY AAA PALITO</t>
  </si>
  <si>
    <t>CONEXAO MANGUEIRA JOELHO C/ ROSCA INTERNA 2''</t>
  </si>
  <si>
    <t>CONEXAO MANGUEIRA JOELHO C/ ROSCA INTERNA 3/4''</t>
  </si>
  <si>
    <t>CONASID 2/3</t>
  </si>
  <si>
    <t>CONASID 3/3</t>
  </si>
  <si>
    <t>ARAME LISO ZINCADO 12MM</t>
  </si>
  <si>
    <t>JOAO BRANCO 4334,00</t>
  </si>
  <si>
    <t>CHAVE COMBINADA 21MM</t>
  </si>
  <si>
    <t>CHAVE COMBINADA 24MM</t>
  </si>
  <si>
    <t xml:space="preserve">D'DIAS REGISTRO DE PRESSAO/GAVETA 3/4 </t>
  </si>
  <si>
    <t>PRODUTO</t>
  </si>
  <si>
    <t>DUCHA FRIA CHUVEIRAO 12</t>
  </si>
  <si>
    <t>DUCHA FRIA CHUVEIRAO 8</t>
  </si>
  <si>
    <t>ENXADA SERVENTE 2,0L</t>
  </si>
  <si>
    <t>CARRIOLA QUADARADA REFORÇADA</t>
  </si>
  <si>
    <t>FOXLUX TRENA EMBORRACHADA 5MTS</t>
  </si>
  <si>
    <t>7 PARAFUSOS</t>
  </si>
  <si>
    <t>STARRET TRENA 5MTS</t>
  </si>
  <si>
    <t>VALVULA TANQUE BRANCA PLASTICO BLUKIT</t>
  </si>
  <si>
    <t>RASTELO VASSOURA COM PONTA DE AÇO MAXX</t>
  </si>
  <si>
    <t>ASTRA 2/2</t>
  </si>
  <si>
    <t>MANGUEIRA POLITILENO IPLASTIC 3/4X2,5MM</t>
  </si>
  <si>
    <t>CONEXAO TAPA FURO 3/4 25MM</t>
  </si>
  <si>
    <t>EMENDA RAPIDA TRAMONTINA</t>
  </si>
  <si>
    <t>GANCHO L 6 C/ BUCHA</t>
  </si>
  <si>
    <t>TARJETA TRINCO CAIPIRA RETO N02 5CM</t>
  </si>
  <si>
    <t>TARJETA TRINCO REDONDO 63MM</t>
  </si>
  <si>
    <t>ASTRA ASSENTO SANITARIO QUADRADADO ALMOFADADO TTH/K*BCO-01</t>
  </si>
  <si>
    <t>ASTRA ASSENTO SANITARIO QUADRADADO SOFT TTH/J*BCO-01</t>
  </si>
  <si>
    <t>ASTRA ASSENTO SANITARIO SLIM TAJ/AS*BR1</t>
  </si>
  <si>
    <t>ASTRA ASSENTO SANITARIO ALMOFADADO PERFUMADO TPKP*BR1</t>
  </si>
  <si>
    <t>CANTONEIRA ABAS IGUAIS 1''</t>
  </si>
  <si>
    <t>CAIXA PASSAGEM EXTERNA VENTILADOR</t>
  </si>
  <si>
    <t>EUCATEX 1/3</t>
  </si>
  <si>
    <t>EUCATEX 2/3</t>
  </si>
  <si>
    <t>EUCATEX 3/3</t>
  </si>
  <si>
    <t>CHAPAS 2/2 00172</t>
  </si>
  <si>
    <t>CHAPAS</t>
  </si>
  <si>
    <t>MADEIRITE PRETO 2,20 X 1,10 X 13MM</t>
  </si>
  <si>
    <t>MADEIRITE ROSA 2,20 X 1,10 X 13MM</t>
  </si>
  <si>
    <t xml:space="preserve">WURTH W-MAX DECAPADOR DE FIO </t>
  </si>
  <si>
    <t>WURTH DUPLA FACE 9MMX 1,5MT</t>
  </si>
  <si>
    <t>WURTH DISCO DIAMANTADO SEGMENTADO 4''</t>
  </si>
  <si>
    <t>WURTH DISCO DIAMANTADO TURBO 4''</t>
  </si>
  <si>
    <t>WURTH DISCO PORCELANATO 4''</t>
  </si>
  <si>
    <t>GARFO GAIOLA ATLAS</t>
  </si>
  <si>
    <t>ESCOVA AÇO ATLAS 6 FILEIRAS</t>
  </si>
  <si>
    <t>VASO SANITARIO INCEPA QUADRADO THEMA PLUS BR FURO EMBAIXO P/ VALVULA</t>
  </si>
  <si>
    <t>LAVATORIO COM COLUNA ZIP BR</t>
  </si>
  <si>
    <t>LAVATORIO INCEPA ZIP S/ COLUNA BR</t>
  </si>
  <si>
    <t>LEAL 2/2 00174</t>
  </si>
  <si>
    <t>CONEXAO BRANCA NIPEL ROSCA 3/4</t>
  </si>
  <si>
    <t>CONEXAO BRANCA NIPEL ROSCA 1''</t>
  </si>
  <si>
    <t>CONEXAO LUVA SOLDAVEL 25 3/4</t>
  </si>
  <si>
    <t>CONEXAO LUVA SOLDAVEL ROSCA 25X3/4</t>
  </si>
  <si>
    <t>CANALETA BR 20X10X1M</t>
  </si>
  <si>
    <t>ALIANCA FECHADURA EXT 2800/71 BANHEIRO</t>
  </si>
  <si>
    <t>CONEXAO TEE ESGOTO CC 75</t>
  </si>
  <si>
    <t>MANGUEIRA POLITILENO IPLASTIC 3/4X1,5MM</t>
  </si>
  <si>
    <t>MOR FAROL LANTERNA HOLOFOTE POWER LED 150 LUMENS</t>
  </si>
  <si>
    <t>REPARO MIX 915</t>
  </si>
  <si>
    <t>MIX REPARO 903</t>
  </si>
  <si>
    <t>BORRACHA ANEL LUVA DE CORRER SOLD 20 1/2 555</t>
  </si>
  <si>
    <t xml:space="preserve">MIX BOIA VAZAO TOTAL </t>
  </si>
  <si>
    <t>MARINI ACABAMENTO REGISTRO</t>
  </si>
  <si>
    <t>AUMENTO AMARELO MEDIO 1/2</t>
  </si>
  <si>
    <t>CONEXAO LUVA DE CORRER SOLDAVEL 40</t>
  </si>
  <si>
    <t>CONEXAO LUVA DE CORRER SOLDAVEL 20</t>
  </si>
  <si>
    <t>ESPATULA PAG 10</t>
  </si>
  <si>
    <t>MANGUEIRA CORRUGADA 1/2</t>
  </si>
  <si>
    <t>PLASTILIT 2/2</t>
  </si>
  <si>
    <t>CONEXAO CURVA ESGOTO CURTA 90x50mm</t>
  </si>
  <si>
    <t>CONEXAO CURVA ESGOTO CURTA 90x40mm</t>
  </si>
  <si>
    <t xml:space="preserve">ADESIVO PVC COLA PINCEL 850G </t>
  </si>
  <si>
    <t>LEAL 00177</t>
  </si>
  <si>
    <t>EUCATEX ESMALTE PEG PINTE 3,6L</t>
  </si>
  <si>
    <t>GORDO $20,00</t>
  </si>
  <si>
    <t>EUCATEX ESMALTE PEG PINTE 900ML</t>
  </si>
  <si>
    <t>SUVINIL ESMALTE 900ML</t>
  </si>
  <si>
    <t>TECTINTAS 3/5</t>
  </si>
  <si>
    <t>TECTINTAS 4/5</t>
  </si>
  <si>
    <t>TECTINTAS 5/5</t>
  </si>
  <si>
    <t>AREIA FINA 00178</t>
  </si>
  <si>
    <t>RODIZIO RODINHAS (CARTELA 4 UNI)</t>
  </si>
  <si>
    <t>CONSTRUJA 1/2</t>
  </si>
  <si>
    <t>CONSTRUJA 2/2</t>
  </si>
  <si>
    <t>MANTA ADESIVA 90 CM RL 10MTS</t>
  </si>
  <si>
    <t xml:space="preserve">STANLEY DISCO 9" SEGMENTADO </t>
  </si>
  <si>
    <t>DEWALT SERRA MARMORE 125MM 1400 W 127V DEWALT</t>
  </si>
  <si>
    <t>DEWALT ESMERILHADEIRA  4 1/2" 700W 127V DWE4010-BR</t>
  </si>
  <si>
    <t>BLACK 2/3 LU $303,13</t>
  </si>
  <si>
    <t>BLACK 3/3 LU $303,13</t>
  </si>
  <si>
    <t>CORRENTE ZINCADA 6MM (MT)</t>
  </si>
  <si>
    <t>CORRENTE ZINCADA 3MM (MT)</t>
  </si>
  <si>
    <t>ARO RODA CARRIOLA UNIVERSAL FERJA</t>
  </si>
  <si>
    <t>MOR</t>
  </si>
  <si>
    <t>LEAL 00179</t>
  </si>
  <si>
    <t>SILICONE 50G PEQUENO</t>
  </si>
  <si>
    <t>PU 40 UNIPRO</t>
  </si>
  <si>
    <t xml:space="preserve">DISCO 4" SERRA FERTAK TOOLS </t>
  </si>
  <si>
    <t>DUCOR TEXTURA LISA BARRICA</t>
  </si>
  <si>
    <t>PARAFUSO VASO N10</t>
  </si>
  <si>
    <t>ARRUELA LISA PRESSAO 5/16</t>
  </si>
  <si>
    <t>CONASID 1/2</t>
  </si>
  <si>
    <t>VEDACIT IMPERMEABILIZANTE 1L</t>
  </si>
  <si>
    <t>CATALISADOR ACELERADOR SECAGEM 100ML MOCOCA</t>
  </si>
  <si>
    <t>EUCATEX EUC SUPERPREN PAREDES BR 18L</t>
  </si>
  <si>
    <t>EUCATEX SUPERPREN PAREDES 3,6L</t>
  </si>
  <si>
    <t>FELIFER 1/4</t>
  </si>
  <si>
    <t>FELIFER 2/4</t>
  </si>
  <si>
    <t>FELIFER 3/4</t>
  </si>
  <si>
    <t>FELIFER 4/4</t>
  </si>
  <si>
    <t>MANGUEIRA POLITILENO IPLASTIC 2X3MM</t>
  </si>
  <si>
    <t>LEAL 00180</t>
  </si>
  <si>
    <t>ILUMI QUADRO DE DISJUNTORES SOBREPOR 4DIN</t>
  </si>
  <si>
    <t>STECK QUADRO DE DISJUNTORES SOBREPOR 5DIN</t>
  </si>
  <si>
    <t>CONEXAO LUVA ESGOTO AA 40MM</t>
  </si>
  <si>
    <t>RESISTENCIA LORENZETTI MAXI DUCHA  127/220 (MODELO NOVO)</t>
  </si>
  <si>
    <t>STANLEY DISCO 9" TURBO</t>
  </si>
  <si>
    <t>VOCICAL 00181</t>
  </si>
  <si>
    <t>MARCIO 00182</t>
  </si>
  <si>
    <t>MORVILLO 1/2 00183</t>
  </si>
  <si>
    <t>MORVILLO 2/2 00184</t>
  </si>
  <si>
    <t>CHAVE COMBINADA 19MM</t>
  </si>
  <si>
    <t>CHAVE COMBINADA 17MM</t>
  </si>
  <si>
    <t>REGISTRO UNIAO MANGUEIRA 1/2</t>
  </si>
  <si>
    <t>PORCA CARROCERIA 5/8 3/4</t>
  </si>
  <si>
    <t>REGISTRO GAVETA S/ ACABAMENTO 1.1/2</t>
  </si>
  <si>
    <t>BLACK 1/5 211,11 LU</t>
  </si>
  <si>
    <t>BLACK 2/5 211,11 LU</t>
  </si>
  <si>
    <t>BLACK 3/3 211,11 LU</t>
  </si>
  <si>
    <t>BLACK 4/5 211,11 LU</t>
  </si>
  <si>
    <t>BLACK 5/5 211,11 LU</t>
  </si>
  <si>
    <t>2 IRMAOS 1/2 000185</t>
  </si>
  <si>
    <t>2 IRMAOS 2/2 000186</t>
  </si>
  <si>
    <t>BALDE PLASTICO C/ ALÇA</t>
  </si>
  <si>
    <t>LUCONI CAIXA SIFONADA CROMADA 100</t>
  </si>
  <si>
    <t>LUCONI CAIXA SIFONADA BRANCA 100</t>
  </si>
  <si>
    <t>LUCONI CAIXA SIFONADA CROMADA 150</t>
  </si>
  <si>
    <t>LUCONI CAIXA SIFONADA BRANCA 150</t>
  </si>
  <si>
    <t>LUCONI VALVULA LAVATORIO ABS CROMADA CLICK PEQUENO</t>
  </si>
  <si>
    <t>LUCONI VALVULA LAVATORIO ABS CROMADA CLICK GRANDE</t>
  </si>
  <si>
    <t>LUCONI TANQUE PLASTICO 15L</t>
  </si>
  <si>
    <t>TUBO DE LIGACAO SIFONADO BRANCO</t>
  </si>
  <si>
    <t>TUBO DE LIGACAO SIFONADO ALUMINIO</t>
  </si>
  <si>
    <t>TUBO DE LIGACAO RETO ALUMINIO</t>
  </si>
  <si>
    <t>LUCONI TUBO DE LIGACAO PLASTICO BRANCO</t>
  </si>
  <si>
    <t>LUCONI 2/4</t>
  </si>
  <si>
    <t>LUCONI 3/4</t>
  </si>
  <si>
    <t>LUCONI 4/4</t>
  </si>
  <si>
    <t>MOR LIXEIRA AGATA 5L</t>
  </si>
  <si>
    <t>MOR GARRAFA CAFÉ DECORADA 1L BRANCA</t>
  </si>
  <si>
    <t>AREIA FINA 00187</t>
  </si>
  <si>
    <t>LEAL 000188 1/2</t>
  </si>
  <si>
    <t>LEAL 000189 2/2</t>
  </si>
  <si>
    <t>CAIXA D'ADUA FORTLEV TANQUE TAMPA COM ROSCA 500L</t>
  </si>
  <si>
    <t>BRACELF 00190</t>
  </si>
  <si>
    <t>PULVERIZADOR FAMASTIL 5L</t>
  </si>
  <si>
    <t>ILUMI QUADRO DE DISJUNTORES 16DIN</t>
  </si>
  <si>
    <t>VOCICAL 00191</t>
  </si>
  <si>
    <t>MANGUEIRA POLITILENO IPLASTIC 1/2X1,5MM</t>
  </si>
  <si>
    <t>MANGUEIRA POLITILENO IPLASTIC 1/2X2,0MM</t>
  </si>
  <si>
    <t>CONTATORA 12A</t>
  </si>
  <si>
    <t>CONTATORA 18A</t>
  </si>
  <si>
    <t>LUMINARIA PLAFON LED 25W MGC</t>
  </si>
  <si>
    <t>CHAVE BOIA MARGIRIUS</t>
  </si>
  <si>
    <t>ESPUMA EXPANSIVA 430ML</t>
  </si>
  <si>
    <t>BEBE $46,00</t>
  </si>
  <si>
    <t>DIA 1-23 $22500,00</t>
  </si>
  <si>
    <t xml:space="preserve">CÓDIGO </t>
  </si>
  <si>
    <t>FELIFER 1/3</t>
  </si>
  <si>
    <t>FELIFER 2/3</t>
  </si>
  <si>
    <t>WURTH 1/3</t>
  </si>
  <si>
    <t>SILVER TAPE SILVERTAPE WURTH 50MMX5M</t>
  </si>
  <si>
    <t>WURTH SILICONE W-MAX INCOLOR 275ML</t>
  </si>
  <si>
    <t>WURTH SILICONE W-MAX BRANCO 275ML</t>
  </si>
  <si>
    <t>WURTH SILICONE W-MAX ALTA TEMPERATURA 85G</t>
  </si>
  <si>
    <t>BROCA 3 PONTAS WURTH 8MM</t>
  </si>
  <si>
    <t>BROCA HSS FERRO WURTH 3/16</t>
  </si>
  <si>
    <t>BROCA CONCRETO WURTH 8MM</t>
  </si>
  <si>
    <t>BROCA 3 PONTAS WURTH 3MM</t>
  </si>
  <si>
    <t>PARAFUSO CHIPBOARD 5,0X70MM</t>
  </si>
  <si>
    <t>MARCIO 00192</t>
  </si>
  <si>
    <t>GONZO 5/8 OU 3/4</t>
  </si>
  <si>
    <t>CHAVE INGLESA N10</t>
  </si>
  <si>
    <t>CHAVE INGLESA N12</t>
  </si>
  <si>
    <t>0020008110</t>
  </si>
  <si>
    <t>0020008112</t>
  </si>
  <si>
    <t>CHAVE INGLESA N14</t>
  </si>
  <si>
    <t>CHURRASQUEIRAS 00193</t>
  </si>
  <si>
    <t>MOR 1/2</t>
  </si>
  <si>
    <t>MOR 2/2</t>
  </si>
  <si>
    <t>7891249013837</t>
  </si>
  <si>
    <t>TORNEIRA LAVATORIO HIDROPAL</t>
  </si>
  <si>
    <t>7898247876891</t>
  </si>
  <si>
    <t>ECOPOWER LANTERNA DE MAO 130W</t>
  </si>
  <si>
    <t>1473695826023</t>
  </si>
  <si>
    <t>ECOPOWER LANTERNA DE MAO 0.5W</t>
  </si>
  <si>
    <t>1473695883057</t>
  </si>
  <si>
    <t>KIT ACABAMENTO P/ PARAFUSO TELHA COLONIAL C/ 20</t>
  </si>
  <si>
    <t>7898187881917</t>
  </si>
  <si>
    <t>7890428026156</t>
  </si>
  <si>
    <t>ISERO FECHADURA CAIXAO</t>
  </si>
  <si>
    <t>7899097522310</t>
  </si>
  <si>
    <t>CABO EXTENSOR PROLONGADOR TIGRE 3 METROS</t>
  </si>
  <si>
    <t>7891395015082</t>
  </si>
  <si>
    <t>CABO EXTENSOR PROLONGADOR ATLAS 2 METROS</t>
  </si>
  <si>
    <t>7896380170586</t>
  </si>
  <si>
    <t>MIOLO FECHADURA STAM</t>
  </si>
  <si>
    <t>7898488651394</t>
  </si>
  <si>
    <t>MIOLO FECHADURA PILLER ALIANCA</t>
  </si>
  <si>
    <t>7898921098137</t>
  </si>
  <si>
    <t>MASSA DE CALAFETAR POLYTUBES CX</t>
  </si>
  <si>
    <t>7896038104062</t>
  </si>
  <si>
    <t>PRATO XAXIM PLASTICO N03</t>
  </si>
  <si>
    <t>7898125140045</t>
  </si>
  <si>
    <t>SUPORTE PAREDE PARA VASO 24CM</t>
  </si>
  <si>
    <t>SUPORTE PAREDE PARA VASO 29CM</t>
  </si>
  <si>
    <t>PALHA DE AÇO N02 AÇO BOM</t>
  </si>
  <si>
    <t>7898946673203</t>
  </si>
  <si>
    <t>7891510010183</t>
  </si>
  <si>
    <t>7891510010190</t>
  </si>
  <si>
    <t>7891510010381</t>
  </si>
  <si>
    <t>7891510010374</t>
  </si>
  <si>
    <t>D'DIAS TORNEIRA PIA  ALAVANCA 1037</t>
  </si>
  <si>
    <t>D'DIAS TORNEIRA BANCADA MVS C33</t>
  </si>
  <si>
    <t>7891510010138</t>
  </si>
  <si>
    <t xml:space="preserve">D'DIAS KIT DUCHA HIGIENICA METAL </t>
  </si>
  <si>
    <t>7891510010107</t>
  </si>
  <si>
    <t>7891510010114</t>
  </si>
  <si>
    <t>DANIEL 00194</t>
  </si>
  <si>
    <t>LEAL 1/2 000195</t>
  </si>
  <si>
    <t>LEAL 2/2 00196</t>
  </si>
  <si>
    <t>7899377125538</t>
  </si>
  <si>
    <t>7896094502390</t>
  </si>
  <si>
    <t>BARICAR DESEMPENADEIRA AZUL 18X30</t>
  </si>
  <si>
    <t>7898933672134</t>
  </si>
  <si>
    <t>MARROART 1/3</t>
  </si>
  <si>
    <t>MARROART 2/3</t>
  </si>
  <si>
    <t>BLUKIT REPARO CAIXA ACOPLADA MECANISMO ENTRADA</t>
  </si>
  <si>
    <t>7898550250845</t>
  </si>
  <si>
    <t>7891249058319</t>
  </si>
  <si>
    <t>REGISTRO DE GAS ALIANCA 504/01</t>
  </si>
  <si>
    <t>7896193243880</t>
  </si>
  <si>
    <t>7898067900790</t>
  </si>
  <si>
    <t>CONEXAO TEE ESGOTO AA 40 PLASTILIT</t>
  </si>
  <si>
    <t>BLUKIT REPARO CAIXA ACOPLADA MECANISMO DE SAIDA SUPERIOR</t>
  </si>
  <si>
    <t>7898550250296</t>
  </si>
  <si>
    <t>WEG MODULO TOMADA 2P+T 20A VERMELHO COMPOSE</t>
  </si>
  <si>
    <t>7897957531892</t>
  </si>
  <si>
    <t>LAMPADA TUBOLAR LED 18W 6500K BIV FOXLUX</t>
  </si>
  <si>
    <t>7898586132078</t>
  </si>
  <si>
    <t>CONECTOR GARRA DE MORCEGO 4MM X 35MM</t>
  </si>
  <si>
    <t>CONECTOR GARRA DE MORCEGO 1,5MM X 6MM</t>
  </si>
  <si>
    <t>BORRACHA ANEL LUVA DE CORRER ESG 40 PLASTILIT</t>
  </si>
  <si>
    <t>BORRACHA ANEL LUVA DE CORRER ESG 50 PLASTILIT</t>
  </si>
  <si>
    <t>BORRACHA ANEL LUVA DE CORRER ESG 75 PLASTILIT</t>
  </si>
  <si>
    <t>CONEXAO JOELHO SOLDAVEL 90X32MM PLASTILIT</t>
  </si>
  <si>
    <t>CONEXAO JOELHO SOLDAVEL 90x50MM PLASTILIT</t>
  </si>
  <si>
    <t>RECEBIMENTO</t>
  </si>
  <si>
    <t>PARAFUSOS</t>
  </si>
  <si>
    <t>FERNANDO</t>
  </si>
  <si>
    <t>ANTONIA</t>
  </si>
  <si>
    <t>LIGIA</t>
  </si>
  <si>
    <t>ABRACADEIRA</t>
  </si>
  <si>
    <t>DIVERSOS</t>
  </si>
  <si>
    <t>GUSTIM</t>
  </si>
  <si>
    <t>TORNEIRA</t>
  </si>
  <si>
    <t>PREGOS</t>
  </si>
  <si>
    <t>MANGUEIRA</t>
  </si>
  <si>
    <t>FABIANA</t>
  </si>
  <si>
    <t>TORNEIRA, DIVERSOS</t>
  </si>
  <si>
    <t>GENTIL</t>
  </si>
  <si>
    <t>REPARO</t>
  </si>
  <si>
    <t>ROGERIO ZEUDE</t>
  </si>
  <si>
    <t>ADAPTADOR</t>
  </si>
  <si>
    <t>ARAME</t>
  </si>
  <si>
    <t>MARCOS AMBULANCIA</t>
  </si>
  <si>
    <t>FACA</t>
  </si>
  <si>
    <t>CIFAO, FLEXIVEL</t>
  </si>
  <si>
    <t>JOARES</t>
  </si>
  <si>
    <t>LUVAS MAO</t>
  </si>
  <si>
    <t>REGIANE</t>
  </si>
  <si>
    <t>JOAO DE AS</t>
  </si>
  <si>
    <t>NELIN</t>
  </si>
  <si>
    <t>DISCO</t>
  </si>
  <si>
    <t>BEBE</t>
  </si>
  <si>
    <t>JOSE</t>
  </si>
  <si>
    <t>DONA OLIVIA</t>
  </si>
  <si>
    <t>CAROCO</t>
  </si>
  <si>
    <t>EMENDA</t>
  </si>
  <si>
    <t>MARI</t>
  </si>
  <si>
    <t>CID</t>
  </si>
  <si>
    <t>PAULO</t>
  </si>
  <si>
    <t>DISCOS</t>
  </si>
  <si>
    <t>BACURAL</t>
  </si>
  <si>
    <t>VENDAS DIVERSA</t>
  </si>
  <si>
    <t>BROCA</t>
  </si>
  <si>
    <t>ANISIO</t>
  </si>
  <si>
    <t>MAURA</t>
  </si>
  <si>
    <t>DONA BEATRIZ</t>
  </si>
  <si>
    <t>, CAL REGADOR</t>
  </si>
  <si>
    <t>ZE BRAZ</t>
  </si>
  <si>
    <t>VALVULA</t>
  </si>
  <si>
    <t>IOLI</t>
  </si>
  <si>
    <t>REZISTENCIA CHUVEIRO</t>
  </si>
  <si>
    <t>PESAO POLICIA</t>
  </si>
  <si>
    <t>SILVER TAPE</t>
  </si>
  <si>
    <t>MURILO</t>
  </si>
  <si>
    <t>MAGDA</t>
  </si>
  <si>
    <t>CLAUDECIR</t>
  </si>
  <si>
    <t>FIOS,CHUVEIRO</t>
  </si>
  <si>
    <t>RATINHO</t>
  </si>
  <si>
    <t>AREIA,CIMENTO</t>
  </si>
  <si>
    <t>JOAO GUILHEN</t>
  </si>
  <si>
    <t>TINTA PISO</t>
  </si>
  <si>
    <t>ZEZIN</t>
  </si>
  <si>
    <t>MANELITO</t>
  </si>
  <si>
    <t>TOMADA WEG</t>
  </si>
  <si>
    <t>NATAN</t>
  </si>
  <si>
    <t>CREDIO</t>
  </si>
  <si>
    <t>LUVA,MASCARA</t>
  </si>
  <si>
    <t>JOAO CARLOS</t>
  </si>
  <si>
    <t>ELIANA GIBA</t>
  </si>
  <si>
    <t>TINTA LATEX</t>
  </si>
  <si>
    <t>MARAO</t>
  </si>
  <si>
    <t>GINA</t>
  </si>
  <si>
    <t>ZEZINHO</t>
  </si>
  <si>
    <t>DITO</t>
  </si>
  <si>
    <t>gustavo</t>
  </si>
  <si>
    <t>carol tania</t>
  </si>
  <si>
    <t>DEUDA</t>
  </si>
  <si>
    <t>CONECTOR</t>
  </si>
  <si>
    <t>PIAUI</t>
  </si>
  <si>
    <t>ADRIANO</t>
  </si>
  <si>
    <t>REGISTRO GAS</t>
  </si>
  <si>
    <t>ZE JULIO</t>
  </si>
  <si>
    <t>RUBENS</t>
  </si>
  <si>
    <t>TINTA</t>
  </si>
  <si>
    <t>TAMPA TANQUE</t>
  </si>
  <si>
    <t>TEREZA</t>
  </si>
  <si>
    <t>VARIOS</t>
  </si>
  <si>
    <t>RIPA</t>
  </si>
  <si>
    <t>MARGARET</t>
  </si>
  <si>
    <t>CREDITO2X</t>
  </si>
  <si>
    <t>COLA</t>
  </si>
  <si>
    <t>ELETROUDO</t>
  </si>
  <si>
    <t>MARIA ORLINDA</t>
  </si>
  <si>
    <t>RAFAEL</t>
  </si>
  <si>
    <t>VERA</t>
  </si>
  <si>
    <t>FROEZ</t>
  </si>
  <si>
    <t>PIA, GABINETE</t>
  </si>
  <si>
    <t>NEGA</t>
  </si>
  <si>
    <t>ZINA</t>
  </si>
  <si>
    <t>VERINHA</t>
  </si>
  <si>
    <t>ELVIN</t>
  </si>
  <si>
    <t>CHUVEIRO</t>
  </si>
  <si>
    <t>NOEMI</t>
  </si>
  <si>
    <t>CREDITO3X</t>
  </si>
  <si>
    <t>ARREBITE</t>
  </si>
  <si>
    <t>AROLDO</t>
  </si>
  <si>
    <t>BROCHA</t>
  </si>
  <si>
    <t>BRAZ</t>
  </si>
  <si>
    <t>DORINHA</t>
  </si>
  <si>
    <t>FOLHA SERRA</t>
  </si>
  <si>
    <t>ZE DOS ANJOS</t>
  </si>
  <si>
    <t>LIP</t>
  </si>
  <si>
    <t>OSMAR COELHO</t>
  </si>
  <si>
    <t>NIVALDO</t>
  </si>
  <si>
    <t>DONACIDA</t>
  </si>
  <si>
    <t>PEDRO MOREIRA</t>
  </si>
  <si>
    <t>MULTIMETRO</t>
  </si>
  <si>
    <t>MAIRA</t>
  </si>
  <si>
    <t>LIXA</t>
  </si>
  <si>
    <t>BRENO</t>
  </si>
  <si>
    <t>TRENA</t>
  </si>
  <si>
    <t>SABARA</t>
  </si>
  <si>
    <t>MASSA</t>
  </si>
  <si>
    <t>KELVIN</t>
  </si>
  <si>
    <t xml:space="preserve">RECEBIMENTO </t>
  </si>
  <si>
    <t>LEAN</t>
  </si>
  <si>
    <t>SPRAY</t>
  </si>
  <si>
    <t>MAURICIO</t>
  </si>
  <si>
    <t>VEDA ROSCA</t>
  </si>
  <si>
    <t>CLODO</t>
  </si>
  <si>
    <t>CANOS</t>
  </si>
  <si>
    <t>GAMA</t>
  </si>
  <si>
    <t>MARCIA</t>
  </si>
  <si>
    <t>CORRENTE</t>
  </si>
  <si>
    <t>VANDERLI</t>
  </si>
  <si>
    <t>JOAO PEDRO</t>
  </si>
  <si>
    <t>SIFAO</t>
  </si>
  <si>
    <t>MAICOM</t>
  </si>
  <si>
    <t>MIKAEL</t>
  </si>
  <si>
    <t>FATIMA GAMA</t>
  </si>
  <si>
    <t>PNEU CARRIOLA,CAMARA AR</t>
  </si>
  <si>
    <t>JERONIMO</t>
  </si>
  <si>
    <t>DINHRIRO</t>
  </si>
  <si>
    <t>NITA</t>
  </si>
  <si>
    <t>JUVENIL</t>
  </si>
  <si>
    <t>MANGUEIRA CHUVEIRO</t>
  </si>
  <si>
    <t>SINVAL</t>
  </si>
  <si>
    <t>DITO MARIA</t>
  </si>
  <si>
    <t>DIVINO</t>
  </si>
  <si>
    <t>T</t>
  </si>
  <si>
    <t>SELMA</t>
  </si>
  <si>
    <t>MANGUEIRA, BICO</t>
  </si>
  <si>
    <t>ELIZANGELA</t>
  </si>
  <si>
    <t>ARCO SERRA, DISCO, SERRA</t>
  </si>
  <si>
    <t>RCEIMENTO</t>
  </si>
  <si>
    <t>GENIR</t>
  </si>
  <si>
    <t>PECAS HIDRAULICAS</t>
  </si>
  <si>
    <t>JOAO</t>
  </si>
  <si>
    <t>CADEADO</t>
  </si>
  <si>
    <t>ADEILTON</t>
  </si>
  <si>
    <t>TINTA +CANALETE</t>
  </si>
  <si>
    <t>GARRAFA</t>
  </si>
  <si>
    <t>SOCO</t>
  </si>
  <si>
    <t>JOSE FABIO</t>
  </si>
  <si>
    <t>BANDEJA</t>
  </si>
  <si>
    <t xml:space="preserve">FAZENDA </t>
  </si>
  <si>
    <t>DELI</t>
  </si>
  <si>
    <t>SR MOISES</t>
  </si>
  <si>
    <t>ARLINDO FAZENDA</t>
  </si>
  <si>
    <t>PEDRIM</t>
  </si>
  <si>
    <t>CORDAS</t>
  </si>
  <si>
    <t>CIAIXA DAGUA</t>
  </si>
  <si>
    <t>JAPONESA</t>
  </si>
  <si>
    <t>VADO</t>
  </si>
  <si>
    <t>ESTANHO,BUCHAS</t>
  </si>
  <si>
    <t>JOEL</t>
  </si>
  <si>
    <t>DONA SENIRA</t>
  </si>
  <si>
    <t>JURA</t>
  </si>
  <si>
    <t>OCULOS</t>
  </si>
  <si>
    <t>ANDERSON</t>
  </si>
  <si>
    <t>MASSA ACRILICA</t>
  </si>
  <si>
    <t>NARDO</t>
  </si>
  <si>
    <t>GUILHERME</t>
  </si>
  <si>
    <t>ESTILETE</t>
  </si>
  <si>
    <t>ARMINDO HENRIQUE</t>
  </si>
  <si>
    <t xml:space="preserve">PIX </t>
  </si>
  <si>
    <t>NENETE</t>
  </si>
  <si>
    <t>ACIII</t>
  </si>
  <si>
    <t>KELI</t>
  </si>
  <si>
    <t>FITA ISOLANTE</t>
  </si>
  <si>
    <t>HUGO</t>
  </si>
  <si>
    <t>BROCAS</t>
  </si>
  <si>
    <t>CLAUDIO</t>
  </si>
  <si>
    <t>RESISTENCIA CHUVEIRO</t>
  </si>
  <si>
    <t>BLOCA</t>
  </si>
  <si>
    <t>AGUARRAS</t>
  </si>
  <si>
    <t>GUSTINHO</t>
  </si>
  <si>
    <t>SILICONE</t>
  </si>
  <si>
    <t>JOAO GUITO</t>
  </si>
  <si>
    <t>DINHERO</t>
  </si>
  <si>
    <t>BENTO</t>
  </si>
  <si>
    <t>NORA</t>
  </si>
  <si>
    <t>BUCHAS</t>
  </si>
  <si>
    <t>ALEJANDRO</t>
  </si>
  <si>
    <t>CIMENTO</t>
  </si>
  <si>
    <t>VASO SANITARIO</t>
  </si>
  <si>
    <t>VALDIR</t>
  </si>
  <si>
    <t>PRONTA ENTREGA</t>
  </si>
  <si>
    <t>LEAN CAMERA</t>
  </si>
  <si>
    <t>SACOLAS</t>
  </si>
  <si>
    <t>BALDES</t>
  </si>
  <si>
    <t>FOX 2/3</t>
  </si>
  <si>
    <t>LISSAO</t>
  </si>
  <si>
    <t>PAULO SILVANO</t>
  </si>
  <si>
    <t>PATY</t>
  </si>
  <si>
    <t>TIAOZINHO</t>
  </si>
  <si>
    <t>MARCOS MERCADO</t>
  </si>
  <si>
    <t>LEONILDA</t>
  </si>
  <si>
    <t>FOX 1/2</t>
  </si>
  <si>
    <t>FOX 2/2</t>
  </si>
  <si>
    <t>BATALHAO</t>
  </si>
  <si>
    <t>BATALHAO 1/3 00197</t>
  </si>
  <si>
    <t>BATALHAO 2/3 00198</t>
  </si>
  <si>
    <t>BATALHAO 3/3 00199</t>
  </si>
  <si>
    <t>DUCOR 00200</t>
  </si>
  <si>
    <t>CARLOS MARCO</t>
  </si>
  <si>
    <t>SELADOR</t>
  </si>
  <si>
    <t>MOISES</t>
  </si>
  <si>
    <t xml:space="preserve">PIETROBON </t>
  </si>
  <si>
    <t>GERDAU 1/3</t>
  </si>
  <si>
    <t>GERDAU 2/3</t>
  </si>
  <si>
    <t>GERDAU 3/3</t>
  </si>
  <si>
    <t>CONSTRUJA</t>
  </si>
  <si>
    <t>LAMPADA TUBOLAR LED 9W 6500K BIV AVANT</t>
  </si>
  <si>
    <t>7899452018717</t>
  </si>
  <si>
    <t>MAXI RUBBER BATIDA DE PEDRA</t>
  </si>
  <si>
    <t>7898031540441</t>
  </si>
  <si>
    <t>7896587029199</t>
  </si>
  <si>
    <t>7896587016748</t>
  </si>
  <si>
    <t>7896587022206</t>
  </si>
  <si>
    <t>EUCATEX ESMALTE PEG PINTE ALUMINIO 900ML</t>
  </si>
  <si>
    <t>7896587010388</t>
  </si>
  <si>
    <t>CIMENTO LIZ 50KG</t>
  </si>
  <si>
    <t>CHURRASQUEIRA CERAMICA 132009</t>
  </si>
  <si>
    <t>PROLONGADOR CHURRASQUEIRA CERAMICA 132017</t>
  </si>
  <si>
    <t>CHURRASQUEIRA MESCLA 132057</t>
  </si>
  <si>
    <t>PROLONGADOR CHURRASQUEIRA MESCLA 132059</t>
  </si>
  <si>
    <t>CHURRASQUEIRA AREIA 135020</t>
  </si>
  <si>
    <t>PROLONGADOR AREIA 135023</t>
  </si>
  <si>
    <t>LAMPADA</t>
  </si>
  <si>
    <t>CHURRASQUEIRA GRANITO TABACO 135079</t>
  </si>
  <si>
    <t>PROLONGADOR GRANITO TABACO 135082</t>
  </si>
  <si>
    <t>DUCOR LATEX STANDART BR/BR GELO 18L</t>
  </si>
  <si>
    <t>DUCOR LATEX STANDART BR/BR GELO 3,6L</t>
  </si>
  <si>
    <t>DUCOR LATEX STANDART BRANCO/CORES 1L</t>
  </si>
  <si>
    <t>DUCOR LATEX STANDART CORES 18L</t>
  </si>
  <si>
    <t>DUCOR LATEX ECONOMICA ROSA BEBE / VERDE BEBE</t>
  </si>
  <si>
    <t>GERVASIO</t>
  </si>
  <si>
    <t>PORCAS</t>
  </si>
  <si>
    <t>SILVANO</t>
  </si>
  <si>
    <t>MARGARIDA</t>
  </si>
  <si>
    <t>PAI</t>
  </si>
  <si>
    <t>FABIANA ARMINDO</t>
  </si>
  <si>
    <t>TIM</t>
  </si>
  <si>
    <t>GEISE</t>
  </si>
  <si>
    <t>FERRAMENTAS</t>
  </si>
  <si>
    <t>VANDERLEI</t>
  </si>
  <si>
    <t>CAIXA DESCARGA</t>
  </si>
  <si>
    <t>PORTA SHAMPOO</t>
  </si>
  <si>
    <t>EDUARDO</t>
  </si>
  <si>
    <t>CARVAOZINHO</t>
  </si>
  <si>
    <t>CAROÇO</t>
  </si>
  <si>
    <t>ELVIS</t>
  </si>
  <si>
    <t>GERMIRO</t>
  </si>
  <si>
    <t>FOX</t>
  </si>
  <si>
    <t>ALIF</t>
  </si>
  <si>
    <t>ROQUE</t>
  </si>
  <si>
    <t>SAUZA</t>
  </si>
  <si>
    <t>FECHADURA</t>
  </si>
  <si>
    <t>AREIA</t>
  </si>
  <si>
    <t>VOTORANTIM</t>
  </si>
  <si>
    <t>UNIAO DE COMPRESSAO 32MM</t>
  </si>
  <si>
    <t>UNIAO DE COMPRESSAO 25MM</t>
  </si>
  <si>
    <t>UNIAO DE COMPRESSAO 20MM</t>
  </si>
  <si>
    <t>CONEXAO MANGUEIRA JOELHO INTERNO 1</t>
  </si>
  <si>
    <t xml:space="preserve">TINTA </t>
  </si>
  <si>
    <t>ZEZIM PERTAMBUCO</t>
  </si>
  <si>
    <t>DEVAIR SONIA</t>
  </si>
  <si>
    <t>TIGRINHO</t>
  </si>
  <si>
    <t>ZEUDE</t>
  </si>
  <si>
    <t>ALEX</t>
  </si>
  <si>
    <t>BATALHAO MAXIM-AR CRYSTAL QUAD 50X50X12</t>
  </si>
  <si>
    <t>BATALHAO VENEZIANA CRYSTAL QUAD 150X100X12</t>
  </si>
  <si>
    <t>HAROLDO</t>
  </si>
  <si>
    <t>WESLEI</t>
  </si>
  <si>
    <t>GISELE</t>
  </si>
  <si>
    <t>GUSTAO</t>
  </si>
  <si>
    <t>FERNANDA ESCOLA</t>
  </si>
  <si>
    <t>DB</t>
  </si>
  <si>
    <t>FTGS</t>
  </si>
  <si>
    <t>ANA PAULA</t>
  </si>
  <si>
    <t>VALDECIR</t>
  </si>
  <si>
    <t>TELHAS</t>
  </si>
  <si>
    <t>DUCOR PAI 1/2 00381 ******</t>
  </si>
  <si>
    <t>DUCOR PAI 2/2 00382 ********</t>
  </si>
  <si>
    <t>DANILO</t>
  </si>
  <si>
    <t>GELADEIRA</t>
  </si>
  <si>
    <t>VEDACIT VEDALIT 900ML</t>
  </si>
  <si>
    <t>7898031540137</t>
  </si>
  <si>
    <t>CAIXA ACOPLADA INCEPA THEMA P/ BACIA QUAD</t>
  </si>
  <si>
    <t>BACIA QUAD INCEPA THEMA C/ FURO P/ CX ACOPLADA</t>
  </si>
  <si>
    <t>COJUNTO THEMA BACIA QUAD ACOPLADA C/ FURO VASO SANITARIO</t>
  </si>
  <si>
    <t>NATHAN</t>
  </si>
  <si>
    <t>ELSIO</t>
  </si>
  <si>
    <t>DISCO FLAP</t>
  </si>
  <si>
    <t>7891333103574</t>
  </si>
  <si>
    <t>7891333086242</t>
  </si>
  <si>
    <t>VERGALHAO</t>
  </si>
  <si>
    <t>AFONSO</t>
  </si>
  <si>
    <t>JOAQUIM</t>
  </si>
  <si>
    <t>SCACALOSSI</t>
  </si>
  <si>
    <t>CREPE</t>
  </si>
  <si>
    <t>PEÇAS HIDRAULICAS</t>
  </si>
  <si>
    <t>HELIO</t>
  </si>
  <si>
    <t>LANTERNA</t>
  </si>
  <si>
    <t>FIO</t>
  </si>
  <si>
    <t>PAULO AFONSO</t>
  </si>
  <si>
    <t>LUIZ OTAVIO</t>
  </si>
  <si>
    <t>GRELHA</t>
  </si>
  <si>
    <t>JULIANA</t>
  </si>
  <si>
    <t>LEAL 00201</t>
  </si>
  <si>
    <t>LEAL</t>
  </si>
  <si>
    <t>7896193243507</t>
  </si>
  <si>
    <t>ATLAS ROLO LA ANTI-RESPINGO ECONOMICO 23CM RED 773/10</t>
  </si>
  <si>
    <t>7896380193998</t>
  </si>
  <si>
    <t>7899932507601</t>
  </si>
  <si>
    <t>CAIXA LUZ TOMADA EMBUTIR AMARELA TRAMONTINA</t>
  </si>
  <si>
    <t>7891435046403</t>
  </si>
  <si>
    <t>CHEMICOLOR ALUMINIO 400ML</t>
  </si>
  <si>
    <t>7898436140550</t>
  </si>
  <si>
    <t>7896380103515</t>
  </si>
  <si>
    <t>7896380103539</t>
  </si>
  <si>
    <t>7896380103577</t>
  </si>
  <si>
    <t>SEU MOISES</t>
  </si>
  <si>
    <t>EBER</t>
  </si>
  <si>
    <t>CIMENTO PAI</t>
  </si>
  <si>
    <t>LICENCIAMENTO CAMINHAO</t>
  </si>
  <si>
    <t>BRAZIM</t>
  </si>
  <si>
    <t>ARGAMASSA</t>
  </si>
  <si>
    <t>PARAFUSO SEXT ROSCA UNC 3/8X3</t>
  </si>
  <si>
    <t>BASTOS</t>
  </si>
  <si>
    <t>MASSA PLASTICA</t>
  </si>
  <si>
    <t>ANESIO</t>
  </si>
  <si>
    <t>BOTA</t>
  </si>
  <si>
    <t>ELETRODO</t>
  </si>
  <si>
    <t>RAFAEL BASTOS</t>
  </si>
  <si>
    <t>JULIO NELIM</t>
  </si>
  <si>
    <t>SILVIO LURDES</t>
  </si>
  <si>
    <t>JOEL MERCADO</t>
  </si>
  <si>
    <t>SOLANGE BIANA</t>
  </si>
  <si>
    <t>LAMPADAS</t>
  </si>
  <si>
    <t>REFLETORES</t>
  </si>
  <si>
    <t>BIM</t>
  </si>
  <si>
    <t>4X CREDITO</t>
  </si>
  <si>
    <t>MEIO QUILO</t>
  </si>
  <si>
    <t>PAULINHO</t>
  </si>
  <si>
    <t>CONTROLE VENTILADOR</t>
  </si>
  <si>
    <t>COLUNA 7X14</t>
  </si>
  <si>
    <t>LUIZ FERNANDO</t>
  </si>
  <si>
    <t>RODA,FITA ISOLANTE</t>
  </si>
  <si>
    <t>QUETO</t>
  </si>
  <si>
    <t>MARQUIM</t>
  </si>
  <si>
    <t>AGULHA, PORCAS</t>
  </si>
  <si>
    <t>NILTON</t>
  </si>
  <si>
    <t>DINALDO</t>
  </si>
  <si>
    <t>GENIVALDO</t>
  </si>
  <si>
    <t>SEU PEDRO</t>
  </si>
  <si>
    <t>MARGARETH</t>
  </si>
  <si>
    <t>AIXA</t>
  </si>
  <si>
    <t>JANES BARTOLOMEU</t>
  </si>
  <si>
    <t>DITO AS</t>
  </si>
  <si>
    <t>2X CREDITO</t>
  </si>
  <si>
    <t>KIT PINTURA</t>
  </si>
  <si>
    <t>LUVA</t>
  </si>
  <si>
    <t>PINTURA</t>
  </si>
  <si>
    <t>MARCOS PEREIRAO</t>
  </si>
  <si>
    <t>EVA</t>
  </si>
  <si>
    <t>HELENA</t>
  </si>
  <si>
    <t>PINGO</t>
  </si>
  <si>
    <t>TOE</t>
  </si>
  <si>
    <t>VACA</t>
  </si>
  <si>
    <t>GUILHERME POLICIA</t>
  </si>
  <si>
    <t>LUCIANA</t>
  </si>
  <si>
    <t>MASSA CORRIDA</t>
  </si>
  <si>
    <t>SONIA ELTO</t>
  </si>
  <si>
    <t>3X CREDITO</t>
  </si>
  <si>
    <t>PELE</t>
  </si>
  <si>
    <t>CAFÉ</t>
  </si>
  <si>
    <t>GRAMPO CERCO</t>
  </si>
  <si>
    <t>VANDERLEI CARDENA</t>
  </si>
  <si>
    <t>VOVO</t>
  </si>
  <si>
    <t>MANTA ADESIVA 15 CM RL 10MTS DRYKO VEDATUDO</t>
  </si>
  <si>
    <t>7898959829437</t>
  </si>
  <si>
    <t>TIMER ANALOGICO BIVOLT THOMPSON</t>
  </si>
  <si>
    <t>7898011978653</t>
  </si>
  <si>
    <t>BOTAO FRANCES METAL CROMADO</t>
  </si>
  <si>
    <t>SERRA STARRET 12X18</t>
  </si>
  <si>
    <t>7891265403308</t>
  </si>
  <si>
    <t>SERRA STARRET 12X24</t>
  </si>
  <si>
    <t>7891265403315</t>
  </si>
  <si>
    <t>TAMBASA 1/2</t>
  </si>
  <si>
    <t>TAMBASA 2/2</t>
  </si>
  <si>
    <t>ALICATE UNIVERSAL UTAH 8"</t>
  </si>
  <si>
    <t>CLARICE</t>
  </si>
  <si>
    <t>7899813574913</t>
  </si>
  <si>
    <t>7898526967692</t>
  </si>
  <si>
    <t>AUGUSTO</t>
  </si>
  <si>
    <t>PAULO PROFESSOR</t>
  </si>
  <si>
    <t>7891249029371</t>
  </si>
  <si>
    <t>7891249071967</t>
  </si>
  <si>
    <t>7891249071981</t>
  </si>
  <si>
    <t>7897957531328</t>
  </si>
  <si>
    <t>TANQUE</t>
  </si>
  <si>
    <t>7897957531366</t>
  </si>
  <si>
    <t>7897957531533</t>
  </si>
  <si>
    <t>7897957531427</t>
  </si>
  <si>
    <t>7909383109078</t>
  </si>
  <si>
    <t>7897957531540</t>
  </si>
  <si>
    <t>7897957531564</t>
  </si>
  <si>
    <t>7897957531342</t>
  </si>
  <si>
    <t>7898542002247</t>
  </si>
  <si>
    <t>7898542002261</t>
  </si>
  <si>
    <t>7898542002285</t>
  </si>
  <si>
    <t>7898100080359</t>
  </si>
  <si>
    <t>7898322640386</t>
  </si>
  <si>
    <t>7898322640409</t>
  </si>
  <si>
    <t>ILUMI BC CONJUNTO 3 INTERRUPTOR SIMPLES</t>
  </si>
  <si>
    <t>7898322640430</t>
  </si>
  <si>
    <t>7898493990747</t>
  </si>
  <si>
    <t>7898493991195</t>
  </si>
  <si>
    <t>7898493990754</t>
  </si>
  <si>
    <t>7898493991331</t>
  </si>
  <si>
    <t>7898322640584</t>
  </si>
  <si>
    <t>7898322640577</t>
  </si>
  <si>
    <t>7898493992314</t>
  </si>
  <si>
    <t>7898493992338</t>
  </si>
  <si>
    <t>7909492615583</t>
  </si>
  <si>
    <t>TRIO CAIXA PASSAGEM FUNDO ALTO 4X2</t>
  </si>
  <si>
    <t>7898589340029</t>
  </si>
  <si>
    <t>TRIO CAIXA PASSAGEM FUNDO BAIXO 4X2</t>
  </si>
  <si>
    <t>7898589340593</t>
  </si>
  <si>
    <t xml:space="preserve">ILUMI PLAFON PRETO SOQUETE PORCELANA </t>
  </si>
  <si>
    <t>7898493994844</t>
  </si>
  <si>
    <t>FOXLUX PLAFON BRANCO SOQUETE PORCELANA</t>
  </si>
  <si>
    <t>7898586134232</t>
  </si>
  <si>
    <t>7896193236783</t>
  </si>
  <si>
    <t>4056807092591</t>
  </si>
  <si>
    <t>7891200007868</t>
  </si>
  <si>
    <t>7896094502116</t>
  </si>
  <si>
    <t>7896094503335</t>
  </si>
  <si>
    <t>7898589340081</t>
  </si>
  <si>
    <t>7898589340296</t>
  </si>
  <si>
    <t>CONTROLE VENTILADOR TRIO 2 LAMPADAS C/ CAPACITOR</t>
  </si>
  <si>
    <t>7898589340340</t>
  </si>
  <si>
    <t>PASSARIM</t>
  </si>
  <si>
    <t>CONTROLE VENTILADOR 1 LAMPADA C/ TOMADA</t>
  </si>
  <si>
    <t>7898589340050</t>
  </si>
  <si>
    <t>7891222222652</t>
  </si>
  <si>
    <t>7891222310007</t>
  </si>
  <si>
    <t>7891222039755</t>
  </si>
  <si>
    <t>7891222121146</t>
  </si>
  <si>
    <t>7891222292891</t>
  </si>
  <si>
    <t>7891222044483</t>
  </si>
  <si>
    <t>7891222126127</t>
  </si>
  <si>
    <t>7898067905139</t>
  </si>
  <si>
    <t>7891222206805</t>
  </si>
  <si>
    <t>MATHEUS</t>
  </si>
  <si>
    <t>DITO PAULA</t>
  </si>
  <si>
    <t>ESCOLA ESTADUAL</t>
  </si>
  <si>
    <t>7891799538699</t>
  </si>
  <si>
    <t>7891799528980</t>
  </si>
  <si>
    <t>7891799470654</t>
  </si>
  <si>
    <t>7891799521097</t>
  </si>
  <si>
    <t>WURTH LIMPA PARABRISA 50ML</t>
  </si>
  <si>
    <t>7891799512330</t>
  </si>
  <si>
    <t>7891799178345</t>
  </si>
  <si>
    <t>7891799285289</t>
  </si>
  <si>
    <t>WURTH REPARADOR DE PNEU MOTO 170ML</t>
  </si>
  <si>
    <t>7891799462581</t>
  </si>
  <si>
    <t>WURTH REPARADOR DE PNEU CARRO 300ML</t>
  </si>
  <si>
    <t>7891799466251</t>
  </si>
  <si>
    <t>7891799377922</t>
  </si>
  <si>
    <t>7891799524609</t>
  </si>
  <si>
    <t>4053479119519</t>
  </si>
  <si>
    <t>7891799466299</t>
  </si>
  <si>
    <t>WURTH DETERGENTE CERA LIMPADORA 200G</t>
  </si>
  <si>
    <t>7891799145576</t>
  </si>
  <si>
    <t>7898706990403</t>
  </si>
  <si>
    <t>7898706990397</t>
  </si>
  <si>
    <t>7898706990434</t>
  </si>
  <si>
    <t>7898706990410</t>
  </si>
  <si>
    <t>TIO CHICO</t>
  </si>
  <si>
    <t>MANTA</t>
  </si>
  <si>
    <t>TIJOLO</t>
  </si>
  <si>
    <t>DOBRADICA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</si>
</sst>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_([$$-409]* #,##0.00_);_([$$-409]* \(#,##0.00\);_([$$-409]* &quot;-&quot;??_);_(@_)"/>
    <numFmt numFmtId="165" formatCode="dd/mm/yy"/>
    <numFmt numFmtId="166" formatCode="_-[$R$-416]\ * #,##0.00_-;\-[$R$-416]\ * #,##0.00_-;_-[$R$-416]\ * &quot;-&quot;??_-;_-@"/>
    <numFmt numFmtId="167" formatCode="_-&quot;R$&quot;\ * #,##0.00_-;\-&quot;R$&quot;\ * #,##0.00_-;_-&quot;R$&quot;\ * &quot;-&quot;??_-;_-@"/>
    <numFmt numFmtId="168" formatCode="dd/mm/yy;@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i/>
      <sz val="11"/>
      <color theme="0"/>
      <name val="Calibri"/>
      <family val="2"/>
    </font>
    <font>
      <sz val="11"/>
      <color theme="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</font>
    <font>
      <b/>
      <sz val="11"/>
      <color theme="0"/>
      <name val="Calibri"/>
    </font>
    <font>
      <b/>
      <sz val="10"/>
      <color theme="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theme="1"/>
      <name val="Calibri"/>
    </font>
    <font>
      <sz val="11"/>
      <name val="Calibri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5"/>
      <color theme="0"/>
      <name val="Calibri"/>
      <family val="2"/>
      <scheme val="minor"/>
    </font>
    <font>
      <sz val="15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rgb="FF3F3F3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A3838"/>
        <bgColor rgb="FF3A3838"/>
      </patternFill>
    </fill>
    <fill>
      <patternFill patternType="solid">
        <fgColor rgb="FFAEABAB"/>
        <bgColor rgb="FFAEABAB"/>
      </patternFill>
    </fill>
    <fill>
      <patternFill patternType="solid">
        <fgColor theme="1"/>
        <bgColor theme="1"/>
      </patternFill>
    </fill>
    <fill>
      <patternFill patternType="solid">
        <fgColor theme="1" tint="4.9989318521683403E-2"/>
        <bgColor theme="1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 style="thin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 style="thin">
        <color theme="5"/>
      </right>
      <top style="medium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medium">
        <color theme="5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70">
    <xf numFmtId="0" fontId="0" fillId="0" borderId="0" xfId="0"/>
    <xf numFmtId="14" fontId="3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44" fontId="2" fillId="3" borderId="0" xfId="1" applyFont="1" applyFill="1"/>
    <xf numFmtId="44" fontId="2" fillId="4" borderId="0" xfId="1" applyFont="1" applyFill="1" applyAlignment="1">
      <alignment horizontal="center"/>
    </xf>
    <xf numFmtId="44" fontId="2" fillId="4" borderId="0" xfId="1" applyFont="1" applyFill="1"/>
    <xf numFmtId="0" fontId="4" fillId="5" borderId="0" xfId="0" applyFont="1" applyFill="1" applyAlignment="1">
      <alignment horizontal="center" vertical="center"/>
    </xf>
    <xf numFmtId="165" fontId="4" fillId="5" borderId="0" xfId="0" applyNumberFormat="1" applyFont="1" applyFill="1" applyAlignment="1">
      <alignment vertical="center"/>
    </xf>
    <xf numFmtId="0" fontId="5" fillId="6" borderId="1" xfId="0" applyFont="1" applyFill="1" applyBorder="1" applyAlignment="1">
      <alignment horizontal="left"/>
    </xf>
    <xf numFmtId="166" fontId="5" fillId="6" borderId="2" xfId="0" applyNumberFormat="1" applyFont="1" applyFill="1" applyBorder="1"/>
    <xf numFmtId="165" fontId="5" fillId="6" borderId="2" xfId="0" applyNumberFormat="1" applyFont="1" applyFill="1" applyBorder="1"/>
    <xf numFmtId="0" fontId="5" fillId="6" borderId="2" xfId="0" applyFont="1" applyFill="1" applyBorder="1"/>
    <xf numFmtId="44" fontId="0" fillId="0" borderId="0" xfId="1" applyFont="1"/>
    <xf numFmtId="0" fontId="5" fillId="6" borderId="3" xfId="0" applyFont="1" applyFill="1" applyBorder="1"/>
    <xf numFmtId="44" fontId="4" fillId="5" borderId="0" xfId="1" applyFont="1" applyFill="1" applyAlignment="1">
      <alignment vertical="center"/>
    </xf>
    <xf numFmtId="166" fontId="7" fillId="7" borderId="0" xfId="0" applyNumberFormat="1" applyFont="1" applyFill="1" applyAlignment="1">
      <alignment vertical="center"/>
    </xf>
    <xf numFmtId="44" fontId="0" fillId="0" borderId="0" xfId="0" applyNumberFormat="1"/>
    <xf numFmtId="167" fontId="12" fillId="0" borderId="0" xfId="0" applyNumberFormat="1" applyFont="1"/>
    <xf numFmtId="0" fontId="3" fillId="7" borderId="4" xfId="0" applyFont="1" applyFill="1" applyBorder="1" applyAlignment="1">
      <alignment horizontal="center" vertical="center"/>
    </xf>
    <xf numFmtId="167" fontId="13" fillId="7" borderId="5" xfId="0" applyNumberFormat="1" applyFont="1" applyFill="1" applyBorder="1" applyAlignment="1">
      <alignment horizontal="center" vertical="center"/>
    </xf>
    <xf numFmtId="167" fontId="14" fillId="7" borderId="5" xfId="0" applyNumberFormat="1" applyFont="1" applyFill="1" applyBorder="1" applyAlignment="1">
      <alignment horizontal="center" vertical="center" wrapText="1"/>
    </xf>
    <xf numFmtId="44" fontId="0" fillId="0" borderId="0" xfId="2" applyFont="1"/>
    <xf numFmtId="0" fontId="5" fillId="6" borderId="0" xfId="0" applyFont="1" applyFill="1"/>
    <xf numFmtId="0" fontId="0" fillId="0" borderId="0" xfId="0" applyAlignment="1">
      <alignment horizontal="center" vertical="center"/>
    </xf>
    <xf numFmtId="44" fontId="0" fillId="0" borderId="0" xfId="1" applyFont="1" applyFill="1" applyAlignment="1">
      <alignment horizontal="center"/>
    </xf>
    <xf numFmtId="44" fontId="0" fillId="0" borderId="0" xfId="1" applyFont="1" applyFill="1"/>
    <xf numFmtId="0" fontId="15" fillId="0" borderId="0" xfId="0" applyFont="1"/>
    <xf numFmtId="0" fontId="0" fillId="0" borderId="0" xfId="0" applyAlignment="1">
      <alignment vertical="center"/>
    </xf>
    <xf numFmtId="166" fontId="12" fillId="0" borderId="0" xfId="0" applyNumberFormat="1" applyFont="1"/>
    <xf numFmtId="0" fontId="0" fillId="0" borderId="0" xfId="0" applyAlignment="1">
      <alignment horizontal="center"/>
    </xf>
    <xf numFmtId="0" fontId="13" fillId="7" borderId="9" xfId="0" applyFont="1" applyFill="1" applyBorder="1"/>
    <xf numFmtId="0" fontId="18" fillId="0" borderId="9" xfId="0" applyFont="1" applyBorder="1"/>
    <xf numFmtId="168" fontId="0" fillId="0" borderId="0" xfId="0" applyNumberFormat="1"/>
    <xf numFmtId="44" fontId="0" fillId="0" borderId="0" xfId="1" applyFont="1" applyFill="1" applyBorder="1" applyAlignment="1">
      <alignment horizontal="center"/>
    </xf>
    <xf numFmtId="44" fontId="0" fillId="0" borderId="0" xfId="1" applyFont="1" applyFill="1" applyBorder="1"/>
    <xf numFmtId="0" fontId="12" fillId="7" borderId="0" xfId="0" applyFont="1" applyFill="1"/>
    <xf numFmtId="0" fontId="18" fillId="13" borderId="13" xfId="0" applyFont="1" applyFill="1" applyBorder="1" applyAlignment="1">
      <alignment horizontal="left" vertical="center"/>
    </xf>
    <xf numFmtId="0" fontId="18" fillId="13" borderId="9" xfId="0" applyFont="1" applyFill="1" applyBorder="1"/>
    <xf numFmtId="167" fontId="12" fillId="0" borderId="9" xfId="0" applyNumberFormat="1" applyFont="1" applyBorder="1"/>
    <xf numFmtId="166" fontId="12" fillId="0" borderId="9" xfId="0" applyNumberFormat="1" applyFont="1" applyBorder="1"/>
    <xf numFmtId="44" fontId="5" fillId="6" borderId="2" xfId="1" applyFont="1" applyFill="1" applyBorder="1"/>
    <xf numFmtId="168" fontId="4" fillId="5" borderId="0" xfId="0" applyNumberFormat="1" applyFont="1" applyFill="1" applyAlignment="1">
      <alignment vertical="center"/>
    </xf>
    <xf numFmtId="14" fontId="0" fillId="0" borderId="0" xfId="0" applyNumberFormat="1"/>
    <xf numFmtId="0" fontId="22" fillId="0" borderId="0" xfId="0" applyFont="1"/>
    <xf numFmtId="44" fontId="12" fillId="0" borderId="9" xfId="0" applyNumberFormat="1" applyFont="1" applyBorder="1"/>
    <xf numFmtId="0" fontId="0" fillId="3" borderId="0" xfId="0" quotePrefix="1" applyFill="1"/>
    <xf numFmtId="0" fontId="23" fillId="0" borderId="0" xfId="3"/>
    <xf numFmtId="44" fontId="24" fillId="0" borderId="0" xfId="1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44" fontId="15" fillId="0" borderId="0" xfId="1" applyFont="1" applyFill="1"/>
    <xf numFmtId="44" fontId="15" fillId="0" borderId="0" xfId="1" applyFont="1"/>
    <xf numFmtId="44" fontId="15" fillId="0" borderId="0" xfId="1" applyFont="1" applyFill="1" applyAlignment="1">
      <alignment horizontal="center"/>
    </xf>
    <xf numFmtId="44" fontId="1" fillId="0" borderId="0" xfId="1" applyFont="1"/>
    <xf numFmtId="0" fontId="26" fillId="10" borderId="6" xfId="0" applyFont="1" applyFill="1" applyBorder="1" applyAlignment="1">
      <alignment horizontal="center"/>
    </xf>
    <xf numFmtId="0" fontId="26" fillId="10" borderId="7" xfId="0" applyFont="1" applyFill="1" applyBorder="1" applyAlignment="1">
      <alignment horizontal="center" vertical="center"/>
    </xf>
    <xf numFmtId="44" fontId="26" fillId="10" borderId="8" xfId="1" applyFont="1" applyFill="1" applyBorder="1" applyAlignment="1">
      <alignment horizontal="center" vertical="center"/>
    </xf>
    <xf numFmtId="44" fontId="26" fillId="10" borderId="5" xfId="1" applyFont="1" applyFill="1" applyBorder="1" applyAlignment="1">
      <alignment horizontal="center" vertical="center"/>
    </xf>
    <xf numFmtId="44" fontId="26" fillId="11" borderId="0" xfId="1" applyFont="1" applyFill="1" applyBorder="1" applyAlignment="1">
      <alignment horizontal="center" vertical="center"/>
    </xf>
    <xf numFmtId="44" fontId="26" fillId="10" borderId="5" xfId="1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49" fontId="0" fillId="0" borderId="0" xfId="0" applyNumberFormat="1"/>
    <xf numFmtId="49" fontId="26" fillId="10" borderId="6" xfId="0" applyNumberFormat="1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wrapText="1"/>
    </xf>
    <xf numFmtId="0" fontId="4" fillId="5" borderId="0" xfId="0" applyFont="1" applyFill="1" applyAlignment="1">
      <alignment horizontal="center" vertical="center"/>
    </xf>
    <xf numFmtId="0" fontId="6" fillId="0" borderId="0" xfId="0" applyFont="1"/>
    <xf numFmtId="0" fontId="18" fillId="12" borderId="10" xfId="0" applyFont="1" applyFill="1" applyBorder="1" applyAlignment="1">
      <alignment horizontal="center"/>
    </xf>
    <xf numFmtId="0" fontId="19" fillId="0" borderId="11" xfId="0" applyFont="1" applyBorder="1"/>
    <xf numFmtId="0" fontId="19" fillId="0" borderId="12" xfId="0" applyFont="1" applyBorder="1"/>
  </cellXfs>
  <cellStyles count="4">
    <cellStyle name="Hiperlink" xfId="3" builtinId="8"/>
    <cellStyle name="Moeda" xfId="1" builtinId="4"/>
    <cellStyle name="Moeda 2" xfId="2" xr:uid="{28772DA8-A51C-4FC0-8F4C-899B33988020}"/>
    <cellStyle name="Normal" xfId="0" builtinId="0"/>
  </cellStyles>
  <dxfs count="48"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603493270983005E-2"/>
          <c:y val="4.9773755656108594E-2"/>
          <c:w val="0.81886816784078675"/>
          <c:h val="0.9502262443438913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81-4EA9-A9E7-6A0DAC7B04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81-4EA9-A9E7-6A0DAC7B04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Dados!$A$4:$A$5</c:f>
              <c:strCache>
                <c:ptCount val="2"/>
                <c:pt idx="0">
                  <c:v>VENDA MENSAL</c:v>
                </c:pt>
                <c:pt idx="1">
                  <c:v>SAIDA MENSAL</c:v>
                </c:pt>
              </c:strCache>
            </c:strRef>
          </c:cat>
          <c:val>
            <c:numRef>
              <c:f>Dados!$B$4:$B$5</c:f>
              <c:numCache>
                <c:formatCode>_("R$"* #,##0.00_);_("R$"* \(#,##0.00\);_("R$"* "-"??_);_(@_)</c:formatCode>
                <c:ptCount val="2"/>
                <c:pt idx="0">
                  <c:v>56158.909999999982</c:v>
                </c:pt>
                <c:pt idx="1">
                  <c:v>43303.33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81-4EA9-A9E7-6A0DAC7B0442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83-4B09-AA7E-D15B552FC5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83-4B09-AA7E-D15B552FC5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Dados!$A$4:$A$5</c:f>
              <c:strCache>
                <c:ptCount val="2"/>
                <c:pt idx="0">
                  <c:v>VENDA MENSAL</c:v>
                </c:pt>
                <c:pt idx="1">
                  <c:v>SAIDA MENSAL</c:v>
                </c:pt>
              </c:strCache>
            </c:strRef>
          </c:cat>
          <c:val>
            <c:numRef>
              <c:f>Dados!$B$4:$B$5</c:f>
              <c:numCache>
                <c:formatCode>_("R$"* #,##0.00_);_("R$"* \(#,##0.00\);_("R$"* "-"??_);_(@_)</c:formatCode>
                <c:ptCount val="2"/>
                <c:pt idx="0">
                  <c:v>56158.909999999982</c:v>
                </c:pt>
                <c:pt idx="1">
                  <c:v>43303.33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C-4FC9-98C3-EA4386DA0EA2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VENDA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mensais'!$B$2</c:f>
              <c:strCache>
                <c:ptCount val="1"/>
                <c:pt idx="0">
                  <c:v>2021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'Dados mensais'!$A$3:$A$14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mensais'!$B$3:$B$14</c:f>
              <c:numCache>
                <c:formatCode>_-"R$"\ * #,##0.00_-;\-"R$"\ * #,##0.00_-;_-"R$"\ 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5520.96</c:v>
                </c:pt>
                <c:pt idx="5" formatCode="_-[$R$-416]\ * #,##0.00_-;\-[$R$-416]\ * #,##0.00_-;_-[$R$-416]\ * &quot;-&quot;??_-;_-@">
                  <c:v>50291.05</c:v>
                </c:pt>
                <c:pt idx="6" formatCode="_-[$R$-416]\ * #,##0.00_-;\-[$R$-416]\ * #,##0.00_-;_-[$R$-416]\ * &quot;-&quot;??_-;_-@">
                  <c:v>58669.85</c:v>
                </c:pt>
                <c:pt idx="7">
                  <c:v>43650.3</c:v>
                </c:pt>
                <c:pt idx="8">
                  <c:v>47169.82</c:v>
                </c:pt>
                <c:pt idx="9">
                  <c:v>55405.1</c:v>
                </c:pt>
                <c:pt idx="10">
                  <c:v>57797.29</c:v>
                </c:pt>
                <c:pt idx="11">
                  <c:v>62101.72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A-4852-A004-158E76A56B8D}"/>
            </c:ext>
          </c:extLst>
        </c:ser>
        <c:ser>
          <c:idx val="1"/>
          <c:order val="1"/>
          <c:tx>
            <c:strRef>
              <c:f>'Dados mensais'!$C$2</c:f>
              <c:strCache>
                <c:ptCount val="1"/>
                <c:pt idx="0">
                  <c:v>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'Dados mensais'!$A$3:$A$14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mensais'!$C$3:$C$14</c:f>
              <c:numCache>
                <c:formatCode>_-"R$"\ * #,##0.00_-;\-"R$"\ * #,##0.00_-;_-"R$"\ * "-"??_-;_-@</c:formatCode>
                <c:ptCount val="12"/>
                <c:pt idx="0">
                  <c:v>57509.78</c:v>
                </c:pt>
                <c:pt idx="1">
                  <c:v>56568.11</c:v>
                </c:pt>
                <c:pt idx="2">
                  <c:v>67847.87</c:v>
                </c:pt>
                <c:pt idx="3">
                  <c:v>70695.16</c:v>
                </c:pt>
                <c:pt idx="4">
                  <c:v>73935.64</c:v>
                </c:pt>
                <c:pt idx="5" formatCode="_-[$R$-416]\ * #,##0.00_-;\-[$R$-416]\ * #,##0.00_-;_-[$R$-416]\ * &quot;-&quot;??_-;_-@">
                  <c:v>51459.69</c:v>
                </c:pt>
                <c:pt idx="6" formatCode="_-[$R$-416]\ * #,##0.00_-;\-[$R$-416]\ * #,##0.00_-;_-[$R$-416]\ * &quot;-&quot;??_-;_-@">
                  <c:v>0</c:v>
                </c:pt>
                <c:pt idx="7">
                  <c:v>0</c:v>
                </c:pt>
                <c:pt idx="8">
                  <c:v>81123.010000000009</c:v>
                </c:pt>
                <c:pt idx="9">
                  <c:v>90449.58</c:v>
                </c:pt>
                <c:pt idx="10">
                  <c:v>91728.4</c:v>
                </c:pt>
                <c:pt idx="11">
                  <c:v>88940.55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A-4852-A004-158E76A56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034848"/>
        <c:axId val="988636992"/>
      </c:barChart>
      <c:lineChart>
        <c:grouping val="standard"/>
        <c:varyColors val="0"/>
        <c:ser>
          <c:idx val="2"/>
          <c:order val="2"/>
          <c:tx>
            <c:strRef>
              <c:f>'Dados mensais'!$D$2</c:f>
              <c:strCache>
                <c:ptCount val="1"/>
                <c:pt idx="0">
                  <c:v>2023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'Dados mensais'!$A$3:$A$14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mensais'!$D$3:$D$14</c:f>
              <c:numCache>
                <c:formatCode>_("R$"* #,##0.00_);_("R$"* \(#,##0.00\);_("R$"* "-"??_);_(@_)</c:formatCode>
                <c:ptCount val="12"/>
                <c:pt idx="0" formatCode="_-&quot;R$&quot;\ * #,##0.00_-;\-&quot;R$&quot;\ * #,##0.00_-;_-&quot;R$&quot;\ * &quot;-&quot;??_-;_-@">
                  <c:v>86246.27</c:v>
                </c:pt>
                <c:pt idx="1">
                  <c:v>90679.209999999934</c:v>
                </c:pt>
                <c:pt idx="2" formatCode="_-&quot;R$&quot;\ * #,##0.00_-;\-&quot;R$&quot;\ * #,##0.00_-;_-&quot;R$&quot;\ * &quot;-&quot;??_-;_-@">
                  <c:v>85601.27</c:v>
                </c:pt>
                <c:pt idx="3">
                  <c:v>74737.130000000019</c:v>
                </c:pt>
                <c:pt idx="4" formatCode="_-&quot;R$&quot;\ * #,##0.00_-;\-&quot;R$&quot;\ * #,##0.00_-;_-&quot;R$&quot;\ * &quot;-&quot;??_-;_-@">
                  <c:v>101769.26</c:v>
                </c:pt>
                <c:pt idx="5" formatCode="_-&quot;R$&quot;\ * #,##0.00_-;\-&quot;R$&quot;\ * #,##0.00_-;_-&quot;R$&quot;\ * &quot;-&quot;??_-;_-@">
                  <c:v>95541.53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A-4852-A004-158E76A56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8034848"/>
        <c:axId val="988636992"/>
      </c:lineChart>
      <c:catAx>
        <c:axId val="10380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8636992"/>
        <c:crosses val="autoZero"/>
        <c:auto val="1"/>
        <c:lblAlgn val="ctr"/>
        <c:lblOffset val="100"/>
        <c:noMultiLvlLbl val="0"/>
      </c:catAx>
      <c:valAx>
        <c:axId val="98863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03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LIQUIDEZ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mensais'!$I$2</c:f>
              <c:strCache>
                <c:ptCount val="1"/>
                <c:pt idx="0">
                  <c:v>2021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'Dados mensais'!$H$3:$H$14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mensais'!$I$3:$I$14</c:f>
              <c:numCache>
                <c:formatCode>_-"R$"\ * #,##0.00_-;\-"R$"\ * #,##0.00_-;_-"R$"\ 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_-[$R$-416]\ * #,##0.00_-;\-[$R$-416]\ * #,##0.00_-;_-[$R$-416]\ * &quot;-&quot;??_-;_-@">
                  <c:v>20387.23</c:v>
                </c:pt>
                <c:pt idx="6" formatCode="_-[$R$-416]\ * #,##0.00_-;\-[$R$-416]\ * #,##0.00_-;_-[$R$-416]\ * &quot;-&quot;??_-;_-@">
                  <c:v>12149.28</c:v>
                </c:pt>
                <c:pt idx="7">
                  <c:v>0</c:v>
                </c:pt>
                <c:pt idx="8" formatCode="_-[$R$-416]\ * #,##0.00_-;\-[$R$-416]\ * #,##0.00_-;_-[$R$-416]\ * &quot;-&quot;??_-;_-@">
                  <c:v>-5003.8</c:v>
                </c:pt>
                <c:pt idx="9" formatCode="_-[$R$-416]\ * #,##0.00_-;\-[$R$-416]\ * #,##0.00_-;_-[$R$-416]\ * &quot;-&quot;??_-;_-@">
                  <c:v>-224.84</c:v>
                </c:pt>
                <c:pt idx="10" formatCode="_-[$R$-416]\ * #,##0.00_-;\-[$R$-416]\ * #,##0.00_-;_-[$R$-416]\ * &quot;-&quot;??_-;_-@">
                  <c:v>8667</c:v>
                </c:pt>
                <c:pt idx="11" formatCode="_-[$R$-416]\ * #,##0.00_-;\-[$R$-416]\ * #,##0.00_-;_-[$R$-416]\ * &quot;-&quot;??_-;_-@">
                  <c:v>737.74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4-4AF5-AD5E-34B4FB41A78B}"/>
            </c:ext>
          </c:extLst>
        </c:ser>
        <c:ser>
          <c:idx val="1"/>
          <c:order val="1"/>
          <c:tx>
            <c:strRef>
              <c:f>'Dados mensais'!$J$2</c:f>
              <c:strCache>
                <c:ptCount val="1"/>
                <c:pt idx="0">
                  <c:v>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'Dados mensais'!$H$3:$H$14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mensais'!$J$3:$J$14</c:f>
              <c:numCache>
                <c:formatCode>_-"R$"\ * #,##0.00_-;\-"R$"\ * #,##0.00_-;_-"R$"\ * "-"??_-;_-@</c:formatCode>
                <c:ptCount val="12"/>
                <c:pt idx="0">
                  <c:v>737.74</c:v>
                </c:pt>
                <c:pt idx="1">
                  <c:v>3506.76</c:v>
                </c:pt>
                <c:pt idx="2">
                  <c:v>3439.7</c:v>
                </c:pt>
                <c:pt idx="3">
                  <c:v>8695.16</c:v>
                </c:pt>
                <c:pt idx="4">
                  <c:v>13593.8</c:v>
                </c:pt>
                <c:pt idx="5" formatCode="_-[$R$-416]\ * #,##0.00_-;\-[$R$-416]\ * #,##0.00_-;_-[$R$-416]\ * &quot;-&quot;??_-;_-@">
                  <c:v>-12296.76</c:v>
                </c:pt>
                <c:pt idx="6" formatCode="_-[$R$-416]\ * #,##0.00_-;\-[$R$-416]\ * #,##0.00_-;_-[$R$-416]\ * &quot;-&quot;??_-;_-@">
                  <c:v>0</c:v>
                </c:pt>
                <c:pt idx="7">
                  <c:v>0</c:v>
                </c:pt>
                <c:pt idx="8" formatCode="_-[$R$-416]\ * #,##0.00_-;\-[$R$-416]\ * #,##0.00_-;_-[$R$-416]\ * &quot;-&quot;??_-;_-@">
                  <c:v>3237.37</c:v>
                </c:pt>
                <c:pt idx="9" formatCode="_-[$R$-416]\ * #,##0.00_-;\-[$R$-416]\ * #,##0.00_-;_-[$R$-416]\ * &quot;-&quot;??_-;_-@">
                  <c:v>2706.3</c:v>
                </c:pt>
                <c:pt idx="10" formatCode="_-[$R$-416]\ * #,##0.00_-;\-[$R$-416]\ * #,##0.00_-;_-[$R$-416]\ * &quot;-&quot;??_-;_-@">
                  <c:v>6333.46</c:v>
                </c:pt>
                <c:pt idx="11" formatCode="_-[$R$-416]\ * #,##0.00_-;\-[$R$-416]\ * #,##0.00_-;_-[$R$-416]\ * &quot;-&quot;??_-;_-@">
                  <c:v>-987.69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4-4AF5-AD5E-34B4FB41A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21536"/>
        <c:axId val="519156640"/>
      </c:barChart>
      <c:lineChart>
        <c:grouping val="standard"/>
        <c:varyColors val="0"/>
        <c:ser>
          <c:idx val="2"/>
          <c:order val="2"/>
          <c:tx>
            <c:strRef>
              <c:f>'Dados mensais'!$K$2</c:f>
              <c:strCache>
                <c:ptCount val="1"/>
                <c:pt idx="0">
                  <c:v>2023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'Dados mensais'!$H$3:$H$14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mensais'!$K$3:$K$14</c:f>
              <c:numCache>
                <c:formatCode>_-"R$"\ * #,##0.00_-;\-"R$"\ * #,##0.00_-;_-"R$"\ * "-"??_-;_-@</c:formatCode>
                <c:ptCount val="12"/>
                <c:pt idx="0">
                  <c:v>4376.97</c:v>
                </c:pt>
                <c:pt idx="1">
                  <c:v>6261.3599999999569</c:v>
                </c:pt>
                <c:pt idx="2">
                  <c:v>3005.25</c:v>
                </c:pt>
                <c:pt idx="3">
                  <c:v>-5735.64</c:v>
                </c:pt>
                <c:pt idx="4">
                  <c:v>7024.43</c:v>
                </c:pt>
                <c:pt idx="5">
                  <c:v>1156.22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14-4AF5-AD5E-34B4FB41A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021536"/>
        <c:axId val="519156640"/>
      </c:lineChart>
      <c:catAx>
        <c:axId val="104602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156640"/>
        <c:crosses val="autoZero"/>
        <c:auto val="1"/>
        <c:lblAlgn val="ctr"/>
        <c:lblOffset val="100"/>
        <c:noMultiLvlLbl val="0"/>
      </c:catAx>
      <c:valAx>
        <c:axId val="51915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6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enu_vendas/tela_menu.exe" TargetMode="External"/><Relationship Id="rId2" Type="http://schemas.openxmlformats.org/officeDocument/2006/relationships/hyperlink" Target="#Custos!A1"/><Relationship Id="rId1" Type="http://schemas.openxmlformats.org/officeDocument/2006/relationships/hyperlink" Target="#'A Pagar'!A1"/><Relationship Id="rId5" Type="http://schemas.openxmlformats.org/officeDocument/2006/relationships/chart" Target="../charts/chart1.xml"/><Relationship Id="rId4" Type="http://schemas.openxmlformats.org/officeDocument/2006/relationships/hyperlink" Target="tela_lsp.exe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0</xdr:row>
      <xdr:rowOff>57150</xdr:rowOff>
    </xdr:from>
    <xdr:to>
      <xdr:col>0</xdr:col>
      <xdr:colOff>933450</xdr:colOff>
      <xdr:row>0</xdr:row>
      <xdr:rowOff>438150</xdr:rowOff>
    </xdr:to>
    <xdr:sp macro="" textlink="">
      <xdr:nvSpPr>
        <xdr:cNvPr id="8" name="Retângulo: Cantos Arredondado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39E409-CDF1-B99B-24A5-CBD707CEEBA2}"/>
            </a:ext>
          </a:extLst>
        </xdr:cNvPr>
        <xdr:cNvSpPr/>
      </xdr:nvSpPr>
      <xdr:spPr>
        <a:xfrm>
          <a:off x="66675" y="57150"/>
          <a:ext cx="866775" cy="3810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A PAGAR</a:t>
          </a:r>
        </a:p>
        <a:p>
          <a:pPr algn="ctr"/>
          <a:endParaRPr lang="pt-BR" sz="800"/>
        </a:p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9525</xdr:colOff>
      <xdr:row>0</xdr:row>
      <xdr:rowOff>28575</xdr:rowOff>
    </xdr:from>
    <xdr:to>
      <xdr:col>2</xdr:col>
      <xdr:colOff>9525</xdr:colOff>
      <xdr:row>0</xdr:row>
      <xdr:rowOff>476250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E284642-5730-B45D-7992-C1A0438AB500}"/>
            </a:ext>
          </a:extLst>
        </xdr:cNvPr>
        <xdr:cNvSpPr/>
      </xdr:nvSpPr>
      <xdr:spPr>
        <a:xfrm>
          <a:off x="1028700" y="28575"/>
          <a:ext cx="3600450" cy="447675"/>
        </a:xfrm>
        <a:prstGeom prst="rect">
          <a:avLst/>
        </a:prstGeom>
        <a:solidFill>
          <a:schemeClr val="accent1"/>
        </a:solidFill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TOTAL DE VENDA DIÁRIA (BRUTA):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476250</xdr:rowOff>
    </xdr:from>
    <xdr:to>
      <xdr:col>0</xdr:col>
      <xdr:colOff>933450</xdr:colOff>
      <xdr:row>0</xdr:row>
      <xdr:rowOff>704850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E3BF377-3753-1262-AD78-F250068F7DD4}"/>
            </a:ext>
          </a:extLst>
        </xdr:cNvPr>
        <xdr:cNvSpPr/>
      </xdr:nvSpPr>
      <xdr:spPr>
        <a:xfrm>
          <a:off x="66675" y="476250"/>
          <a:ext cx="866775" cy="2286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PREÇOS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2</xdr:col>
      <xdr:colOff>19050</xdr:colOff>
      <xdr:row>0</xdr:row>
      <xdr:rowOff>28575</xdr:rowOff>
    </xdr:from>
    <xdr:to>
      <xdr:col>2</xdr:col>
      <xdr:colOff>1362075</xdr:colOff>
      <xdr:row>0</xdr:row>
      <xdr:rowOff>476250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55B522E-2F77-575E-FD3B-80F3FA6C54CA}"/>
            </a:ext>
          </a:extLst>
        </xdr:cNvPr>
        <xdr:cNvSpPr/>
      </xdr:nvSpPr>
      <xdr:spPr>
        <a:xfrm>
          <a:off x="4638675" y="28575"/>
          <a:ext cx="1343025" cy="447675"/>
        </a:xfrm>
        <a:prstGeom prst="rect">
          <a:avLst/>
        </a:prstGeom>
        <a:solidFill>
          <a:schemeClr val="accent1"/>
        </a:solidFill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SAIDA MENSAL:</a:t>
          </a:r>
        </a:p>
        <a:p>
          <a:pPr algn="ctr"/>
          <a:endParaRPr lang="pt-BR" sz="1000" b="1"/>
        </a:p>
      </xdr:txBody>
    </xdr:sp>
    <xdr:clientData/>
  </xdr:twoCellAnchor>
  <xdr:twoCellAnchor editAs="absolute">
    <xdr:from>
      <xdr:col>3</xdr:col>
      <xdr:colOff>1390650</xdr:colOff>
      <xdr:row>0</xdr:row>
      <xdr:rowOff>28575</xdr:rowOff>
    </xdr:from>
    <xdr:to>
      <xdr:col>4</xdr:col>
      <xdr:colOff>971550</xdr:colOff>
      <xdr:row>0</xdr:row>
      <xdr:rowOff>533400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7661C63-9850-0C7C-B31D-0D5666CDEF2A}"/>
            </a:ext>
          </a:extLst>
        </xdr:cNvPr>
        <xdr:cNvSpPr/>
      </xdr:nvSpPr>
      <xdr:spPr>
        <a:xfrm>
          <a:off x="7477125" y="28575"/>
          <a:ext cx="1028700" cy="504825"/>
        </a:xfrm>
        <a:prstGeom prst="rect">
          <a:avLst/>
        </a:prstGeom>
        <a:solidFill>
          <a:schemeClr val="accent1"/>
        </a:solidFill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FATURAS </a:t>
          </a:r>
        </a:p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ABERTAS:</a:t>
          </a:r>
        </a:p>
        <a:p>
          <a:pPr algn="ctr"/>
          <a:endParaRPr lang="pt-BR" sz="8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pt-BR" sz="1000" b="1"/>
        </a:p>
      </xdr:txBody>
    </xdr:sp>
    <xdr:clientData/>
  </xdr:twoCellAnchor>
  <xdr:twoCellAnchor editAs="absolute">
    <xdr:from>
      <xdr:col>2</xdr:col>
      <xdr:colOff>1409700</xdr:colOff>
      <xdr:row>0</xdr:row>
      <xdr:rowOff>28575</xdr:rowOff>
    </xdr:from>
    <xdr:to>
      <xdr:col>3</xdr:col>
      <xdr:colOff>1409700</xdr:colOff>
      <xdr:row>0</xdr:row>
      <xdr:rowOff>476250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607C8FC-BE22-9288-3B0D-BFB606154858}"/>
            </a:ext>
          </a:extLst>
        </xdr:cNvPr>
        <xdr:cNvSpPr/>
      </xdr:nvSpPr>
      <xdr:spPr>
        <a:xfrm>
          <a:off x="6029325" y="28575"/>
          <a:ext cx="1466850" cy="447675"/>
        </a:xfrm>
        <a:prstGeom prst="rect">
          <a:avLst/>
        </a:prstGeom>
        <a:solidFill>
          <a:schemeClr val="accent1"/>
        </a:solidFill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SUBTOTAL DE VENDA MENSAL (BRUTA) :</a:t>
          </a:r>
          <a:endParaRPr lang="pt-BR" sz="1000" b="1"/>
        </a:p>
      </xdr:txBody>
    </xdr:sp>
    <xdr:clientData/>
  </xdr:twoCellAnchor>
  <xdr:twoCellAnchor>
    <xdr:from>
      <xdr:col>13</xdr:col>
      <xdr:colOff>381001</xdr:colOff>
      <xdr:row>0</xdr:row>
      <xdr:rowOff>105833</xdr:rowOff>
    </xdr:from>
    <xdr:to>
      <xdr:col>15</xdr:col>
      <xdr:colOff>42334</xdr:colOff>
      <xdr:row>0</xdr:row>
      <xdr:rowOff>751416</xdr:rowOff>
    </xdr:to>
    <xdr:sp macro="" textlink="">
      <xdr:nvSpPr>
        <xdr:cNvPr id="7" name="Triângulo isóscele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19E812-BE72-C8A4-E3E3-3240C863DBEC}"/>
            </a:ext>
          </a:extLst>
        </xdr:cNvPr>
        <xdr:cNvSpPr/>
      </xdr:nvSpPr>
      <xdr:spPr>
        <a:xfrm>
          <a:off x="14171084" y="105833"/>
          <a:ext cx="889000" cy="645583"/>
        </a:xfrm>
        <a:prstGeom prst="triangle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222251</xdr:colOff>
      <xdr:row>0</xdr:row>
      <xdr:rowOff>116416</xdr:rowOff>
    </xdr:from>
    <xdr:to>
      <xdr:col>13</xdr:col>
      <xdr:colOff>0</xdr:colOff>
      <xdr:row>1</xdr:row>
      <xdr:rowOff>201083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049DA8-CB50-6FBD-C2B9-65DE38D2CD8C}"/>
            </a:ext>
          </a:extLst>
        </xdr:cNvPr>
        <xdr:cNvSpPr/>
      </xdr:nvSpPr>
      <xdr:spPr>
        <a:xfrm>
          <a:off x="8763001" y="116416"/>
          <a:ext cx="5027082" cy="846667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0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 DE AJUDA</a:t>
          </a:r>
        </a:p>
      </xdr:txBody>
    </xdr:sp>
    <xdr:clientData/>
  </xdr:twoCellAnchor>
  <xdr:twoCellAnchor editAs="absolute">
    <xdr:from>
      <xdr:col>5</xdr:col>
      <xdr:colOff>385234</xdr:colOff>
      <xdr:row>333</xdr:row>
      <xdr:rowOff>97366</xdr:rowOff>
    </xdr:from>
    <xdr:to>
      <xdr:col>10</xdr:col>
      <xdr:colOff>342900</xdr:colOff>
      <xdr:row>348</xdr:row>
      <xdr:rowOff>46566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5849F0-1111-4EF8-9CBB-85741E73C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223558</xdr:colOff>
      <xdr:row>1</xdr:row>
      <xdr:rowOff>22860</xdr:rowOff>
    </xdr:from>
    <xdr:to>
      <xdr:col>12</xdr:col>
      <xdr:colOff>513119</xdr:colOff>
      <xdr:row>3</xdr:row>
      <xdr:rowOff>60960</xdr:rowOff>
    </xdr:to>
    <xdr:sp macro="[0]!TUTS_classificar_az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496F7-FE0C-426F-9628-7A0557924564}"/>
            </a:ext>
          </a:extLst>
        </xdr:cNvPr>
        <xdr:cNvSpPr/>
      </xdr:nvSpPr>
      <xdr:spPr>
        <a:xfrm>
          <a:off x="10363200" y="205740"/>
          <a:ext cx="2118361" cy="403860"/>
        </a:xfrm>
        <a:prstGeom prst="roundRect">
          <a:avLst/>
        </a:prstGeom>
        <a:solidFill>
          <a:srgbClr val="FF0000"/>
        </a:solidFill>
        <a:ln w="285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  <a:softEdge rad="63500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VOLTAR AO INICIO</a:t>
          </a:r>
          <a:endParaRPr lang="pt-BR" sz="1500" b="1" baseline="0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99060</xdr:colOff>
      <xdr:row>7</xdr:row>
      <xdr:rowOff>106680</xdr:rowOff>
    </xdr:from>
    <xdr:to>
      <xdr:col>18</xdr:col>
      <xdr:colOff>220980</xdr:colOff>
      <xdr:row>22</xdr:row>
      <xdr:rowOff>106680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8117AC-CF7E-7D42-EAD3-11E569ECE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26194</xdr:colOff>
      <xdr:row>16</xdr:row>
      <xdr:rowOff>0</xdr:rowOff>
    </xdr:from>
    <xdr:to>
      <xdr:col>9</xdr:col>
      <xdr:colOff>680086</xdr:colOff>
      <xdr:row>42</xdr:row>
      <xdr:rowOff>42863</xdr:rowOff>
    </xdr:to>
    <xdr:sp macro="[0]!TUTS_classificar_az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099A7-93A5-4596-B2B3-EAF89E76B289}"/>
            </a:ext>
          </a:extLst>
        </xdr:cNvPr>
        <xdr:cNvSpPr/>
      </xdr:nvSpPr>
      <xdr:spPr>
        <a:xfrm>
          <a:off x="7915275" y="390525"/>
          <a:ext cx="2118361" cy="419100"/>
        </a:xfrm>
        <a:prstGeom prst="roundRect">
          <a:avLst/>
        </a:prstGeom>
        <a:solidFill>
          <a:srgbClr val="FF0000"/>
        </a:solidFill>
        <a:ln w="285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  <a:softEdge rad="63500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VOLTAR AO INICIO</a:t>
          </a:r>
          <a:endParaRPr lang="pt-BR" sz="1500" b="1" baseline="0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361950</xdr:colOff>
      <xdr:row>1</xdr:row>
      <xdr:rowOff>9525</xdr:rowOff>
    </xdr:from>
    <xdr:ext cx="3724275" cy="266700"/>
    <xdr:sp macro="[0]!Atualizar_Custos" textlink="">
      <xdr:nvSpPr>
        <xdr:cNvPr id="2" name="Shape 7">
          <a:extLst>
            <a:ext uri="{FF2B5EF4-FFF2-40B4-BE49-F238E27FC236}">
              <a16:creationId xmlns:a16="http://schemas.microsoft.com/office/drawing/2014/main" id="{F770395B-F4B3-4E98-9B70-87E560591729}"/>
            </a:ext>
          </a:extLst>
        </xdr:cNvPr>
        <xdr:cNvSpPr/>
      </xdr:nvSpPr>
      <xdr:spPr>
        <a:xfrm>
          <a:off x="7343775" y="85725"/>
          <a:ext cx="3724275" cy="26670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149987" dist="250190" dir="8460000" algn="ctr">
            <a:srgbClr val="000000">
              <a:alpha val="2784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ATUALIZAR DADOS</a:t>
          </a:r>
          <a:endParaRPr sz="1400"/>
        </a:p>
      </xdr:txBody>
    </xdr:sp>
    <xdr:clientData fLocksWithSheet="0"/>
  </xdr:oneCellAnchor>
  <xdr:oneCellAnchor>
    <xdr:from>
      <xdr:col>6</xdr:col>
      <xdr:colOff>257175</xdr:colOff>
      <xdr:row>2</xdr:row>
      <xdr:rowOff>57150</xdr:rowOff>
    </xdr:from>
    <xdr:ext cx="2962275" cy="866775"/>
    <xdr:sp macro="[1]!Voltar_vendas" textlink="">
      <xdr:nvSpPr>
        <xdr:cNvPr id="3" name="Shap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804227-B3CF-45F1-8CF1-711FD4DDD00C}"/>
            </a:ext>
          </a:extLst>
        </xdr:cNvPr>
        <xdr:cNvSpPr/>
      </xdr:nvSpPr>
      <xdr:spPr>
        <a:xfrm>
          <a:off x="7820025" y="657225"/>
          <a:ext cx="2962275" cy="866775"/>
        </a:xfrm>
        <a:prstGeom prst="leftArrow">
          <a:avLst>
            <a:gd name="adj1" fmla="val 50000"/>
            <a:gd name="adj2" fmla="val 50000"/>
          </a:avLst>
        </a:prstGeom>
        <a:solidFill>
          <a:srgbClr val="FF0000"/>
        </a:solidFill>
        <a:ln>
          <a:noFill/>
        </a:ln>
        <a:effectLst>
          <a:outerShdw blurRad="149987" dist="250190" dir="8460000" algn="ctr">
            <a:srgbClr val="000000">
              <a:alpha val="2784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VOLTAR AO INÍCIO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116416</xdr:colOff>
      <xdr:row>0</xdr:row>
      <xdr:rowOff>88900</xdr:rowOff>
    </xdr:from>
    <xdr:to>
      <xdr:col>1</xdr:col>
      <xdr:colOff>1217083</xdr:colOff>
      <xdr:row>0</xdr:row>
      <xdr:rowOff>492760</xdr:rowOff>
    </xdr:to>
    <xdr:sp macro="[0]!TUTS_classificar_az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755D73C-B103-4F0F-B53A-5AA0E02A4F07}"/>
            </a:ext>
          </a:extLst>
        </xdr:cNvPr>
        <xdr:cNvSpPr/>
      </xdr:nvSpPr>
      <xdr:spPr>
        <a:xfrm>
          <a:off x="2127249" y="88900"/>
          <a:ext cx="1100667" cy="403860"/>
        </a:xfrm>
        <a:prstGeom prst="roundRect">
          <a:avLst/>
        </a:prstGeom>
        <a:solidFill>
          <a:srgbClr val="FF0000"/>
        </a:solidFill>
        <a:ln w="285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  <a:softEdge rad="63500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CLASSIFICAR</a:t>
          </a:r>
          <a:r>
            <a:rPr lang="pt-BR" sz="800" b="1" baseline="0"/>
            <a:t> DE A -Z</a:t>
          </a:r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  <xdr:twoCellAnchor editAs="absolute">
    <xdr:from>
      <xdr:col>1</xdr:col>
      <xdr:colOff>1322917</xdr:colOff>
      <xdr:row>0</xdr:row>
      <xdr:rowOff>82551</xdr:rowOff>
    </xdr:from>
    <xdr:to>
      <xdr:col>1</xdr:col>
      <xdr:colOff>5069417</xdr:colOff>
      <xdr:row>0</xdr:row>
      <xdr:rowOff>501651</xdr:rowOff>
    </xdr:to>
    <xdr:sp macro="[0]!TUTS_classificar_az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FB7DFA-3027-4EEF-9223-39C02CCE8A0F}"/>
            </a:ext>
          </a:extLst>
        </xdr:cNvPr>
        <xdr:cNvSpPr/>
      </xdr:nvSpPr>
      <xdr:spPr>
        <a:xfrm>
          <a:off x="3333750" y="82551"/>
          <a:ext cx="3746500" cy="419100"/>
        </a:xfrm>
        <a:prstGeom prst="roundRect">
          <a:avLst/>
        </a:prstGeom>
        <a:solidFill>
          <a:srgbClr val="FF0000"/>
        </a:solidFill>
        <a:ln w="285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  <a:softEdge rad="63500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VOLTAR AO INICIO</a:t>
          </a:r>
          <a:endParaRPr lang="pt-BR" sz="1500" b="1" baseline="0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5951</xdr:colOff>
      <xdr:row>14</xdr:row>
      <xdr:rowOff>110727</xdr:rowOff>
    </xdr:from>
    <xdr:to>
      <xdr:col>6</xdr:col>
      <xdr:colOff>23811</xdr:colOff>
      <xdr:row>28</xdr:row>
      <xdr:rowOff>91677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18A6CD2-8A82-8636-04E0-FC110B58E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17852</xdr:colOff>
      <xdr:row>14</xdr:row>
      <xdr:rowOff>110728</xdr:rowOff>
    </xdr:from>
    <xdr:to>
      <xdr:col>13</xdr:col>
      <xdr:colOff>35719</xdr:colOff>
      <xdr:row>28</xdr:row>
      <xdr:rowOff>91678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6A0CA57-F33A-1F3C-F168-EE06D1935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cas/OneDrive/Documentos/Loja/Vendas%20di&#225;rias%20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NDAS DIARIAS"/>
      <sheetName val="VENDAS MENSAL"/>
      <sheetName val="SAIDAS"/>
      <sheetName val="Dados reais"/>
      <sheetName val="A PAGAR"/>
      <sheetName val="ANOTAÇÕES"/>
      <sheetName val="CUSTOS"/>
      <sheetName val="Vendas diárias 2.0"/>
    </sheetNames>
    <definedNames>
      <definedName name="Voltar_vend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8CEAF6-6BF6-440B-8BB3-68AE19A028A5}" name="Tabela1" displayName="Tabela1" ref="B1:E11" totalsRowShown="0" headerRowDxfId="47">
  <autoFilter ref="B1:E11" xr:uid="{F98CEAF6-6BF6-440B-8BB3-68AE19A028A5}"/>
  <tableColumns count="4">
    <tableColumn id="1" xr3:uid="{E67AC87E-6ACC-4B6A-9F70-FEFB7E7DF49F}" name="PRODUTO ESGOTO"/>
    <tableColumn id="2" xr3:uid="{529F26E2-B0DC-4294-AA60-02613DE643C5}" name="CUSTO" dataDxfId="46" dataCellStyle="Moeda"/>
    <tableColumn id="3" xr3:uid="{320DACBF-494B-4F60-A2B8-565BEE04ED3D}" name="VENDA" dataDxfId="45" dataCellStyle="Moeda"/>
    <tableColumn id="4" xr3:uid="{F89B95AD-8FF4-4C8B-836A-EB30C17EAA5C}" name="METRO" dataDxfId="44" dataCellStyle="Moeda">
      <calculatedColumnFormula>SUM(D2/5)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B141E7-61CB-4712-ACB1-3E5B3A025326}" name="Tabela13" displayName="Tabela13" ref="B13:E22" totalsRowShown="0" headerRowDxfId="43">
  <autoFilter ref="B13:E22" xr:uid="{A9B141E7-61CB-4712-ACB1-3E5B3A025326}"/>
  <tableColumns count="4">
    <tableColumn id="1" xr3:uid="{7B247D91-F900-4162-91CF-D8A7480715E4}" name="PRODUTO ESGOTO"/>
    <tableColumn id="2" xr3:uid="{36A1DE87-D8E4-4409-A04E-81D7789EF9DE}" name="CUSTO" dataDxfId="42" dataCellStyle="Moeda"/>
    <tableColumn id="3" xr3:uid="{D0772215-2837-4C67-BC4B-C42A4EADA89F}" name="VENDA" dataDxfId="41" dataCellStyle="Moeda"/>
    <tableColumn id="4" xr3:uid="{0D483926-ED87-470F-9A28-630CD751564A}" name="METRO" dataDxfId="40" dataCellStyle="Moeda">
      <calculatedColumnFormula>SUM(Tabela13[[#This Row],[VENDA]]/5)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8C1E1B-7B88-4E2B-9DC8-B665E33C71BF}" name="Tabela134" displayName="Tabela134" ref="B24:E33" totalsRowShown="0" headerRowDxfId="39">
  <autoFilter ref="B24:E33" xr:uid="{5C8C1E1B-7B88-4E2B-9DC8-B665E33C71BF}"/>
  <tableColumns count="4">
    <tableColumn id="1" xr3:uid="{CB9863B1-74EC-438D-8FC8-DAD29BF29705}" name="PRODUTO ESGOTO"/>
    <tableColumn id="2" xr3:uid="{E08B2165-D692-4531-9B63-EFA1A9291C9F}" name="CUSTO" dataDxfId="38" dataCellStyle="Moeda"/>
    <tableColumn id="3" xr3:uid="{CD840187-E5EB-4A41-B1B2-9BB7A675E277}" name="VENDA" dataDxfId="37" dataCellStyle="Moeda"/>
    <tableColumn id="4" xr3:uid="{C47F26D8-60E2-4717-8CF8-62959603EE57}" name="DESCONTO" dataDxfId="36" dataCellStyle="Moeda">
      <calculatedColumnFormula>SUM(Tabela134[[#This Row],[VENDA]]/5)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Cidamazetti001@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527A1-74DB-4785-A1E9-42E910D0A02D}">
  <sheetPr codeName="Planilha1" filterMode="1">
    <tabColor theme="4" tint="0.79998168889431442"/>
  </sheetPr>
  <dimension ref="A1:G1047507"/>
  <sheetViews>
    <sheetView showGridLines="0" tabSelected="1" zoomScale="90" zoomScaleNormal="90" workbookViewId="0">
      <pane ySplit="2" topLeftCell="A3" activePane="bottomLeft" state="frozen"/>
      <selection pane="bottomLeft" activeCell="A334" sqref="A334"/>
    </sheetView>
  </sheetViews>
  <sheetFormatPr defaultRowHeight="15"/>
  <cols>
    <col min="1" max="1" width="15.28515625" customWidth="1"/>
    <col min="2" max="2" width="54" customWidth="1"/>
    <col min="3" max="3" width="22" customWidth="1"/>
    <col min="4" max="4" width="21.7109375" customWidth="1"/>
    <col min="5" max="5" width="15" style="13" customWidth="1"/>
    <col min="7" max="7" width="14.28515625" customWidth="1"/>
  </cols>
  <sheetData>
    <row r="1" spans="1:7" ht="60" customHeight="1">
      <c r="A1" s="46"/>
      <c r="B1" s="5">
        <f>Dados!B2</f>
        <v>0</v>
      </c>
      <c r="C1" s="4">
        <f>Dados!B5</f>
        <v>43303.33</v>
      </c>
      <c r="D1" s="6">
        <f>Dados!B4</f>
        <v>56158.909999999982</v>
      </c>
      <c r="E1" s="4">
        <f>Dados!B3</f>
        <v>81217.580000000118</v>
      </c>
    </row>
    <row r="2" spans="1:7" ht="30.75" customHeight="1">
      <c r="A2" s="63" t="str">
        <f>"PREZADO(A), A VENDA MENSAL ATÉ O MOMENTO É REFERENTE A "&amp;TEXT(Dados!B4,"R$0.0,00")&amp; " ENQUANTO A SAIDA MENSA É DE "&amp;TEXT(Dados!B5,"R$0.0,00")&amp;"."&amp;"                                                           AS CONTAS FUTURAS ESTÃO EM "&amp;TEXT(Dados!B3,"R$0.0,00")</f>
        <v>PREZADO(A), A VENDA MENSAL ATÉ O MOMENTO É REFERENTE A R$56.158,91 ENQUANTO A SAIDA MENSA É DE R$43.303,33.                                                           AS CONTAS FUTURAS ESTÃO EM R$81.217,58</v>
      </c>
      <c r="B2" s="64"/>
      <c r="C2" s="64"/>
      <c r="D2" s="64"/>
      <c r="E2" s="64"/>
      <c r="G2" s="13"/>
    </row>
    <row r="3" spans="1:7" ht="18" customHeight="1">
      <c r="A3" s="1" t="s">
        <v>0</v>
      </c>
      <c r="B3" s="2" t="s">
        <v>1827</v>
      </c>
      <c r="C3" s="2" t="s">
        <v>1</v>
      </c>
      <c r="D3" s="2" t="s">
        <v>2</v>
      </c>
      <c r="E3" s="3" t="s">
        <v>3</v>
      </c>
      <c r="G3" s="44"/>
    </row>
    <row r="4" spans="1:7" hidden="1">
      <c r="A4" s="43">
        <v>45108</v>
      </c>
      <c r="B4" t="s">
        <v>2077</v>
      </c>
      <c r="C4" t="s">
        <v>2078</v>
      </c>
      <c r="D4" t="s">
        <v>826</v>
      </c>
      <c r="E4" s="13">
        <v>8</v>
      </c>
    </row>
    <row r="5" spans="1:7" hidden="1">
      <c r="A5" s="43">
        <v>45108</v>
      </c>
      <c r="B5" t="s">
        <v>2076</v>
      </c>
      <c r="C5" t="s">
        <v>2079</v>
      </c>
      <c r="D5" t="s">
        <v>826</v>
      </c>
      <c r="E5" s="13">
        <v>100</v>
      </c>
    </row>
    <row r="6" spans="1:7" hidden="1">
      <c r="A6" s="43">
        <v>45108</v>
      </c>
      <c r="B6" t="s">
        <v>2081</v>
      </c>
      <c r="C6" t="s">
        <v>2080</v>
      </c>
      <c r="D6" t="s">
        <v>827</v>
      </c>
      <c r="E6" s="13">
        <v>5.92</v>
      </c>
    </row>
    <row r="7" spans="1:7" hidden="1">
      <c r="A7" s="43">
        <v>45108</v>
      </c>
      <c r="B7" t="s">
        <v>2082</v>
      </c>
      <c r="C7" t="s">
        <v>2078</v>
      </c>
      <c r="D7" t="s">
        <v>826</v>
      </c>
      <c r="E7" s="13">
        <v>12.5</v>
      </c>
    </row>
    <row r="8" spans="1:7" hidden="1">
      <c r="A8" s="43">
        <v>45108</v>
      </c>
      <c r="B8" t="s">
        <v>2077</v>
      </c>
      <c r="C8" t="s">
        <v>2083</v>
      </c>
      <c r="D8" t="s">
        <v>826</v>
      </c>
      <c r="E8" s="13">
        <v>21</v>
      </c>
    </row>
    <row r="9" spans="1:7" hidden="1">
      <c r="A9" s="43">
        <v>45108</v>
      </c>
      <c r="B9" t="s">
        <v>2084</v>
      </c>
      <c r="C9" t="s">
        <v>2082</v>
      </c>
      <c r="D9" t="s">
        <v>827</v>
      </c>
      <c r="E9" s="13">
        <v>20.74</v>
      </c>
    </row>
    <row r="10" spans="1:7" hidden="1">
      <c r="A10" s="43">
        <v>45108</v>
      </c>
      <c r="B10" t="s">
        <v>2085</v>
      </c>
      <c r="C10" t="s">
        <v>2082</v>
      </c>
      <c r="D10" t="s">
        <v>826</v>
      </c>
      <c r="E10" s="13">
        <v>4</v>
      </c>
    </row>
    <row r="11" spans="1:7" hidden="1">
      <c r="A11" s="43">
        <v>45108</v>
      </c>
      <c r="B11" t="s">
        <v>2086</v>
      </c>
      <c r="C11" t="s">
        <v>2087</v>
      </c>
      <c r="D11" t="s">
        <v>825</v>
      </c>
      <c r="E11" s="13">
        <v>117</v>
      </c>
    </row>
    <row r="12" spans="1:7" hidden="1">
      <c r="A12" s="43">
        <v>45108</v>
      </c>
      <c r="B12" t="s">
        <v>2088</v>
      </c>
      <c r="C12" t="s">
        <v>2089</v>
      </c>
      <c r="D12" t="s">
        <v>826</v>
      </c>
      <c r="E12" s="13">
        <v>81.5</v>
      </c>
    </row>
    <row r="13" spans="1:7" hidden="1">
      <c r="A13" s="43">
        <v>45108</v>
      </c>
      <c r="B13" t="s">
        <v>2090</v>
      </c>
      <c r="C13" t="s">
        <v>2082</v>
      </c>
      <c r="D13" t="s">
        <v>826</v>
      </c>
      <c r="E13" s="13">
        <v>18.5</v>
      </c>
    </row>
    <row r="14" spans="1:7" hidden="1">
      <c r="A14" s="43">
        <v>45108</v>
      </c>
      <c r="B14" t="s">
        <v>2076</v>
      </c>
      <c r="C14" t="s">
        <v>2091</v>
      </c>
      <c r="D14" t="s">
        <v>831</v>
      </c>
      <c r="E14" s="13">
        <v>793.84</v>
      </c>
    </row>
    <row r="15" spans="1:7" hidden="1">
      <c r="A15" s="43">
        <v>45108</v>
      </c>
      <c r="B15" t="s">
        <v>2092</v>
      </c>
      <c r="C15" t="s">
        <v>2082</v>
      </c>
      <c r="D15" t="s">
        <v>826</v>
      </c>
      <c r="E15" s="13">
        <v>7</v>
      </c>
    </row>
    <row r="16" spans="1:7" hidden="1">
      <c r="A16" s="43">
        <v>45108</v>
      </c>
      <c r="B16" t="s">
        <v>2093</v>
      </c>
      <c r="C16" t="s">
        <v>2082</v>
      </c>
      <c r="D16" t="s">
        <v>826</v>
      </c>
      <c r="E16" s="13">
        <v>17</v>
      </c>
    </row>
    <row r="17" spans="1:5" hidden="1">
      <c r="A17" s="43">
        <v>45108</v>
      </c>
      <c r="B17" t="s">
        <v>2076</v>
      </c>
      <c r="C17" t="s">
        <v>2094</v>
      </c>
      <c r="D17" t="s">
        <v>825</v>
      </c>
      <c r="E17" s="13">
        <v>36</v>
      </c>
    </row>
    <row r="18" spans="1:5" hidden="1">
      <c r="A18" s="43">
        <v>45108</v>
      </c>
      <c r="B18" t="s">
        <v>2095</v>
      </c>
      <c r="C18" t="s">
        <v>2094</v>
      </c>
      <c r="D18" t="s">
        <v>827</v>
      </c>
      <c r="E18" s="13">
        <v>26.26</v>
      </c>
    </row>
    <row r="19" spans="1:5" hidden="1">
      <c r="A19" s="43">
        <v>45108</v>
      </c>
      <c r="B19" t="s">
        <v>2096</v>
      </c>
      <c r="C19" t="s">
        <v>2082</v>
      </c>
      <c r="D19" t="s">
        <v>826</v>
      </c>
      <c r="E19" s="13">
        <v>40</v>
      </c>
    </row>
    <row r="20" spans="1:5" hidden="1">
      <c r="A20" s="43">
        <v>45108</v>
      </c>
      <c r="B20" t="s">
        <v>2076</v>
      </c>
      <c r="C20" t="s">
        <v>2097</v>
      </c>
      <c r="D20" t="s">
        <v>827</v>
      </c>
      <c r="E20" s="13">
        <v>296.25</v>
      </c>
    </row>
    <row r="21" spans="1:5" hidden="1">
      <c r="A21" s="43">
        <v>45108</v>
      </c>
      <c r="B21" t="s">
        <v>2098</v>
      </c>
      <c r="C21" t="s">
        <v>2099</v>
      </c>
      <c r="D21" t="s">
        <v>827</v>
      </c>
      <c r="E21" s="13">
        <v>47.4</v>
      </c>
    </row>
    <row r="22" spans="1:5" hidden="1">
      <c r="A22" s="43">
        <v>45110</v>
      </c>
      <c r="B22" t="s">
        <v>2076</v>
      </c>
      <c r="C22" t="s">
        <v>2100</v>
      </c>
      <c r="D22" t="s">
        <v>826</v>
      </c>
      <c r="E22" s="13">
        <v>1200</v>
      </c>
    </row>
    <row r="23" spans="1:5" hidden="1">
      <c r="A23" s="43">
        <v>45110</v>
      </c>
      <c r="B23" t="s">
        <v>2076</v>
      </c>
      <c r="C23" t="s">
        <v>2097</v>
      </c>
      <c r="D23" t="s">
        <v>826</v>
      </c>
      <c r="E23" s="13">
        <v>22</v>
      </c>
    </row>
    <row r="24" spans="1:5" hidden="1">
      <c r="A24" s="43">
        <v>45110</v>
      </c>
      <c r="B24" t="s">
        <v>2076</v>
      </c>
      <c r="C24" t="s">
        <v>2101</v>
      </c>
      <c r="D24" t="s">
        <v>826</v>
      </c>
      <c r="E24" s="13">
        <v>250</v>
      </c>
    </row>
    <row r="25" spans="1:5" hidden="1">
      <c r="A25" s="43">
        <v>45110</v>
      </c>
      <c r="B25" t="s">
        <v>2102</v>
      </c>
      <c r="C25" t="s">
        <v>2082</v>
      </c>
      <c r="D25" t="s">
        <v>826</v>
      </c>
      <c r="E25" s="13">
        <v>10.5</v>
      </c>
    </row>
    <row r="26" spans="1:5" hidden="1">
      <c r="A26" s="43">
        <v>45110</v>
      </c>
      <c r="B26" t="s">
        <v>2076</v>
      </c>
      <c r="C26" t="s">
        <v>2103</v>
      </c>
      <c r="D26" t="s">
        <v>826</v>
      </c>
      <c r="E26" s="13">
        <v>140</v>
      </c>
    </row>
    <row r="27" spans="1:5" hidden="1">
      <c r="A27" s="43">
        <v>45110</v>
      </c>
      <c r="B27" t="s">
        <v>2082</v>
      </c>
      <c r="C27" t="s">
        <v>2104</v>
      </c>
      <c r="D27" t="s">
        <v>826</v>
      </c>
      <c r="E27" s="13">
        <v>17</v>
      </c>
    </row>
    <row r="28" spans="1:5" hidden="1">
      <c r="A28" s="43">
        <v>45110</v>
      </c>
      <c r="B28" t="s">
        <v>2090</v>
      </c>
      <c r="C28" t="s">
        <v>2105</v>
      </c>
      <c r="D28" t="s">
        <v>826</v>
      </c>
      <c r="E28" s="13">
        <v>41</v>
      </c>
    </row>
    <row r="29" spans="1:5" hidden="1">
      <c r="A29" s="43">
        <v>45110</v>
      </c>
      <c r="B29" t="s">
        <v>2076</v>
      </c>
      <c r="C29" t="s">
        <v>2106</v>
      </c>
      <c r="D29" t="s">
        <v>826</v>
      </c>
      <c r="E29" s="13">
        <v>16</v>
      </c>
    </row>
    <row r="30" spans="1:5" hidden="1">
      <c r="A30" s="43">
        <v>45110</v>
      </c>
      <c r="B30" t="s">
        <v>2076</v>
      </c>
      <c r="C30" t="s">
        <v>2106</v>
      </c>
      <c r="D30" t="s">
        <v>825</v>
      </c>
      <c r="E30" s="13">
        <v>400</v>
      </c>
    </row>
    <row r="31" spans="1:5" hidden="1">
      <c r="A31" s="43">
        <v>45110</v>
      </c>
      <c r="B31" t="s">
        <v>2107</v>
      </c>
      <c r="C31" t="s">
        <v>2082</v>
      </c>
      <c r="D31" t="s">
        <v>826</v>
      </c>
      <c r="E31" s="13">
        <v>33</v>
      </c>
    </row>
    <row r="32" spans="1:5" hidden="1">
      <c r="A32" s="43">
        <v>45110</v>
      </c>
      <c r="B32" t="s">
        <v>2092</v>
      </c>
      <c r="C32" t="s">
        <v>2108</v>
      </c>
      <c r="D32" t="s">
        <v>826</v>
      </c>
      <c r="E32" s="13">
        <v>7</v>
      </c>
    </row>
    <row r="33" spans="1:5" hidden="1">
      <c r="A33" s="43">
        <v>45110</v>
      </c>
      <c r="B33" t="s">
        <v>2076</v>
      </c>
      <c r="C33" t="s">
        <v>2109</v>
      </c>
      <c r="D33" t="s">
        <v>827</v>
      </c>
      <c r="E33" s="13">
        <v>10.86</v>
      </c>
    </row>
    <row r="34" spans="1:5" hidden="1">
      <c r="A34" s="43">
        <v>45110</v>
      </c>
      <c r="B34" t="s">
        <v>2082</v>
      </c>
      <c r="C34" t="s">
        <v>2110</v>
      </c>
      <c r="D34" t="s">
        <v>827</v>
      </c>
      <c r="E34" s="13">
        <v>25.58</v>
      </c>
    </row>
    <row r="35" spans="1:5" hidden="1">
      <c r="A35" s="43">
        <v>45110</v>
      </c>
      <c r="B35" t="s">
        <v>2111</v>
      </c>
      <c r="C35" t="s">
        <v>2112</v>
      </c>
      <c r="D35" t="s">
        <v>826</v>
      </c>
      <c r="E35" s="13">
        <v>15</v>
      </c>
    </row>
    <row r="36" spans="1:5" hidden="1">
      <c r="A36" s="43">
        <v>45110</v>
      </c>
      <c r="B36" t="s">
        <v>2113</v>
      </c>
      <c r="C36" t="s">
        <v>2089</v>
      </c>
      <c r="D36" t="s">
        <v>826</v>
      </c>
      <c r="E36" s="13">
        <v>208</v>
      </c>
    </row>
    <row r="37" spans="1:5" hidden="1">
      <c r="A37" s="43">
        <v>45110</v>
      </c>
      <c r="B37" t="s">
        <v>2114</v>
      </c>
      <c r="C37" t="s">
        <v>2115</v>
      </c>
      <c r="D37" t="s">
        <v>826</v>
      </c>
      <c r="E37" s="13">
        <v>18</v>
      </c>
    </row>
    <row r="38" spans="1:5" hidden="1">
      <c r="A38" s="43">
        <v>45110</v>
      </c>
      <c r="B38" t="s">
        <v>2076</v>
      </c>
      <c r="C38" t="s">
        <v>2116</v>
      </c>
      <c r="D38" t="s">
        <v>827</v>
      </c>
      <c r="E38" s="13">
        <v>246.68</v>
      </c>
    </row>
    <row r="39" spans="1:5" hidden="1">
      <c r="A39" s="43">
        <v>45110</v>
      </c>
      <c r="B39" t="s">
        <v>2076</v>
      </c>
      <c r="C39" t="s">
        <v>2117</v>
      </c>
      <c r="D39" t="s">
        <v>826</v>
      </c>
      <c r="E39" s="13">
        <v>100</v>
      </c>
    </row>
    <row r="40" spans="1:5" hidden="1">
      <c r="A40" s="43">
        <v>45110</v>
      </c>
      <c r="B40" t="s">
        <v>2118</v>
      </c>
      <c r="C40" t="s">
        <v>2119</v>
      </c>
      <c r="D40" t="s">
        <v>826</v>
      </c>
      <c r="E40" s="13">
        <v>61</v>
      </c>
    </row>
    <row r="41" spans="1:5" hidden="1">
      <c r="A41" s="43">
        <v>45110</v>
      </c>
      <c r="B41" t="s">
        <v>2120</v>
      </c>
      <c r="C41" t="s">
        <v>2082</v>
      </c>
      <c r="D41" t="s">
        <v>831</v>
      </c>
      <c r="E41" s="13">
        <v>11.56</v>
      </c>
    </row>
    <row r="42" spans="1:5" hidden="1">
      <c r="A42" s="43">
        <v>45110</v>
      </c>
      <c r="B42" t="s">
        <v>2076</v>
      </c>
      <c r="C42" t="s">
        <v>2121</v>
      </c>
      <c r="D42" t="s">
        <v>825</v>
      </c>
      <c r="E42" s="13">
        <v>54.15</v>
      </c>
    </row>
    <row r="43" spans="1:5" hidden="1">
      <c r="A43" s="43">
        <v>45110</v>
      </c>
      <c r="B43" t="s">
        <v>2122</v>
      </c>
      <c r="C43" t="s">
        <v>2123</v>
      </c>
      <c r="D43" t="s">
        <v>831</v>
      </c>
      <c r="E43" s="13">
        <v>35.65</v>
      </c>
    </row>
    <row r="44" spans="1:5" hidden="1">
      <c r="A44" s="43">
        <v>45111</v>
      </c>
      <c r="B44" t="s">
        <v>2124</v>
      </c>
      <c r="C44" t="s">
        <v>2125</v>
      </c>
      <c r="D44" t="s">
        <v>826</v>
      </c>
      <c r="E44" s="13">
        <v>13</v>
      </c>
    </row>
    <row r="45" spans="1:5" hidden="1">
      <c r="A45" s="43">
        <v>45111</v>
      </c>
      <c r="B45" t="s">
        <v>2076</v>
      </c>
      <c r="C45" t="s">
        <v>2126</v>
      </c>
      <c r="D45" t="s">
        <v>826</v>
      </c>
      <c r="E45" s="13">
        <v>150</v>
      </c>
    </row>
    <row r="46" spans="1:5" hidden="1">
      <c r="A46" s="43">
        <v>45111</v>
      </c>
      <c r="B46" t="s">
        <v>2076</v>
      </c>
      <c r="C46" t="s">
        <v>2127</v>
      </c>
      <c r="D46" t="s">
        <v>826</v>
      </c>
      <c r="E46" s="13">
        <v>1460</v>
      </c>
    </row>
    <row r="47" spans="1:5" hidden="1">
      <c r="A47" s="43">
        <v>45111</v>
      </c>
      <c r="B47" t="s">
        <v>2128</v>
      </c>
      <c r="C47" t="s">
        <v>2129</v>
      </c>
      <c r="D47" t="s">
        <v>826</v>
      </c>
      <c r="E47" s="13">
        <v>100</v>
      </c>
    </row>
    <row r="48" spans="1:5" hidden="1">
      <c r="A48" s="43">
        <v>45111</v>
      </c>
      <c r="B48" t="s">
        <v>2130</v>
      </c>
      <c r="C48" t="s">
        <v>2082</v>
      </c>
      <c r="D48" t="s">
        <v>826</v>
      </c>
      <c r="E48" s="13">
        <v>11</v>
      </c>
    </row>
    <row r="49" spans="1:5" hidden="1">
      <c r="A49" s="43">
        <v>45111</v>
      </c>
      <c r="B49" t="s">
        <v>2077</v>
      </c>
      <c r="C49" t="s">
        <v>2131</v>
      </c>
      <c r="D49" t="s">
        <v>826</v>
      </c>
      <c r="E49" s="13">
        <v>10</v>
      </c>
    </row>
    <row r="50" spans="1:5" hidden="1">
      <c r="A50" s="43">
        <v>45111</v>
      </c>
      <c r="B50" t="s">
        <v>2132</v>
      </c>
      <c r="C50" t="s">
        <v>2133</v>
      </c>
      <c r="D50" t="s">
        <v>827</v>
      </c>
      <c r="E50" s="13">
        <v>165.9</v>
      </c>
    </row>
    <row r="51" spans="1:5" hidden="1">
      <c r="A51" s="43">
        <v>45111</v>
      </c>
      <c r="B51" t="s">
        <v>2076</v>
      </c>
      <c r="C51" t="s">
        <v>2134</v>
      </c>
      <c r="D51" t="s">
        <v>826</v>
      </c>
      <c r="E51" s="13">
        <v>100</v>
      </c>
    </row>
    <row r="52" spans="1:5" hidden="1">
      <c r="A52" s="43">
        <v>45111</v>
      </c>
      <c r="B52" t="s">
        <v>2085</v>
      </c>
      <c r="C52" t="s">
        <v>2082</v>
      </c>
      <c r="D52" t="s">
        <v>827</v>
      </c>
      <c r="E52" s="13">
        <v>3.46</v>
      </c>
    </row>
    <row r="53" spans="1:5" hidden="1">
      <c r="A53" s="43">
        <v>45111</v>
      </c>
      <c r="B53" t="s">
        <v>2135</v>
      </c>
      <c r="C53" t="s">
        <v>2136</v>
      </c>
      <c r="D53" t="s">
        <v>2137</v>
      </c>
      <c r="E53" s="13">
        <v>10.4</v>
      </c>
    </row>
    <row r="54" spans="1:5" hidden="1">
      <c r="A54" s="43">
        <v>45111</v>
      </c>
      <c r="B54" t="s">
        <v>2138</v>
      </c>
      <c r="C54" t="s">
        <v>2139</v>
      </c>
      <c r="D54" t="s">
        <v>831</v>
      </c>
      <c r="E54" s="13">
        <v>23.12</v>
      </c>
    </row>
    <row r="55" spans="1:5" hidden="1">
      <c r="A55" s="43">
        <v>45111</v>
      </c>
      <c r="B55" t="s">
        <v>2076</v>
      </c>
      <c r="C55" t="s">
        <v>2140</v>
      </c>
      <c r="D55" t="s">
        <v>827</v>
      </c>
      <c r="E55" s="13">
        <v>603.36</v>
      </c>
    </row>
    <row r="56" spans="1:5" hidden="1">
      <c r="A56" s="43">
        <v>45111</v>
      </c>
      <c r="B56" t="s">
        <v>2076</v>
      </c>
      <c r="C56" t="s">
        <v>2140</v>
      </c>
      <c r="D56" t="s">
        <v>827</v>
      </c>
      <c r="E56" s="13">
        <v>567.80999999999995</v>
      </c>
    </row>
    <row r="57" spans="1:5" hidden="1">
      <c r="A57" s="43">
        <v>45111</v>
      </c>
      <c r="B57" t="s">
        <v>2141</v>
      </c>
      <c r="C57" t="s">
        <v>2142</v>
      </c>
      <c r="D57" t="s">
        <v>826</v>
      </c>
      <c r="E57" s="13">
        <v>120</v>
      </c>
    </row>
    <row r="58" spans="1:5" hidden="1">
      <c r="A58" s="43">
        <v>45111</v>
      </c>
      <c r="B58" t="s">
        <v>2076</v>
      </c>
      <c r="C58" t="s">
        <v>2143</v>
      </c>
      <c r="D58" t="s">
        <v>826</v>
      </c>
      <c r="E58" s="13">
        <v>82</v>
      </c>
    </row>
    <row r="59" spans="1:5" hidden="1">
      <c r="A59" s="43">
        <v>45111</v>
      </c>
      <c r="B59" t="s">
        <v>2135</v>
      </c>
      <c r="C59" t="s">
        <v>2144</v>
      </c>
      <c r="D59" t="s">
        <v>826</v>
      </c>
      <c r="E59" s="13">
        <v>10.5</v>
      </c>
    </row>
    <row r="60" spans="1:5" hidden="1">
      <c r="A60" s="43">
        <v>45111</v>
      </c>
      <c r="B60" t="s">
        <v>2130</v>
      </c>
      <c r="C60" t="s">
        <v>2145</v>
      </c>
      <c r="D60" t="s">
        <v>831</v>
      </c>
      <c r="E60" s="13">
        <v>578.04</v>
      </c>
    </row>
    <row r="61" spans="1:5" hidden="1">
      <c r="A61" s="43">
        <v>45111</v>
      </c>
      <c r="B61" t="s">
        <v>2076</v>
      </c>
      <c r="C61" t="s">
        <v>2146</v>
      </c>
      <c r="D61" t="s">
        <v>826</v>
      </c>
      <c r="E61" s="13">
        <v>100</v>
      </c>
    </row>
    <row r="62" spans="1:5" hidden="1">
      <c r="A62" s="43">
        <v>45111</v>
      </c>
      <c r="B62" t="s">
        <v>2086</v>
      </c>
      <c r="C62" t="s">
        <v>2147</v>
      </c>
      <c r="D62" t="s">
        <v>826</v>
      </c>
      <c r="E62" s="13">
        <v>39</v>
      </c>
    </row>
    <row r="63" spans="1:5" hidden="1">
      <c r="A63" s="43">
        <v>45112</v>
      </c>
      <c r="B63" t="s">
        <v>2076</v>
      </c>
      <c r="C63" t="s">
        <v>2148</v>
      </c>
      <c r="D63" t="s">
        <v>827</v>
      </c>
      <c r="E63" s="13">
        <v>493.75</v>
      </c>
    </row>
    <row r="64" spans="1:5" hidden="1">
      <c r="A64" s="43">
        <v>45112</v>
      </c>
      <c r="B64" t="s">
        <v>2149</v>
      </c>
      <c r="C64" t="s">
        <v>2150</v>
      </c>
      <c r="D64" t="s">
        <v>827</v>
      </c>
      <c r="E64" s="13">
        <v>5.78</v>
      </c>
    </row>
    <row r="65" spans="1:5" hidden="1">
      <c r="A65" s="43">
        <v>45112</v>
      </c>
      <c r="B65" t="s">
        <v>2076</v>
      </c>
      <c r="C65" t="s">
        <v>2151</v>
      </c>
      <c r="D65" t="s">
        <v>826</v>
      </c>
      <c r="E65" s="13">
        <v>200</v>
      </c>
    </row>
    <row r="66" spans="1:5" hidden="1">
      <c r="A66" s="43">
        <v>45112</v>
      </c>
      <c r="B66" t="s">
        <v>2076</v>
      </c>
      <c r="C66" t="s">
        <v>2151</v>
      </c>
      <c r="D66" t="s">
        <v>827</v>
      </c>
      <c r="E66" s="13">
        <v>296.25</v>
      </c>
    </row>
    <row r="67" spans="1:5" hidden="1">
      <c r="A67" s="43">
        <v>45112</v>
      </c>
      <c r="B67" t="s">
        <v>2152</v>
      </c>
      <c r="C67" t="s">
        <v>2153</v>
      </c>
      <c r="D67" t="s">
        <v>826</v>
      </c>
      <c r="E67" s="13">
        <v>55</v>
      </c>
    </row>
    <row r="68" spans="1:5" hidden="1">
      <c r="A68" s="43">
        <v>45112</v>
      </c>
      <c r="B68" t="s">
        <v>2155</v>
      </c>
      <c r="C68" t="s">
        <v>2154</v>
      </c>
      <c r="D68" t="s">
        <v>826</v>
      </c>
      <c r="E68" s="13">
        <v>56</v>
      </c>
    </row>
    <row r="69" spans="1:5" hidden="1">
      <c r="A69" s="43">
        <v>45112</v>
      </c>
      <c r="B69" t="s">
        <v>2081</v>
      </c>
      <c r="C69" t="s">
        <v>2153</v>
      </c>
      <c r="D69" t="s">
        <v>826</v>
      </c>
      <c r="E69" s="13">
        <v>8</v>
      </c>
    </row>
    <row r="70" spans="1:5" hidden="1">
      <c r="A70" s="43">
        <v>45112</v>
      </c>
      <c r="B70" t="s">
        <v>2156</v>
      </c>
      <c r="C70" t="s">
        <v>2157</v>
      </c>
      <c r="D70" t="s">
        <v>826</v>
      </c>
      <c r="E70" s="13">
        <v>3</v>
      </c>
    </row>
    <row r="71" spans="1:5" hidden="1">
      <c r="A71" s="43">
        <v>45112</v>
      </c>
      <c r="B71" t="s">
        <v>2076</v>
      </c>
      <c r="C71" t="s">
        <v>2158</v>
      </c>
      <c r="D71" t="s">
        <v>826</v>
      </c>
      <c r="E71" s="13">
        <v>50</v>
      </c>
    </row>
    <row r="72" spans="1:5" hidden="1">
      <c r="A72" s="43">
        <v>45112</v>
      </c>
      <c r="B72" t="s">
        <v>2159</v>
      </c>
      <c r="C72" t="s">
        <v>2160</v>
      </c>
      <c r="D72" t="s">
        <v>2161</v>
      </c>
      <c r="E72" s="13">
        <v>87.52</v>
      </c>
    </row>
    <row r="73" spans="1:5" hidden="1">
      <c r="A73" s="43">
        <v>45112</v>
      </c>
      <c r="B73" t="s">
        <v>2076</v>
      </c>
      <c r="C73" t="s">
        <v>2145</v>
      </c>
      <c r="D73" t="s">
        <v>827</v>
      </c>
      <c r="E73" s="13">
        <v>189.6</v>
      </c>
    </row>
    <row r="74" spans="1:5" hidden="1">
      <c r="A74" s="43">
        <v>45112</v>
      </c>
      <c r="B74" t="s">
        <v>2162</v>
      </c>
      <c r="C74" t="s">
        <v>2158</v>
      </c>
      <c r="D74" t="s">
        <v>826</v>
      </c>
      <c r="E74" s="13">
        <v>24</v>
      </c>
    </row>
    <row r="75" spans="1:5" hidden="1">
      <c r="A75" s="43">
        <v>45112</v>
      </c>
      <c r="B75" t="s">
        <v>2163</v>
      </c>
      <c r="C75" t="s">
        <v>2164</v>
      </c>
      <c r="D75" t="s">
        <v>825</v>
      </c>
      <c r="E75" s="13">
        <v>15</v>
      </c>
    </row>
    <row r="76" spans="1:5" hidden="1">
      <c r="A76" s="43">
        <v>45112</v>
      </c>
      <c r="B76" t="s">
        <v>2076</v>
      </c>
      <c r="C76" t="s">
        <v>2165</v>
      </c>
      <c r="D76" t="s">
        <v>826</v>
      </c>
      <c r="E76" s="13">
        <v>69.900000000000006</v>
      </c>
    </row>
    <row r="77" spans="1:5" hidden="1">
      <c r="A77" s="43">
        <v>45112</v>
      </c>
      <c r="B77" t="s">
        <v>2076</v>
      </c>
      <c r="C77" t="s">
        <v>2166</v>
      </c>
      <c r="D77" t="s">
        <v>826</v>
      </c>
      <c r="E77" s="13">
        <v>29.4</v>
      </c>
    </row>
    <row r="78" spans="1:5" hidden="1">
      <c r="A78" s="43">
        <v>45112</v>
      </c>
      <c r="B78" t="s">
        <v>2082</v>
      </c>
      <c r="C78" t="s">
        <v>2167</v>
      </c>
      <c r="D78" t="s">
        <v>827</v>
      </c>
      <c r="E78" s="13">
        <v>61.03</v>
      </c>
    </row>
    <row r="79" spans="1:5" hidden="1">
      <c r="A79" s="43">
        <v>45112</v>
      </c>
      <c r="B79" t="s">
        <v>2168</v>
      </c>
      <c r="C79" t="s">
        <v>2169</v>
      </c>
      <c r="D79" t="s">
        <v>826</v>
      </c>
      <c r="E79" s="13">
        <v>400</v>
      </c>
    </row>
    <row r="80" spans="1:5" hidden="1">
      <c r="A80" s="43">
        <v>45112</v>
      </c>
      <c r="B80" t="s">
        <v>2076</v>
      </c>
      <c r="C80" t="s">
        <v>2170</v>
      </c>
      <c r="D80" t="s">
        <v>826</v>
      </c>
      <c r="E80" s="13">
        <v>84.9</v>
      </c>
    </row>
    <row r="81" spans="1:5" hidden="1">
      <c r="A81" s="43">
        <v>45112</v>
      </c>
      <c r="B81" t="s">
        <v>2076</v>
      </c>
      <c r="C81" t="s">
        <v>2103</v>
      </c>
      <c r="D81" t="s">
        <v>826</v>
      </c>
      <c r="E81" s="13">
        <v>42</v>
      </c>
    </row>
    <row r="82" spans="1:5" hidden="1">
      <c r="A82" s="43">
        <v>45112</v>
      </c>
      <c r="B82" t="s">
        <v>2076</v>
      </c>
      <c r="C82" t="s">
        <v>2171</v>
      </c>
      <c r="D82" t="s">
        <v>826</v>
      </c>
      <c r="E82" s="13">
        <v>34</v>
      </c>
    </row>
    <row r="83" spans="1:5" hidden="1">
      <c r="A83" s="43">
        <v>45112</v>
      </c>
      <c r="B83" t="s">
        <v>2076</v>
      </c>
      <c r="C83" t="s">
        <v>2172</v>
      </c>
      <c r="D83" t="s">
        <v>825</v>
      </c>
      <c r="E83" s="13">
        <v>206</v>
      </c>
    </row>
    <row r="84" spans="1:5" hidden="1">
      <c r="A84" s="43">
        <v>45112</v>
      </c>
      <c r="B84" t="s">
        <v>2173</v>
      </c>
      <c r="C84" t="s">
        <v>2174</v>
      </c>
      <c r="D84" t="s">
        <v>2175</v>
      </c>
      <c r="E84" s="13">
        <v>322.14999999999998</v>
      </c>
    </row>
    <row r="85" spans="1:5" hidden="1">
      <c r="A85" s="43">
        <v>45113</v>
      </c>
      <c r="B85" t="s">
        <v>2176</v>
      </c>
      <c r="C85" t="s">
        <v>2177</v>
      </c>
      <c r="D85" t="s">
        <v>826</v>
      </c>
      <c r="E85" s="13">
        <v>2.5</v>
      </c>
    </row>
    <row r="86" spans="1:5" hidden="1">
      <c r="A86" s="43">
        <v>45113</v>
      </c>
      <c r="B86" t="s">
        <v>2178</v>
      </c>
      <c r="C86" t="s">
        <v>2158</v>
      </c>
      <c r="D86" t="s">
        <v>825</v>
      </c>
      <c r="E86" s="13">
        <v>9</v>
      </c>
    </row>
    <row r="87" spans="1:5" hidden="1">
      <c r="A87" s="43">
        <v>45113</v>
      </c>
      <c r="B87" t="s">
        <v>2076</v>
      </c>
      <c r="C87" t="s">
        <v>2179</v>
      </c>
      <c r="D87" t="s">
        <v>826</v>
      </c>
      <c r="E87" s="13">
        <v>235</v>
      </c>
    </row>
    <row r="88" spans="1:5" hidden="1">
      <c r="A88" s="43">
        <v>45113</v>
      </c>
      <c r="B88" t="s">
        <v>2076</v>
      </c>
      <c r="C88" t="s">
        <v>2180</v>
      </c>
      <c r="D88" t="s">
        <v>826</v>
      </c>
      <c r="E88" s="13">
        <v>50.7</v>
      </c>
    </row>
    <row r="89" spans="1:5" hidden="1">
      <c r="A89" s="43">
        <v>45113</v>
      </c>
      <c r="B89" t="s">
        <v>2181</v>
      </c>
      <c r="C89" t="s">
        <v>2082</v>
      </c>
      <c r="D89" t="s">
        <v>826</v>
      </c>
      <c r="E89" s="13">
        <v>27</v>
      </c>
    </row>
    <row r="90" spans="1:5" hidden="1">
      <c r="A90" s="43">
        <v>45113</v>
      </c>
      <c r="B90" t="s">
        <v>2076</v>
      </c>
      <c r="C90" t="s">
        <v>2182</v>
      </c>
      <c r="D90" t="s">
        <v>826</v>
      </c>
      <c r="E90" s="13">
        <v>510</v>
      </c>
    </row>
    <row r="91" spans="1:5" hidden="1">
      <c r="A91" s="43">
        <v>45113</v>
      </c>
      <c r="B91" t="s">
        <v>2076</v>
      </c>
      <c r="C91" t="s">
        <v>2183</v>
      </c>
      <c r="D91" t="s">
        <v>825</v>
      </c>
      <c r="E91" s="13">
        <v>339</v>
      </c>
    </row>
    <row r="92" spans="1:5" hidden="1">
      <c r="A92" s="43">
        <v>45113</v>
      </c>
      <c r="B92" t="s">
        <v>2076</v>
      </c>
      <c r="C92" t="s">
        <v>2184</v>
      </c>
      <c r="D92" t="s">
        <v>826</v>
      </c>
      <c r="E92" s="13">
        <v>258</v>
      </c>
    </row>
    <row r="93" spans="1:5" hidden="1">
      <c r="A93" s="43">
        <v>45113</v>
      </c>
      <c r="B93" t="s">
        <v>2096</v>
      </c>
      <c r="C93" t="s">
        <v>2185</v>
      </c>
      <c r="D93" t="s">
        <v>826</v>
      </c>
      <c r="E93" s="13">
        <v>12</v>
      </c>
    </row>
    <row r="94" spans="1:5" hidden="1">
      <c r="A94" s="43">
        <v>45113</v>
      </c>
      <c r="B94" t="s">
        <v>2076</v>
      </c>
      <c r="C94" t="s">
        <v>2186</v>
      </c>
      <c r="D94" t="s">
        <v>826</v>
      </c>
      <c r="E94" s="13">
        <v>91</v>
      </c>
    </row>
    <row r="95" spans="1:5" hidden="1">
      <c r="A95" s="43">
        <v>45113</v>
      </c>
      <c r="B95" t="s">
        <v>2076</v>
      </c>
      <c r="C95" t="s">
        <v>2187</v>
      </c>
      <c r="D95" t="s">
        <v>826</v>
      </c>
      <c r="E95" s="13">
        <v>310</v>
      </c>
    </row>
    <row r="96" spans="1:5" hidden="1">
      <c r="A96" s="43">
        <v>45113</v>
      </c>
      <c r="B96" t="s">
        <v>2188</v>
      </c>
      <c r="C96" t="s">
        <v>2136</v>
      </c>
      <c r="D96" t="s">
        <v>825</v>
      </c>
      <c r="E96" s="13">
        <v>12</v>
      </c>
    </row>
    <row r="97" spans="1:5" hidden="1">
      <c r="A97" s="43">
        <v>45113</v>
      </c>
      <c r="B97" t="s">
        <v>2085</v>
      </c>
      <c r="C97" t="s">
        <v>2189</v>
      </c>
      <c r="D97" t="s">
        <v>826</v>
      </c>
      <c r="E97" s="13">
        <v>30</v>
      </c>
    </row>
    <row r="98" spans="1:5" hidden="1">
      <c r="A98" s="43">
        <v>45113</v>
      </c>
      <c r="B98" t="s">
        <v>2190</v>
      </c>
      <c r="C98" t="s">
        <v>2191</v>
      </c>
      <c r="D98" t="s">
        <v>826</v>
      </c>
      <c r="E98" s="13">
        <v>10.5</v>
      </c>
    </row>
    <row r="99" spans="1:5" hidden="1">
      <c r="A99" s="43">
        <v>45113</v>
      </c>
      <c r="B99" t="s">
        <v>2192</v>
      </c>
      <c r="C99" t="s">
        <v>2193</v>
      </c>
      <c r="D99" t="s">
        <v>827</v>
      </c>
      <c r="E99" s="13">
        <v>43.45</v>
      </c>
    </row>
    <row r="100" spans="1:5" hidden="1">
      <c r="A100" s="43">
        <v>45113</v>
      </c>
      <c r="B100" t="s">
        <v>2194</v>
      </c>
      <c r="C100" t="s">
        <v>2195</v>
      </c>
      <c r="D100" t="s">
        <v>825</v>
      </c>
      <c r="E100" s="13">
        <v>22.9</v>
      </c>
    </row>
    <row r="101" spans="1:5" hidden="1">
      <c r="A101" s="43">
        <v>45113</v>
      </c>
      <c r="B101" t="s">
        <v>2196</v>
      </c>
      <c r="C101" t="s">
        <v>2197</v>
      </c>
      <c r="D101" t="s">
        <v>826</v>
      </c>
      <c r="E101" s="13">
        <v>111</v>
      </c>
    </row>
    <row r="102" spans="1:5" hidden="1">
      <c r="A102" s="43">
        <v>45113</v>
      </c>
      <c r="B102" t="s">
        <v>2198</v>
      </c>
      <c r="C102" t="s">
        <v>2199</v>
      </c>
      <c r="D102" t="s">
        <v>827</v>
      </c>
      <c r="E102" s="13">
        <v>19.75</v>
      </c>
    </row>
    <row r="103" spans="1:5" hidden="1">
      <c r="A103" s="43">
        <v>45113</v>
      </c>
      <c r="B103" t="s">
        <v>2200</v>
      </c>
      <c r="C103" t="s">
        <v>2201</v>
      </c>
      <c r="D103" t="s">
        <v>826</v>
      </c>
      <c r="E103" s="13">
        <v>3</v>
      </c>
    </row>
    <row r="104" spans="1:5" hidden="1">
      <c r="A104" s="43">
        <v>45113</v>
      </c>
      <c r="B104" t="s">
        <v>2202</v>
      </c>
      <c r="C104" t="s">
        <v>2203</v>
      </c>
      <c r="D104" t="s">
        <v>826</v>
      </c>
      <c r="E104" s="13">
        <v>700</v>
      </c>
    </row>
    <row r="105" spans="1:5" hidden="1">
      <c r="A105" s="43">
        <v>45113</v>
      </c>
      <c r="B105" t="s">
        <v>2076</v>
      </c>
      <c r="C105" t="s">
        <v>2204</v>
      </c>
      <c r="D105" t="s">
        <v>825</v>
      </c>
      <c r="E105" s="13">
        <v>428</v>
      </c>
    </row>
    <row r="106" spans="1:5" hidden="1">
      <c r="A106" s="43">
        <v>45114</v>
      </c>
      <c r="B106" t="s">
        <v>2205</v>
      </c>
      <c r="C106" t="s">
        <v>2206</v>
      </c>
      <c r="D106" t="s">
        <v>831</v>
      </c>
      <c r="E106" s="13">
        <v>77.069999999999993</v>
      </c>
    </row>
    <row r="107" spans="1:5" hidden="1">
      <c r="A107" s="43">
        <v>45114</v>
      </c>
      <c r="B107" t="s">
        <v>2076</v>
      </c>
      <c r="C107" t="s">
        <v>2207</v>
      </c>
      <c r="D107" t="s">
        <v>826</v>
      </c>
      <c r="E107" s="13">
        <v>700</v>
      </c>
    </row>
    <row r="108" spans="1:5" hidden="1">
      <c r="A108" s="43">
        <v>45114</v>
      </c>
      <c r="B108" t="s">
        <v>2208</v>
      </c>
      <c r="C108" t="s">
        <v>2209</v>
      </c>
      <c r="D108" t="s">
        <v>825</v>
      </c>
      <c r="E108" s="13">
        <v>10</v>
      </c>
    </row>
    <row r="109" spans="1:5" hidden="1">
      <c r="A109" s="43">
        <v>45114</v>
      </c>
      <c r="B109" t="s">
        <v>2082</v>
      </c>
      <c r="C109" t="s">
        <v>2210</v>
      </c>
      <c r="D109" t="s">
        <v>825</v>
      </c>
      <c r="E109" s="13">
        <v>6.5</v>
      </c>
    </row>
    <row r="110" spans="1:5" hidden="1">
      <c r="A110" s="43">
        <v>45114</v>
      </c>
      <c r="B110" t="s">
        <v>2076</v>
      </c>
      <c r="C110" t="s">
        <v>2211</v>
      </c>
      <c r="D110" t="s">
        <v>825</v>
      </c>
      <c r="E110" s="13">
        <v>1370</v>
      </c>
    </row>
    <row r="111" spans="1:5" hidden="1">
      <c r="A111" s="43">
        <v>45114</v>
      </c>
      <c r="B111" t="s">
        <v>2212</v>
      </c>
      <c r="C111" t="s">
        <v>2213</v>
      </c>
      <c r="D111" t="s">
        <v>826</v>
      </c>
      <c r="E111" s="13">
        <v>60</v>
      </c>
    </row>
    <row r="112" spans="1:5" hidden="1">
      <c r="A112" s="43">
        <v>45114</v>
      </c>
      <c r="B112" t="s">
        <v>2190</v>
      </c>
      <c r="C112" t="s">
        <v>2115</v>
      </c>
      <c r="D112" t="s">
        <v>826</v>
      </c>
      <c r="E112" s="13">
        <v>3</v>
      </c>
    </row>
    <row r="113" spans="1:5" hidden="1">
      <c r="A113" s="43">
        <v>45114</v>
      </c>
      <c r="B113" t="s">
        <v>2190</v>
      </c>
      <c r="C113" t="s">
        <v>2131</v>
      </c>
      <c r="D113" t="s">
        <v>2214</v>
      </c>
      <c r="E113" s="13">
        <v>5</v>
      </c>
    </row>
    <row r="114" spans="1:5" hidden="1">
      <c r="A114" s="43">
        <v>45114</v>
      </c>
      <c r="B114" t="s">
        <v>2084</v>
      </c>
      <c r="C114" t="s">
        <v>2215</v>
      </c>
      <c r="D114" t="s">
        <v>826</v>
      </c>
      <c r="E114" s="13">
        <v>134</v>
      </c>
    </row>
    <row r="115" spans="1:5" hidden="1">
      <c r="A115" s="43">
        <v>45114</v>
      </c>
      <c r="B115" t="s">
        <v>2076</v>
      </c>
      <c r="C115" t="s">
        <v>2216</v>
      </c>
      <c r="D115" t="s">
        <v>826</v>
      </c>
      <c r="E115" s="13">
        <v>137</v>
      </c>
    </row>
    <row r="116" spans="1:5" hidden="1">
      <c r="A116" s="43">
        <v>45114</v>
      </c>
      <c r="B116" t="s">
        <v>2217</v>
      </c>
      <c r="C116" t="s">
        <v>2218</v>
      </c>
      <c r="D116" t="s">
        <v>826</v>
      </c>
      <c r="E116" s="13">
        <v>20</v>
      </c>
    </row>
    <row r="117" spans="1:5" hidden="1">
      <c r="A117" s="43">
        <v>45114</v>
      </c>
      <c r="B117" t="s">
        <v>2076</v>
      </c>
      <c r="C117" t="s">
        <v>2219</v>
      </c>
      <c r="D117" t="s">
        <v>826</v>
      </c>
      <c r="E117" s="13">
        <v>24</v>
      </c>
    </row>
    <row r="118" spans="1:5" hidden="1">
      <c r="A118" s="43">
        <v>45114</v>
      </c>
      <c r="B118" t="s">
        <v>2076</v>
      </c>
      <c r="C118" t="s">
        <v>2220</v>
      </c>
      <c r="D118" t="s">
        <v>826</v>
      </c>
      <c r="E118" s="13">
        <v>132</v>
      </c>
    </row>
    <row r="119" spans="1:5" hidden="1">
      <c r="A119" s="43">
        <v>45114</v>
      </c>
      <c r="B119" t="s">
        <v>2221</v>
      </c>
      <c r="C119" t="s">
        <v>2082</v>
      </c>
      <c r="D119" t="s">
        <v>825</v>
      </c>
      <c r="E119" s="13">
        <v>7</v>
      </c>
    </row>
    <row r="120" spans="1:5" hidden="1">
      <c r="A120" s="43">
        <v>45114</v>
      </c>
      <c r="B120" t="s">
        <v>2076</v>
      </c>
      <c r="C120" t="s">
        <v>2222</v>
      </c>
      <c r="D120" t="s">
        <v>826</v>
      </c>
      <c r="E120" s="13">
        <v>150</v>
      </c>
    </row>
    <row r="121" spans="1:5" hidden="1">
      <c r="A121" s="43">
        <v>45114</v>
      </c>
      <c r="B121" t="s">
        <v>2223</v>
      </c>
      <c r="C121" t="s">
        <v>2224</v>
      </c>
      <c r="D121" t="s">
        <v>826</v>
      </c>
      <c r="E121" s="13">
        <v>110</v>
      </c>
    </row>
    <row r="122" spans="1:5" hidden="1">
      <c r="A122" s="43">
        <v>45114</v>
      </c>
      <c r="B122" t="s">
        <v>2225</v>
      </c>
      <c r="C122" t="s">
        <v>2082</v>
      </c>
      <c r="D122" t="s">
        <v>826</v>
      </c>
      <c r="E122" s="13">
        <v>66</v>
      </c>
    </row>
    <row r="123" spans="1:5" hidden="1">
      <c r="A123" s="43">
        <v>45114</v>
      </c>
      <c r="B123" t="s">
        <v>2226</v>
      </c>
      <c r="C123" t="s">
        <v>2227</v>
      </c>
      <c r="D123" t="s">
        <v>826</v>
      </c>
      <c r="E123" s="13">
        <v>83.9</v>
      </c>
    </row>
    <row r="124" spans="1:5" hidden="1">
      <c r="A124" s="43">
        <v>45114</v>
      </c>
      <c r="B124" t="s">
        <v>2228</v>
      </c>
      <c r="C124" t="s">
        <v>2229</v>
      </c>
      <c r="D124" t="s">
        <v>948</v>
      </c>
      <c r="E124" s="13">
        <v>170</v>
      </c>
    </row>
    <row r="125" spans="1:5" hidden="1">
      <c r="A125" s="43">
        <v>45114</v>
      </c>
      <c r="B125" t="s">
        <v>2230</v>
      </c>
      <c r="C125" t="s">
        <v>2231</v>
      </c>
      <c r="D125" t="s">
        <v>831</v>
      </c>
      <c r="E125" s="13">
        <v>28.9</v>
      </c>
    </row>
    <row r="126" spans="1:5" hidden="1">
      <c r="A126" s="43">
        <v>45114</v>
      </c>
      <c r="B126" t="s">
        <v>2232</v>
      </c>
      <c r="C126" t="s">
        <v>2158</v>
      </c>
      <c r="D126" t="s">
        <v>826</v>
      </c>
      <c r="E126" s="13">
        <v>310</v>
      </c>
    </row>
    <row r="127" spans="1:5" hidden="1">
      <c r="A127" s="43">
        <v>45114</v>
      </c>
      <c r="B127" t="s">
        <v>2233</v>
      </c>
      <c r="C127" t="s">
        <v>2082</v>
      </c>
      <c r="D127" t="s">
        <v>826</v>
      </c>
      <c r="E127" s="13">
        <v>42.9</v>
      </c>
    </row>
    <row r="128" spans="1:5" hidden="1">
      <c r="A128" s="43">
        <v>45114</v>
      </c>
      <c r="B128" t="s">
        <v>2076</v>
      </c>
      <c r="C128" t="s">
        <v>2234</v>
      </c>
      <c r="D128" t="s">
        <v>827</v>
      </c>
      <c r="E128" s="13">
        <v>987.5</v>
      </c>
    </row>
    <row r="129" spans="1:5" hidden="1">
      <c r="A129" s="43">
        <v>45114</v>
      </c>
      <c r="B129" t="s">
        <v>2228</v>
      </c>
      <c r="C129" t="s">
        <v>2235</v>
      </c>
      <c r="D129" t="s">
        <v>827</v>
      </c>
      <c r="E129" s="13">
        <v>48.19</v>
      </c>
    </row>
    <row r="130" spans="1:5" hidden="1">
      <c r="A130" s="43">
        <v>45114</v>
      </c>
      <c r="B130" t="s">
        <v>2090</v>
      </c>
      <c r="C130" t="s">
        <v>2082</v>
      </c>
      <c r="D130" t="s">
        <v>826</v>
      </c>
      <c r="E130" s="13">
        <v>18.5</v>
      </c>
    </row>
    <row r="131" spans="1:5" hidden="1">
      <c r="A131" s="43">
        <v>45114</v>
      </c>
      <c r="B131" t="s">
        <v>2155</v>
      </c>
      <c r="C131" t="s">
        <v>2082</v>
      </c>
      <c r="D131" t="s">
        <v>827</v>
      </c>
      <c r="E131" s="13">
        <v>61.23</v>
      </c>
    </row>
    <row r="132" spans="1:5" hidden="1">
      <c r="A132" s="43">
        <v>45114</v>
      </c>
      <c r="B132" t="s">
        <v>2236</v>
      </c>
      <c r="C132" t="s">
        <v>2082</v>
      </c>
      <c r="D132" t="s">
        <v>827</v>
      </c>
      <c r="E132" s="13">
        <v>37.520000000000003</v>
      </c>
    </row>
    <row r="133" spans="1:5" hidden="1">
      <c r="A133" s="43">
        <v>45114</v>
      </c>
      <c r="B133" t="s">
        <v>2082</v>
      </c>
      <c r="C133" t="s">
        <v>2089</v>
      </c>
      <c r="D133" t="s">
        <v>826</v>
      </c>
      <c r="E133" s="13">
        <v>59</v>
      </c>
    </row>
    <row r="134" spans="1:5" hidden="1">
      <c r="A134" s="43">
        <v>45114</v>
      </c>
      <c r="B134" t="s">
        <v>2076</v>
      </c>
      <c r="C134" t="s">
        <v>2237</v>
      </c>
      <c r="D134" t="s">
        <v>825</v>
      </c>
      <c r="E134" s="13">
        <v>1539.5</v>
      </c>
    </row>
    <row r="135" spans="1:5" hidden="1">
      <c r="A135" s="43">
        <v>45114</v>
      </c>
      <c r="B135" t="s">
        <v>2230</v>
      </c>
      <c r="C135" t="s">
        <v>2238</v>
      </c>
      <c r="D135" t="s">
        <v>826</v>
      </c>
      <c r="E135" s="13">
        <v>32</v>
      </c>
    </row>
    <row r="136" spans="1:5" hidden="1">
      <c r="A136" s="43">
        <v>45114</v>
      </c>
      <c r="B136" t="s">
        <v>2085</v>
      </c>
      <c r="C136" t="s">
        <v>2158</v>
      </c>
      <c r="D136" t="s">
        <v>825</v>
      </c>
      <c r="E136" s="13">
        <v>11.6</v>
      </c>
    </row>
    <row r="137" spans="1:5" hidden="1">
      <c r="A137" s="43">
        <v>45114</v>
      </c>
      <c r="B137" t="s">
        <v>2076</v>
      </c>
      <c r="C137" t="s">
        <v>2239</v>
      </c>
      <c r="D137" t="s">
        <v>825</v>
      </c>
      <c r="E137" s="13">
        <v>600</v>
      </c>
    </row>
    <row r="138" spans="1:5" hidden="1">
      <c r="A138" s="43">
        <v>45114</v>
      </c>
      <c r="B138" t="s">
        <v>2196</v>
      </c>
      <c r="C138" t="s">
        <v>2240</v>
      </c>
      <c r="D138" t="s">
        <v>826</v>
      </c>
      <c r="E138" s="13">
        <v>82</v>
      </c>
    </row>
    <row r="139" spans="1:5" hidden="1">
      <c r="A139" s="43">
        <v>45115</v>
      </c>
      <c r="B139" t="s">
        <v>2084</v>
      </c>
      <c r="C139" t="s">
        <v>2089</v>
      </c>
      <c r="D139" t="s">
        <v>826</v>
      </c>
      <c r="E139" s="13">
        <v>25</v>
      </c>
    </row>
    <row r="140" spans="1:5" hidden="1">
      <c r="A140" s="43">
        <v>45115</v>
      </c>
      <c r="B140" t="s">
        <v>2076</v>
      </c>
      <c r="C140" t="s">
        <v>2241</v>
      </c>
      <c r="D140" t="s">
        <v>826</v>
      </c>
      <c r="E140" s="13">
        <v>320</v>
      </c>
    </row>
    <row r="141" spans="1:5" hidden="1">
      <c r="A141" s="43">
        <v>45115</v>
      </c>
      <c r="B141" t="s">
        <v>2242</v>
      </c>
      <c r="C141" t="s">
        <v>2082</v>
      </c>
      <c r="D141" t="s">
        <v>826</v>
      </c>
      <c r="E141" s="13">
        <v>82</v>
      </c>
    </row>
    <row r="142" spans="1:5" hidden="1">
      <c r="A142" s="43">
        <v>45115</v>
      </c>
      <c r="B142" t="s">
        <v>2243</v>
      </c>
      <c r="C142" t="s">
        <v>2082</v>
      </c>
      <c r="D142" t="s">
        <v>826</v>
      </c>
      <c r="E142" s="13">
        <v>340</v>
      </c>
    </row>
    <row r="143" spans="1:5" hidden="1">
      <c r="A143" s="43">
        <v>45115</v>
      </c>
      <c r="B143" t="s">
        <v>2076</v>
      </c>
      <c r="C143" t="s">
        <v>2244</v>
      </c>
      <c r="D143" t="s">
        <v>826</v>
      </c>
      <c r="E143" s="13">
        <v>50</v>
      </c>
    </row>
    <row r="144" spans="1:5" hidden="1">
      <c r="A144" s="43">
        <v>45115</v>
      </c>
      <c r="B144" t="s">
        <v>2228</v>
      </c>
      <c r="C144" t="s">
        <v>2245</v>
      </c>
      <c r="D144" t="s">
        <v>826</v>
      </c>
      <c r="E144" s="13">
        <v>26</v>
      </c>
    </row>
    <row r="145" spans="1:5" hidden="1">
      <c r="A145" s="43">
        <v>45115</v>
      </c>
      <c r="B145" t="s">
        <v>2246</v>
      </c>
      <c r="C145" t="s">
        <v>2247</v>
      </c>
      <c r="D145" t="s">
        <v>827</v>
      </c>
      <c r="E145" s="13">
        <v>8.2899999999999991</v>
      </c>
    </row>
    <row r="146" spans="1:5" hidden="1">
      <c r="A146" s="43">
        <v>45115</v>
      </c>
      <c r="B146" t="s">
        <v>2076</v>
      </c>
      <c r="C146" t="s">
        <v>2248</v>
      </c>
      <c r="D146" t="s">
        <v>826</v>
      </c>
      <c r="E146" s="13">
        <v>148</v>
      </c>
    </row>
    <row r="147" spans="1:5" hidden="1">
      <c r="A147" s="43">
        <v>45115</v>
      </c>
      <c r="B147" t="s">
        <v>2086</v>
      </c>
      <c r="C147" t="s">
        <v>2220</v>
      </c>
      <c r="D147" t="s">
        <v>826</v>
      </c>
      <c r="E147" s="13">
        <v>100</v>
      </c>
    </row>
    <row r="148" spans="1:5" hidden="1">
      <c r="A148" s="43">
        <v>45115</v>
      </c>
      <c r="B148" t="s">
        <v>2076</v>
      </c>
      <c r="C148" t="s">
        <v>2249</v>
      </c>
      <c r="D148" t="s">
        <v>827</v>
      </c>
      <c r="E148" s="13">
        <v>296.25</v>
      </c>
    </row>
    <row r="149" spans="1:5" hidden="1">
      <c r="A149" s="43">
        <v>45115</v>
      </c>
      <c r="B149" t="s">
        <v>2250</v>
      </c>
      <c r="C149" t="s">
        <v>2251</v>
      </c>
      <c r="D149" t="s">
        <v>827</v>
      </c>
      <c r="E149" s="13">
        <v>11.85</v>
      </c>
    </row>
    <row r="150" spans="1:5" hidden="1">
      <c r="A150" s="43">
        <v>45115</v>
      </c>
      <c r="B150" t="s">
        <v>2252</v>
      </c>
      <c r="C150" t="s">
        <v>2082</v>
      </c>
      <c r="D150" t="s">
        <v>826</v>
      </c>
      <c r="E150" s="13">
        <v>83</v>
      </c>
    </row>
    <row r="151" spans="1:5" hidden="1">
      <c r="A151" s="43">
        <v>45115</v>
      </c>
      <c r="B151" t="s">
        <v>2076</v>
      </c>
      <c r="C151" t="s">
        <v>2253</v>
      </c>
      <c r="D151" t="s">
        <v>825</v>
      </c>
      <c r="E151" s="13">
        <v>200</v>
      </c>
    </row>
    <row r="152" spans="1:5" hidden="1">
      <c r="A152" s="43">
        <v>45115</v>
      </c>
      <c r="B152" t="s">
        <v>2084</v>
      </c>
      <c r="C152" t="s">
        <v>2254</v>
      </c>
      <c r="D152" t="s">
        <v>825</v>
      </c>
      <c r="E152" s="13">
        <v>23</v>
      </c>
    </row>
    <row r="153" spans="1:5" hidden="1">
      <c r="A153" s="43">
        <v>45115</v>
      </c>
      <c r="B153" t="s">
        <v>2255</v>
      </c>
      <c r="C153" t="s">
        <v>2227</v>
      </c>
      <c r="D153" t="s">
        <v>826</v>
      </c>
      <c r="E153" s="13">
        <v>28.5</v>
      </c>
    </row>
    <row r="154" spans="1:5" hidden="1">
      <c r="A154" s="43">
        <v>45115</v>
      </c>
      <c r="B154" t="s">
        <v>2076</v>
      </c>
      <c r="C154" t="s">
        <v>2256</v>
      </c>
      <c r="D154" t="s">
        <v>2257</v>
      </c>
      <c r="E154" s="13">
        <v>250</v>
      </c>
    </row>
    <row r="155" spans="1:5" hidden="1">
      <c r="A155" s="43">
        <v>45115</v>
      </c>
      <c r="B155" t="s">
        <v>2077</v>
      </c>
      <c r="C155" t="s">
        <v>2258</v>
      </c>
      <c r="D155" t="s">
        <v>825</v>
      </c>
      <c r="E155" s="13">
        <v>15</v>
      </c>
    </row>
    <row r="156" spans="1:5" hidden="1">
      <c r="A156" s="43">
        <v>45115</v>
      </c>
      <c r="B156" t="s">
        <v>2076</v>
      </c>
      <c r="C156" t="s">
        <v>2142</v>
      </c>
      <c r="D156" t="s">
        <v>826</v>
      </c>
      <c r="E156" s="13">
        <v>94</v>
      </c>
    </row>
    <row r="157" spans="1:5" hidden="1">
      <c r="A157" s="43">
        <v>45115</v>
      </c>
      <c r="B157" t="s">
        <v>2259</v>
      </c>
      <c r="C157" t="s">
        <v>2260</v>
      </c>
      <c r="D157" t="s">
        <v>826</v>
      </c>
      <c r="E157" s="13">
        <v>44</v>
      </c>
    </row>
    <row r="158" spans="1:5" hidden="1">
      <c r="A158" s="43">
        <v>45115</v>
      </c>
      <c r="B158" t="s">
        <v>2086</v>
      </c>
      <c r="C158" t="s">
        <v>2153</v>
      </c>
      <c r="D158" t="s">
        <v>826</v>
      </c>
      <c r="E158" s="13">
        <v>45</v>
      </c>
    </row>
    <row r="159" spans="1:5" hidden="1">
      <c r="A159" s="43">
        <v>45115</v>
      </c>
      <c r="B159" t="s">
        <v>2261</v>
      </c>
      <c r="C159" t="s">
        <v>2262</v>
      </c>
      <c r="D159" t="s">
        <v>827</v>
      </c>
      <c r="E159" s="13">
        <v>19.16</v>
      </c>
    </row>
    <row r="160" spans="1:5" hidden="1">
      <c r="A160" s="43">
        <v>45115</v>
      </c>
      <c r="B160" t="s">
        <v>2263</v>
      </c>
      <c r="C160" t="s">
        <v>2264</v>
      </c>
      <c r="D160" t="s">
        <v>827</v>
      </c>
      <c r="E160" s="13">
        <v>11.85</v>
      </c>
    </row>
    <row r="161" spans="1:5" hidden="1">
      <c r="A161" s="43">
        <v>45115</v>
      </c>
      <c r="B161" t="s">
        <v>2265</v>
      </c>
      <c r="C161" t="s">
        <v>2082</v>
      </c>
      <c r="D161" t="s">
        <v>827</v>
      </c>
      <c r="E161" s="13">
        <v>26.56</v>
      </c>
    </row>
    <row r="162" spans="1:5" hidden="1">
      <c r="A162" s="43">
        <v>45115</v>
      </c>
      <c r="B162" t="s">
        <v>2092</v>
      </c>
      <c r="C162" t="s">
        <v>2082</v>
      </c>
      <c r="D162" t="s">
        <v>827</v>
      </c>
      <c r="E162" s="13">
        <v>13.82</v>
      </c>
    </row>
    <row r="163" spans="1:5" hidden="1">
      <c r="A163" s="43">
        <v>45115</v>
      </c>
      <c r="B163" t="s">
        <v>2076</v>
      </c>
      <c r="C163" t="s">
        <v>2083</v>
      </c>
      <c r="D163" t="s">
        <v>826</v>
      </c>
      <c r="E163" s="13">
        <v>300</v>
      </c>
    </row>
    <row r="164" spans="1:5" hidden="1">
      <c r="A164" s="43">
        <v>45115</v>
      </c>
      <c r="B164" t="s">
        <v>2266</v>
      </c>
      <c r="C164" t="s">
        <v>2247</v>
      </c>
      <c r="D164" t="s">
        <v>827</v>
      </c>
      <c r="E164" s="13">
        <v>11.85</v>
      </c>
    </row>
    <row r="165" spans="1:5" hidden="1">
      <c r="A165" s="43">
        <v>45115</v>
      </c>
      <c r="B165" t="s">
        <v>2076</v>
      </c>
      <c r="C165" t="s">
        <v>2158</v>
      </c>
      <c r="D165" t="s">
        <v>827</v>
      </c>
      <c r="E165" s="13">
        <v>186.64</v>
      </c>
    </row>
    <row r="166" spans="1:5" hidden="1">
      <c r="A166" s="43">
        <v>45115</v>
      </c>
      <c r="B166" t="s">
        <v>2267</v>
      </c>
      <c r="C166" t="s">
        <v>2268</v>
      </c>
      <c r="D166" t="s">
        <v>826</v>
      </c>
      <c r="E166" s="13">
        <v>25</v>
      </c>
    </row>
    <row r="167" spans="1:5" hidden="1">
      <c r="A167" s="43">
        <v>45115</v>
      </c>
      <c r="B167" t="s">
        <v>2269</v>
      </c>
      <c r="C167" t="s">
        <v>2169</v>
      </c>
      <c r="D167" t="s">
        <v>826</v>
      </c>
      <c r="E167" s="13">
        <v>9</v>
      </c>
    </row>
    <row r="168" spans="1:5" hidden="1">
      <c r="A168" s="43">
        <v>45115</v>
      </c>
      <c r="B168" t="s">
        <v>2076</v>
      </c>
      <c r="C168" t="s">
        <v>2270</v>
      </c>
      <c r="D168" t="s">
        <v>2271</v>
      </c>
      <c r="E168" s="13">
        <v>75</v>
      </c>
    </row>
    <row r="169" spans="1:5" hidden="1">
      <c r="A169" s="43">
        <v>45115</v>
      </c>
      <c r="B169" t="s">
        <v>2228</v>
      </c>
      <c r="C169" t="s">
        <v>2272</v>
      </c>
      <c r="D169" t="s">
        <v>831</v>
      </c>
      <c r="E169" s="13">
        <v>119.08</v>
      </c>
    </row>
    <row r="170" spans="1:5" hidden="1">
      <c r="A170" s="43">
        <v>45115</v>
      </c>
      <c r="B170" t="s">
        <v>2076</v>
      </c>
      <c r="C170" t="s">
        <v>2273</v>
      </c>
      <c r="D170" t="s">
        <v>826</v>
      </c>
      <c r="E170" s="13">
        <v>200</v>
      </c>
    </row>
    <row r="171" spans="1:5" hidden="1">
      <c r="A171" s="43">
        <v>45115</v>
      </c>
      <c r="B171" t="s">
        <v>2082</v>
      </c>
      <c r="C171" t="s">
        <v>2158</v>
      </c>
      <c r="D171" t="s">
        <v>827</v>
      </c>
      <c r="E171" s="13">
        <v>64.19</v>
      </c>
    </row>
    <row r="172" spans="1:5" hidden="1">
      <c r="A172" s="43">
        <v>45115</v>
      </c>
      <c r="B172" t="s">
        <v>2158</v>
      </c>
      <c r="C172" t="s">
        <v>2094</v>
      </c>
      <c r="D172" t="s">
        <v>827</v>
      </c>
      <c r="E172" s="13">
        <v>18.66</v>
      </c>
    </row>
    <row r="173" spans="1:5" hidden="1">
      <c r="A173" s="43">
        <v>45115</v>
      </c>
      <c r="B173" t="s">
        <v>2274</v>
      </c>
      <c r="C173" t="s">
        <v>2275</v>
      </c>
      <c r="D173" t="s">
        <v>827</v>
      </c>
      <c r="E173" s="13">
        <v>0.99</v>
      </c>
    </row>
    <row r="174" spans="1:5" hidden="1">
      <c r="A174" s="43">
        <v>45115</v>
      </c>
      <c r="B174" t="s">
        <v>2076</v>
      </c>
      <c r="C174" t="s">
        <v>2218</v>
      </c>
      <c r="D174" t="s">
        <v>826</v>
      </c>
      <c r="E174" s="13">
        <v>46</v>
      </c>
    </row>
    <row r="175" spans="1:5" hidden="1">
      <c r="A175" s="43">
        <v>45117</v>
      </c>
      <c r="B175" t="s">
        <v>2276</v>
      </c>
      <c r="C175" t="s">
        <v>2158</v>
      </c>
      <c r="D175" t="s">
        <v>826</v>
      </c>
      <c r="E175" s="13">
        <v>37</v>
      </c>
    </row>
    <row r="176" spans="1:5" hidden="1">
      <c r="A176" s="43">
        <v>45117</v>
      </c>
      <c r="B176" t="s">
        <v>2277</v>
      </c>
      <c r="C176" t="s">
        <v>2158</v>
      </c>
      <c r="D176" t="s">
        <v>826</v>
      </c>
      <c r="E176" s="13">
        <v>710</v>
      </c>
    </row>
    <row r="177" spans="1:5" hidden="1">
      <c r="A177" s="43">
        <v>45117</v>
      </c>
      <c r="B177" t="s">
        <v>2076</v>
      </c>
      <c r="C177" t="s">
        <v>2278</v>
      </c>
      <c r="D177" t="s">
        <v>827</v>
      </c>
      <c r="E177" s="13">
        <v>592.5</v>
      </c>
    </row>
    <row r="178" spans="1:5" hidden="1">
      <c r="A178" s="43">
        <v>45117</v>
      </c>
      <c r="B178" t="s">
        <v>2076</v>
      </c>
      <c r="C178" t="s">
        <v>2284</v>
      </c>
      <c r="D178" t="s">
        <v>827</v>
      </c>
      <c r="E178" s="13">
        <v>148.12</v>
      </c>
    </row>
    <row r="179" spans="1:5" hidden="1">
      <c r="A179" s="43">
        <v>45117</v>
      </c>
      <c r="B179" t="s">
        <v>2076</v>
      </c>
      <c r="C179" t="s">
        <v>2285</v>
      </c>
      <c r="D179" t="s">
        <v>827</v>
      </c>
      <c r="E179" s="13">
        <v>395.68</v>
      </c>
    </row>
    <row r="180" spans="1:5" hidden="1">
      <c r="A180" s="43">
        <v>45117</v>
      </c>
      <c r="B180" t="s">
        <v>2076</v>
      </c>
      <c r="C180" t="s">
        <v>2286</v>
      </c>
      <c r="D180" t="s">
        <v>826</v>
      </c>
      <c r="E180" s="13">
        <v>150</v>
      </c>
    </row>
    <row r="181" spans="1:5" hidden="1">
      <c r="A181" s="43">
        <v>45117</v>
      </c>
      <c r="B181" t="s">
        <v>2228</v>
      </c>
      <c r="C181" t="s">
        <v>2115</v>
      </c>
      <c r="D181" t="s">
        <v>826</v>
      </c>
      <c r="E181" s="13">
        <v>50</v>
      </c>
    </row>
    <row r="182" spans="1:5" hidden="1">
      <c r="A182" s="43">
        <v>45117</v>
      </c>
      <c r="B182" t="s">
        <v>2076</v>
      </c>
      <c r="C182" t="s">
        <v>2287</v>
      </c>
      <c r="D182" t="s">
        <v>826</v>
      </c>
      <c r="E182" s="13">
        <v>190</v>
      </c>
    </row>
    <row r="183" spans="1:5" hidden="1">
      <c r="A183" s="43">
        <v>45117</v>
      </c>
      <c r="B183" t="s">
        <v>2084</v>
      </c>
      <c r="C183" t="s">
        <v>2158</v>
      </c>
      <c r="D183" t="s">
        <v>826</v>
      </c>
      <c r="E183" s="13">
        <v>70</v>
      </c>
    </row>
    <row r="184" spans="1:5" hidden="1">
      <c r="A184" s="43">
        <v>45117</v>
      </c>
      <c r="B184" t="s">
        <v>2076</v>
      </c>
      <c r="C184" t="s">
        <v>2288</v>
      </c>
      <c r="D184" t="s">
        <v>827</v>
      </c>
      <c r="E184" s="13">
        <v>414.75</v>
      </c>
    </row>
    <row r="185" spans="1:5" hidden="1">
      <c r="A185" s="43">
        <v>45117</v>
      </c>
      <c r="B185" t="s">
        <v>2076</v>
      </c>
      <c r="C185" t="s">
        <v>2289</v>
      </c>
      <c r="D185" t="s">
        <v>826</v>
      </c>
      <c r="E185" s="13">
        <v>90</v>
      </c>
    </row>
    <row r="186" spans="1:5" hidden="1">
      <c r="A186" s="43">
        <v>45117</v>
      </c>
      <c r="B186" t="s">
        <v>2076</v>
      </c>
      <c r="C186" t="s">
        <v>2297</v>
      </c>
      <c r="D186" t="s">
        <v>825</v>
      </c>
      <c r="E186" s="13">
        <v>90</v>
      </c>
    </row>
    <row r="187" spans="1:5" hidden="1">
      <c r="A187" s="43">
        <v>45117</v>
      </c>
      <c r="B187" t="s">
        <v>2298</v>
      </c>
      <c r="C187" t="s">
        <v>2299</v>
      </c>
      <c r="D187" t="s">
        <v>826</v>
      </c>
      <c r="E187" s="13">
        <v>70</v>
      </c>
    </row>
    <row r="188" spans="1:5" hidden="1">
      <c r="A188" s="43">
        <v>45117</v>
      </c>
      <c r="B188" t="s">
        <v>2321</v>
      </c>
      <c r="C188" t="s">
        <v>2115</v>
      </c>
      <c r="D188" t="s">
        <v>826</v>
      </c>
      <c r="E188" s="13">
        <v>25</v>
      </c>
    </row>
    <row r="189" spans="1:5" hidden="1">
      <c r="A189" s="43">
        <v>45117</v>
      </c>
      <c r="B189" t="s">
        <v>2076</v>
      </c>
      <c r="C189" t="s">
        <v>2329</v>
      </c>
      <c r="D189" t="s">
        <v>826</v>
      </c>
      <c r="E189" s="13">
        <v>64</v>
      </c>
    </row>
    <row r="190" spans="1:5" hidden="1">
      <c r="A190" s="43">
        <v>45117</v>
      </c>
      <c r="B190" t="s">
        <v>2330</v>
      </c>
      <c r="C190" t="s">
        <v>2158</v>
      </c>
      <c r="D190" t="s">
        <v>826</v>
      </c>
      <c r="E190" s="13">
        <v>12</v>
      </c>
    </row>
    <row r="191" spans="1:5" hidden="1">
      <c r="A191" s="43">
        <v>45117</v>
      </c>
      <c r="B191" t="s">
        <v>2158</v>
      </c>
      <c r="C191" t="s">
        <v>2158</v>
      </c>
      <c r="D191" t="s">
        <v>827</v>
      </c>
      <c r="E191" s="13">
        <v>46.31</v>
      </c>
    </row>
    <row r="192" spans="1:5" hidden="1">
      <c r="A192" s="43">
        <v>45117</v>
      </c>
      <c r="B192" t="s">
        <v>2076</v>
      </c>
      <c r="C192" t="s">
        <v>2331</v>
      </c>
      <c r="D192" t="s">
        <v>831</v>
      </c>
      <c r="E192" s="13">
        <v>197.5</v>
      </c>
    </row>
    <row r="193" spans="1:5" hidden="1">
      <c r="A193" s="43">
        <v>45117</v>
      </c>
      <c r="B193" t="s">
        <v>2076</v>
      </c>
      <c r="C193" t="s">
        <v>2332</v>
      </c>
      <c r="D193" t="s">
        <v>827</v>
      </c>
      <c r="E193" s="13">
        <v>375.25</v>
      </c>
    </row>
    <row r="194" spans="1:5" hidden="1">
      <c r="A194" s="43">
        <v>45117</v>
      </c>
      <c r="B194" t="s">
        <v>2076</v>
      </c>
      <c r="C194" t="s">
        <v>2334</v>
      </c>
      <c r="D194" t="s">
        <v>831</v>
      </c>
      <c r="E194" s="13">
        <v>770.72</v>
      </c>
    </row>
    <row r="195" spans="1:5" hidden="1">
      <c r="A195" s="43">
        <v>45117</v>
      </c>
      <c r="B195" t="s">
        <v>2076</v>
      </c>
      <c r="C195" t="s">
        <v>2336</v>
      </c>
      <c r="D195" t="s">
        <v>825</v>
      </c>
      <c r="E195" s="13">
        <v>100</v>
      </c>
    </row>
    <row r="196" spans="1:5" hidden="1">
      <c r="A196" s="43">
        <v>45118</v>
      </c>
      <c r="B196" t="s">
        <v>2076</v>
      </c>
      <c r="C196" t="s">
        <v>2182</v>
      </c>
      <c r="D196" t="s">
        <v>825</v>
      </c>
      <c r="E196" s="13">
        <v>107</v>
      </c>
    </row>
    <row r="197" spans="1:5" hidden="1">
      <c r="A197" s="43">
        <v>45118</v>
      </c>
      <c r="B197" t="s">
        <v>2337</v>
      </c>
      <c r="C197" t="s">
        <v>2338</v>
      </c>
      <c r="D197" t="s">
        <v>826</v>
      </c>
      <c r="E197" s="13">
        <v>130</v>
      </c>
    </row>
    <row r="198" spans="1:5" hidden="1">
      <c r="A198" s="43">
        <v>45118</v>
      </c>
      <c r="B198" t="s">
        <v>2339</v>
      </c>
      <c r="C198" t="s">
        <v>2158</v>
      </c>
      <c r="D198" t="s">
        <v>826</v>
      </c>
      <c r="E198" s="13">
        <v>45</v>
      </c>
    </row>
    <row r="199" spans="1:5" hidden="1">
      <c r="A199" s="43">
        <v>45118</v>
      </c>
      <c r="B199" t="s">
        <v>2340</v>
      </c>
      <c r="C199" t="s">
        <v>2338</v>
      </c>
      <c r="D199" t="s">
        <v>826</v>
      </c>
      <c r="E199" s="13">
        <v>80</v>
      </c>
    </row>
    <row r="200" spans="1:5" hidden="1">
      <c r="A200" s="43">
        <v>45118</v>
      </c>
      <c r="B200" t="s">
        <v>2158</v>
      </c>
      <c r="C200" t="s">
        <v>2158</v>
      </c>
      <c r="D200" t="s">
        <v>826</v>
      </c>
      <c r="E200" s="13">
        <v>45</v>
      </c>
    </row>
    <row r="201" spans="1:5" hidden="1">
      <c r="A201" s="43">
        <v>45118</v>
      </c>
      <c r="B201" t="s">
        <v>2155</v>
      </c>
      <c r="C201" t="s">
        <v>2341</v>
      </c>
      <c r="D201" t="s">
        <v>825</v>
      </c>
      <c r="E201" s="13">
        <v>786</v>
      </c>
    </row>
    <row r="202" spans="1:5" hidden="1">
      <c r="A202" s="43">
        <v>45118</v>
      </c>
      <c r="B202" t="s">
        <v>2076</v>
      </c>
      <c r="C202" t="s">
        <v>2343</v>
      </c>
      <c r="D202" t="s">
        <v>826</v>
      </c>
      <c r="E202" s="13">
        <v>75</v>
      </c>
    </row>
    <row r="203" spans="1:5" hidden="1">
      <c r="A203" s="43">
        <v>45118</v>
      </c>
      <c r="B203" t="s">
        <v>2076</v>
      </c>
      <c r="C203" t="s">
        <v>2344</v>
      </c>
      <c r="D203" t="s">
        <v>827</v>
      </c>
      <c r="E203" s="13">
        <v>399.94</v>
      </c>
    </row>
    <row r="204" spans="1:5" hidden="1">
      <c r="A204" s="43">
        <v>45118</v>
      </c>
      <c r="B204" t="s">
        <v>2076</v>
      </c>
      <c r="C204" t="s">
        <v>2345</v>
      </c>
      <c r="D204" t="s">
        <v>825</v>
      </c>
      <c r="E204" s="13">
        <v>224.8</v>
      </c>
    </row>
    <row r="205" spans="1:5" hidden="1">
      <c r="A205" s="43">
        <v>45118</v>
      </c>
      <c r="B205" t="s">
        <v>2158</v>
      </c>
      <c r="C205" t="s">
        <v>2158</v>
      </c>
      <c r="D205" t="s">
        <v>827</v>
      </c>
      <c r="E205" s="13">
        <v>12.84</v>
      </c>
    </row>
    <row r="206" spans="1:5" hidden="1">
      <c r="A206" s="43">
        <v>45118</v>
      </c>
      <c r="B206" t="s">
        <v>2261</v>
      </c>
      <c r="C206" t="s">
        <v>2082</v>
      </c>
      <c r="D206" t="s">
        <v>827</v>
      </c>
      <c r="E206" s="13">
        <v>9.58</v>
      </c>
    </row>
    <row r="207" spans="1:5" hidden="1">
      <c r="A207" s="43">
        <v>45118</v>
      </c>
      <c r="B207" t="s">
        <v>2082</v>
      </c>
      <c r="C207" t="s">
        <v>2158</v>
      </c>
      <c r="D207" t="s">
        <v>831</v>
      </c>
      <c r="E207" s="13">
        <v>28.9</v>
      </c>
    </row>
    <row r="208" spans="1:5" hidden="1">
      <c r="A208" s="43">
        <v>45118</v>
      </c>
      <c r="B208" t="s">
        <v>2076</v>
      </c>
      <c r="C208" t="s">
        <v>2347</v>
      </c>
      <c r="D208" t="s">
        <v>826</v>
      </c>
      <c r="E208" s="13">
        <v>98</v>
      </c>
    </row>
    <row r="209" spans="1:5" hidden="1">
      <c r="A209" s="43">
        <v>45118</v>
      </c>
      <c r="B209" t="s">
        <v>2076</v>
      </c>
      <c r="C209" t="s">
        <v>2348</v>
      </c>
      <c r="D209" t="s">
        <v>826</v>
      </c>
      <c r="E209" s="13">
        <v>175</v>
      </c>
    </row>
    <row r="210" spans="1:5" hidden="1">
      <c r="A210" s="43">
        <v>45118</v>
      </c>
      <c r="B210" t="s">
        <v>2202</v>
      </c>
      <c r="C210" t="s">
        <v>2329</v>
      </c>
      <c r="D210" t="s">
        <v>826</v>
      </c>
      <c r="E210" s="13">
        <v>15</v>
      </c>
    </row>
    <row r="211" spans="1:5" hidden="1">
      <c r="A211" s="43">
        <v>45118</v>
      </c>
      <c r="B211" t="s">
        <v>2076</v>
      </c>
      <c r="C211" t="s">
        <v>2349</v>
      </c>
      <c r="D211" t="s">
        <v>827</v>
      </c>
      <c r="E211" s="13">
        <v>131.63</v>
      </c>
    </row>
    <row r="212" spans="1:5" hidden="1">
      <c r="A212" s="43">
        <v>45118</v>
      </c>
      <c r="B212" t="s">
        <v>2350</v>
      </c>
      <c r="C212" t="s">
        <v>2158</v>
      </c>
      <c r="D212" t="s">
        <v>831</v>
      </c>
      <c r="E212" s="13">
        <v>84.78</v>
      </c>
    </row>
    <row r="213" spans="1:5" hidden="1">
      <c r="A213" s="43">
        <v>45119</v>
      </c>
      <c r="B213" t="s">
        <v>2357</v>
      </c>
      <c r="C213" t="s">
        <v>2358</v>
      </c>
      <c r="D213" t="s">
        <v>827</v>
      </c>
      <c r="E213" s="13">
        <v>59.25</v>
      </c>
    </row>
    <row r="214" spans="1:5" hidden="1">
      <c r="A214" s="43">
        <v>45119</v>
      </c>
      <c r="B214" t="s">
        <v>2076</v>
      </c>
      <c r="C214" t="s">
        <v>2359</v>
      </c>
      <c r="D214" t="s">
        <v>827</v>
      </c>
      <c r="E214" s="13">
        <v>148.12</v>
      </c>
    </row>
    <row r="215" spans="1:5" hidden="1">
      <c r="A215" s="43">
        <v>45119</v>
      </c>
      <c r="B215" t="s">
        <v>2084</v>
      </c>
      <c r="C215" t="s">
        <v>2134</v>
      </c>
      <c r="D215" t="s">
        <v>826</v>
      </c>
      <c r="E215" s="13">
        <v>29</v>
      </c>
    </row>
    <row r="216" spans="1:5" hidden="1">
      <c r="A216" s="43">
        <v>45119</v>
      </c>
      <c r="B216" t="s">
        <v>2076</v>
      </c>
      <c r="C216" t="s">
        <v>2360</v>
      </c>
      <c r="D216" t="s">
        <v>825</v>
      </c>
      <c r="E216" s="13">
        <v>115</v>
      </c>
    </row>
    <row r="217" spans="1:5" hidden="1">
      <c r="A217" s="43">
        <v>45119</v>
      </c>
      <c r="B217" t="s">
        <v>2158</v>
      </c>
      <c r="C217" t="s">
        <v>2158</v>
      </c>
      <c r="D217" t="s">
        <v>827</v>
      </c>
      <c r="E217" s="13">
        <v>35.549999999999997</v>
      </c>
    </row>
    <row r="218" spans="1:5" hidden="1">
      <c r="A218" s="43">
        <v>45119</v>
      </c>
      <c r="B218" t="s">
        <v>2085</v>
      </c>
      <c r="C218" t="s">
        <v>2158</v>
      </c>
      <c r="D218" t="s">
        <v>826</v>
      </c>
      <c r="E218" s="13">
        <v>30</v>
      </c>
    </row>
    <row r="219" spans="1:5" hidden="1">
      <c r="A219" s="43">
        <v>45119</v>
      </c>
      <c r="B219" t="s">
        <v>2076</v>
      </c>
      <c r="C219" t="s">
        <v>2361</v>
      </c>
      <c r="D219" t="s">
        <v>827</v>
      </c>
      <c r="E219" s="13">
        <v>28.81</v>
      </c>
    </row>
    <row r="220" spans="1:5" hidden="1">
      <c r="A220" s="43">
        <v>45119</v>
      </c>
      <c r="B220" t="s">
        <v>2261</v>
      </c>
      <c r="C220" t="s">
        <v>2362</v>
      </c>
      <c r="D220" t="s">
        <v>827</v>
      </c>
      <c r="E220" s="13">
        <v>13.73</v>
      </c>
    </row>
    <row r="221" spans="1:5" hidden="1">
      <c r="A221" s="43">
        <v>45119</v>
      </c>
      <c r="B221" t="s">
        <v>2076</v>
      </c>
      <c r="C221" t="s">
        <v>2110</v>
      </c>
      <c r="D221" t="s">
        <v>827</v>
      </c>
      <c r="E221" s="13">
        <v>745.56</v>
      </c>
    </row>
    <row r="222" spans="1:5" hidden="1">
      <c r="A222" s="43">
        <v>45119</v>
      </c>
      <c r="B222" t="s">
        <v>2076</v>
      </c>
      <c r="C222" t="s">
        <v>2365</v>
      </c>
      <c r="D222" t="s">
        <v>825</v>
      </c>
      <c r="E222" s="13">
        <v>87.3</v>
      </c>
    </row>
    <row r="223" spans="1:5" hidden="1">
      <c r="A223" s="43">
        <v>45119</v>
      </c>
      <c r="B223" t="s">
        <v>2082</v>
      </c>
      <c r="C223" t="s">
        <v>2366</v>
      </c>
      <c r="D223" t="s">
        <v>827</v>
      </c>
      <c r="E223" s="13">
        <v>148.12</v>
      </c>
    </row>
    <row r="224" spans="1:5" hidden="1">
      <c r="A224" s="43">
        <v>45119</v>
      </c>
      <c r="B224" t="s">
        <v>2190</v>
      </c>
      <c r="C224" t="s">
        <v>2367</v>
      </c>
      <c r="D224" t="s">
        <v>831</v>
      </c>
      <c r="E224" s="13">
        <v>1.45</v>
      </c>
    </row>
    <row r="225" spans="1:5" hidden="1">
      <c r="A225" s="43">
        <v>45119</v>
      </c>
      <c r="B225" t="s">
        <v>2076</v>
      </c>
      <c r="C225" t="s">
        <v>2117</v>
      </c>
      <c r="D225" t="s">
        <v>826</v>
      </c>
      <c r="E225" s="13">
        <v>100</v>
      </c>
    </row>
    <row r="226" spans="1:5" hidden="1">
      <c r="A226" s="43">
        <v>45119</v>
      </c>
      <c r="B226" t="s">
        <v>2276</v>
      </c>
      <c r="C226" t="s">
        <v>2158</v>
      </c>
      <c r="D226" t="s">
        <v>827</v>
      </c>
      <c r="E226" s="13">
        <v>34.56</v>
      </c>
    </row>
    <row r="227" spans="1:5" hidden="1">
      <c r="A227" s="43">
        <v>45119</v>
      </c>
      <c r="B227" t="s">
        <v>2076</v>
      </c>
      <c r="C227" t="s">
        <v>2368</v>
      </c>
      <c r="D227" t="s">
        <v>826</v>
      </c>
      <c r="E227" s="13">
        <v>16</v>
      </c>
    </row>
    <row r="228" spans="1:5" hidden="1">
      <c r="A228" s="43">
        <v>45119</v>
      </c>
      <c r="B228" t="s">
        <v>2076</v>
      </c>
      <c r="C228" t="s">
        <v>2369</v>
      </c>
      <c r="D228" t="s">
        <v>825</v>
      </c>
      <c r="E228" s="13">
        <v>160.5</v>
      </c>
    </row>
    <row r="229" spans="1:5" hidden="1">
      <c r="A229" s="43">
        <v>45119</v>
      </c>
      <c r="B229" t="s">
        <v>2208</v>
      </c>
      <c r="C229" t="s">
        <v>2158</v>
      </c>
      <c r="D229" t="s">
        <v>826</v>
      </c>
      <c r="E229" s="13">
        <v>8</v>
      </c>
    </row>
    <row r="230" spans="1:5" hidden="1">
      <c r="A230" s="43">
        <v>45119</v>
      </c>
      <c r="B230" t="s">
        <v>2374</v>
      </c>
      <c r="C230" t="s">
        <v>2373</v>
      </c>
      <c r="D230" t="s">
        <v>826</v>
      </c>
      <c r="E230" s="13">
        <v>250</v>
      </c>
    </row>
    <row r="231" spans="1:5" hidden="1">
      <c r="A231" s="43">
        <v>45119</v>
      </c>
      <c r="B231" t="s">
        <v>2076</v>
      </c>
      <c r="C231" t="s">
        <v>2372</v>
      </c>
      <c r="D231" t="s">
        <v>826</v>
      </c>
      <c r="E231" s="13">
        <v>300</v>
      </c>
    </row>
    <row r="232" spans="1:5" hidden="1">
      <c r="A232" s="43">
        <v>45119</v>
      </c>
      <c r="B232" t="s">
        <v>2076</v>
      </c>
      <c r="C232" t="s">
        <v>2254</v>
      </c>
      <c r="D232" t="s">
        <v>825</v>
      </c>
      <c r="E232" s="13">
        <v>17</v>
      </c>
    </row>
    <row r="233" spans="1:5" hidden="1">
      <c r="A233" s="43">
        <v>45119</v>
      </c>
      <c r="B233" t="s">
        <v>2228</v>
      </c>
      <c r="C233" t="s">
        <v>2377</v>
      </c>
      <c r="D233" t="s">
        <v>826</v>
      </c>
      <c r="E233" s="13">
        <v>65</v>
      </c>
    </row>
    <row r="234" spans="1:5" hidden="1">
      <c r="A234" s="43">
        <v>45120</v>
      </c>
      <c r="B234" t="s">
        <v>2198</v>
      </c>
      <c r="C234" t="s">
        <v>2384</v>
      </c>
      <c r="D234" t="s">
        <v>825</v>
      </c>
      <c r="E234" s="13">
        <v>20</v>
      </c>
    </row>
    <row r="235" spans="1:5" hidden="1">
      <c r="A235" s="43">
        <v>45120</v>
      </c>
      <c r="B235" t="s">
        <v>2076</v>
      </c>
      <c r="C235" t="s">
        <v>2385</v>
      </c>
      <c r="D235" t="s">
        <v>826</v>
      </c>
      <c r="E235" s="13">
        <v>360</v>
      </c>
    </row>
    <row r="236" spans="1:5" hidden="1">
      <c r="A236" s="43">
        <v>45120</v>
      </c>
      <c r="B236" t="s">
        <v>2386</v>
      </c>
      <c r="C236" t="s">
        <v>2158</v>
      </c>
      <c r="D236" t="s">
        <v>831</v>
      </c>
      <c r="E236" s="13">
        <v>19.27</v>
      </c>
    </row>
    <row r="237" spans="1:5" hidden="1">
      <c r="A237" s="43">
        <v>45120</v>
      </c>
      <c r="B237" t="s">
        <v>2389</v>
      </c>
      <c r="C237" t="s">
        <v>2390</v>
      </c>
      <c r="D237" t="s">
        <v>826</v>
      </c>
      <c r="E237" s="13">
        <v>80</v>
      </c>
    </row>
    <row r="238" spans="1:5" hidden="1">
      <c r="A238" s="43">
        <v>45120</v>
      </c>
      <c r="B238" t="s">
        <v>2077</v>
      </c>
      <c r="C238" t="s">
        <v>2391</v>
      </c>
      <c r="D238" t="s">
        <v>831</v>
      </c>
      <c r="E238" s="13">
        <v>16.190000000000001</v>
      </c>
    </row>
    <row r="239" spans="1:5" hidden="1">
      <c r="A239" s="43">
        <v>45120</v>
      </c>
      <c r="B239" t="s">
        <v>2076</v>
      </c>
      <c r="C239" t="s">
        <v>2392</v>
      </c>
      <c r="D239" t="s">
        <v>826</v>
      </c>
      <c r="E239" s="13">
        <v>20</v>
      </c>
    </row>
    <row r="240" spans="1:5" hidden="1">
      <c r="A240" s="43">
        <v>45120</v>
      </c>
      <c r="B240" t="s">
        <v>2394</v>
      </c>
      <c r="C240" t="s">
        <v>2395</v>
      </c>
      <c r="D240" t="s">
        <v>826</v>
      </c>
      <c r="E240" s="13">
        <v>4</v>
      </c>
    </row>
    <row r="241" spans="1:5" hidden="1">
      <c r="A241" s="43">
        <v>45120</v>
      </c>
      <c r="B241" t="s">
        <v>2076</v>
      </c>
      <c r="C241" t="s">
        <v>2158</v>
      </c>
      <c r="D241" t="s">
        <v>825</v>
      </c>
      <c r="E241" s="13">
        <v>47</v>
      </c>
    </row>
    <row r="242" spans="1:5" hidden="1">
      <c r="A242" s="43">
        <v>45120</v>
      </c>
      <c r="B242" t="s">
        <v>2396</v>
      </c>
      <c r="C242" t="s">
        <v>2397</v>
      </c>
      <c r="D242" t="s">
        <v>827</v>
      </c>
      <c r="E242" s="13">
        <v>31.6</v>
      </c>
    </row>
    <row r="243" spans="1:5" hidden="1">
      <c r="A243" s="43">
        <v>45120</v>
      </c>
      <c r="B243" t="s">
        <v>2076</v>
      </c>
      <c r="C243" t="s">
        <v>2398</v>
      </c>
      <c r="D243" t="s">
        <v>825</v>
      </c>
      <c r="E243" s="13">
        <v>502</v>
      </c>
    </row>
    <row r="244" spans="1:5" hidden="1">
      <c r="A244" s="43">
        <v>45120</v>
      </c>
      <c r="B244" t="s">
        <v>2076</v>
      </c>
      <c r="C244" t="s">
        <v>2399</v>
      </c>
      <c r="D244" t="s">
        <v>825</v>
      </c>
      <c r="E244" s="13">
        <v>220</v>
      </c>
    </row>
    <row r="245" spans="1:5" hidden="1">
      <c r="A245" s="43">
        <v>45120</v>
      </c>
      <c r="B245" t="s">
        <v>2400</v>
      </c>
      <c r="C245" t="s">
        <v>2401</v>
      </c>
      <c r="D245" t="s">
        <v>826</v>
      </c>
      <c r="E245" s="13">
        <v>69.900000000000006</v>
      </c>
    </row>
    <row r="246" spans="1:5" hidden="1">
      <c r="A246" s="43">
        <v>45120</v>
      </c>
      <c r="B246" t="s">
        <v>2076</v>
      </c>
      <c r="C246" t="s">
        <v>2245</v>
      </c>
      <c r="D246" t="s">
        <v>826</v>
      </c>
      <c r="E246" s="13">
        <v>100</v>
      </c>
    </row>
    <row r="247" spans="1:5" hidden="1">
      <c r="A247" s="43">
        <v>45120</v>
      </c>
      <c r="B247" t="s">
        <v>2261</v>
      </c>
      <c r="C247" t="s">
        <v>2245</v>
      </c>
      <c r="D247" t="s">
        <v>826</v>
      </c>
      <c r="E247" s="13">
        <v>11</v>
      </c>
    </row>
    <row r="248" spans="1:5" hidden="1">
      <c r="A248" s="43">
        <v>45120</v>
      </c>
      <c r="B248" t="s">
        <v>2076</v>
      </c>
      <c r="C248" t="s">
        <v>2199</v>
      </c>
      <c r="D248" t="s">
        <v>827</v>
      </c>
      <c r="E248" s="13">
        <v>395</v>
      </c>
    </row>
    <row r="249" spans="1:5" hidden="1">
      <c r="A249" s="43">
        <v>45120</v>
      </c>
      <c r="B249" t="s">
        <v>2076</v>
      </c>
      <c r="C249" t="s">
        <v>2177</v>
      </c>
      <c r="D249" t="s">
        <v>826</v>
      </c>
      <c r="E249" s="13">
        <v>360</v>
      </c>
    </row>
    <row r="250" spans="1:5" hidden="1">
      <c r="A250" s="43">
        <v>45120</v>
      </c>
      <c r="B250" t="s">
        <v>2228</v>
      </c>
      <c r="C250" t="s">
        <v>2415</v>
      </c>
      <c r="D250" t="s">
        <v>826</v>
      </c>
      <c r="E250" s="13">
        <v>24</v>
      </c>
    </row>
    <row r="251" spans="1:5" hidden="1">
      <c r="A251" s="43">
        <v>45120</v>
      </c>
      <c r="B251" t="s">
        <v>2076</v>
      </c>
      <c r="C251" t="s">
        <v>2416</v>
      </c>
      <c r="D251" t="s">
        <v>825</v>
      </c>
      <c r="E251" s="13">
        <v>79</v>
      </c>
    </row>
    <row r="252" spans="1:5" hidden="1">
      <c r="A252" s="43">
        <v>45120</v>
      </c>
      <c r="B252" t="s">
        <v>2158</v>
      </c>
      <c r="C252" t="s">
        <v>2158</v>
      </c>
      <c r="D252" t="s">
        <v>826</v>
      </c>
      <c r="E252" s="13">
        <v>55</v>
      </c>
    </row>
    <row r="253" spans="1:5" hidden="1">
      <c r="A253" s="43">
        <v>45120</v>
      </c>
      <c r="B253" t="s">
        <v>2158</v>
      </c>
      <c r="C253" t="s">
        <v>2201</v>
      </c>
      <c r="D253" t="s">
        <v>827</v>
      </c>
      <c r="E253" s="13">
        <v>33.58</v>
      </c>
    </row>
    <row r="254" spans="1:5" hidden="1">
      <c r="A254" s="43">
        <v>45121</v>
      </c>
      <c r="B254" t="s">
        <v>2086</v>
      </c>
      <c r="C254" t="s">
        <v>2419</v>
      </c>
      <c r="D254" t="s">
        <v>826</v>
      </c>
      <c r="E254" s="13">
        <v>39</v>
      </c>
    </row>
    <row r="255" spans="1:5" hidden="1">
      <c r="A255" s="43">
        <v>45121</v>
      </c>
      <c r="B255" t="s">
        <v>2420</v>
      </c>
      <c r="C255" t="s">
        <v>2285</v>
      </c>
      <c r="D255" t="s">
        <v>825</v>
      </c>
      <c r="E255" s="13">
        <v>77.5</v>
      </c>
    </row>
    <row r="256" spans="1:5" hidden="1">
      <c r="A256" s="43">
        <v>45121</v>
      </c>
      <c r="B256" t="s">
        <v>2423</v>
      </c>
      <c r="C256" t="s">
        <v>2422</v>
      </c>
      <c r="D256" t="s">
        <v>826</v>
      </c>
      <c r="E256" s="13">
        <v>33</v>
      </c>
    </row>
    <row r="257" spans="1:5" hidden="1">
      <c r="A257" s="43">
        <v>45121</v>
      </c>
      <c r="B257" t="s">
        <v>2269</v>
      </c>
      <c r="C257" t="s">
        <v>2142</v>
      </c>
      <c r="D257" t="s">
        <v>826</v>
      </c>
      <c r="E257" s="13">
        <v>14</v>
      </c>
    </row>
    <row r="258" spans="1:5" hidden="1">
      <c r="A258" s="43">
        <v>45121</v>
      </c>
      <c r="B258" t="s">
        <v>2425</v>
      </c>
      <c r="C258" t="s">
        <v>2424</v>
      </c>
      <c r="D258" t="s">
        <v>831</v>
      </c>
      <c r="E258" s="13">
        <v>86.71</v>
      </c>
    </row>
    <row r="259" spans="1:5" hidden="1">
      <c r="A259" s="43">
        <v>45121</v>
      </c>
      <c r="B259" t="s">
        <v>2426</v>
      </c>
      <c r="C259" t="s">
        <v>2103</v>
      </c>
      <c r="D259" t="s">
        <v>826</v>
      </c>
      <c r="E259" s="13">
        <v>20</v>
      </c>
    </row>
    <row r="260" spans="1:5" hidden="1">
      <c r="A260" s="43">
        <v>45121</v>
      </c>
      <c r="B260" t="s">
        <v>2076</v>
      </c>
      <c r="C260" t="s">
        <v>2427</v>
      </c>
      <c r="D260" t="s">
        <v>827</v>
      </c>
      <c r="E260" s="13">
        <v>69.12</v>
      </c>
    </row>
    <row r="261" spans="1:5" hidden="1">
      <c r="A261" s="43">
        <v>45121</v>
      </c>
      <c r="B261" t="s">
        <v>2076</v>
      </c>
      <c r="C261" t="s">
        <v>2428</v>
      </c>
      <c r="D261" t="s">
        <v>825</v>
      </c>
      <c r="E261" s="13">
        <v>30</v>
      </c>
    </row>
    <row r="262" spans="1:5" hidden="1">
      <c r="A262" s="43">
        <v>45121</v>
      </c>
      <c r="B262" t="s">
        <v>2202</v>
      </c>
      <c r="C262" t="s">
        <v>2429</v>
      </c>
      <c r="D262" t="s">
        <v>831</v>
      </c>
      <c r="E262" s="13">
        <v>75.150000000000006</v>
      </c>
    </row>
    <row r="263" spans="1:5" hidden="1">
      <c r="A263" s="43">
        <v>45121</v>
      </c>
      <c r="B263" t="s">
        <v>2076</v>
      </c>
      <c r="C263" t="s">
        <v>2430</v>
      </c>
      <c r="D263" t="s">
        <v>827</v>
      </c>
      <c r="E263" s="13">
        <v>59.25</v>
      </c>
    </row>
    <row r="264" spans="1:5" hidden="1">
      <c r="A264" s="43">
        <v>45121</v>
      </c>
      <c r="B264" t="s">
        <v>2076</v>
      </c>
      <c r="C264" t="s">
        <v>2431</v>
      </c>
      <c r="D264" t="s">
        <v>826</v>
      </c>
      <c r="E264" s="13">
        <v>400</v>
      </c>
    </row>
    <row r="265" spans="1:5" hidden="1">
      <c r="A265" s="43">
        <v>45121</v>
      </c>
      <c r="B265" t="s">
        <v>2432</v>
      </c>
      <c r="C265" t="s">
        <v>2158</v>
      </c>
      <c r="D265" t="s">
        <v>826</v>
      </c>
      <c r="E265" s="13">
        <v>80</v>
      </c>
    </row>
    <row r="266" spans="1:5" hidden="1">
      <c r="A266" s="43">
        <v>45121</v>
      </c>
      <c r="B266" t="s">
        <v>2433</v>
      </c>
      <c r="C266" t="s">
        <v>2430</v>
      </c>
      <c r="D266" t="s">
        <v>827</v>
      </c>
      <c r="E266" s="13">
        <v>296.25</v>
      </c>
    </row>
    <row r="267" spans="1:5" hidden="1">
      <c r="A267" s="43">
        <v>45121</v>
      </c>
      <c r="B267" t="s">
        <v>2076</v>
      </c>
      <c r="C267" t="s">
        <v>2091</v>
      </c>
      <c r="D267" t="s">
        <v>827</v>
      </c>
      <c r="E267" s="13">
        <v>394.99</v>
      </c>
    </row>
    <row r="268" spans="1:5" hidden="1">
      <c r="A268" s="43">
        <v>45121</v>
      </c>
      <c r="B268" t="s">
        <v>2076</v>
      </c>
      <c r="C268" t="s">
        <v>2434</v>
      </c>
      <c r="D268" t="s">
        <v>831</v>
      </c>
      <c r="E268" s="13">
        <v>356.46</v>
      </c>
    </row>
    <row r="269" spans="1:5" hidden="1">
      <c r="A269" s="43">
        <v>45121</v>
      </c>
      <c r="B269" t="s">
        <v>2076</v>
      </c>
      <c r="C269" t="s">
        <v>2390</v>
      </c>
      <c r="D269" t="s">
        <v>2435</v>
      </c>
      <c r="E269" s="13">
        <v>1310</v>
      </c>
    </row>
    <row r="270" spans="1:5" hidden="1">
      <c r="A270" s="43">
        <v>45121</v>
      </c>
      <c r="B270" t="s">
        <v>2158</v>
      </c>
      <c r="C270" t="s">
        <v>2362</v>
      </c>
      <c r="D270" t="s">
        <v>826</v>
      </c>
      <c r="E270" s="13">
        <v>26</v>
      </c>
    </row>
    <row r="271" spans="1:5" hidden="1">
      <c r="A271" s="43">
        <v>45121</v>
      </c>
      <c r="B271" t="s">
        <v>2077</v>
      </c>
      <c r="C271" t="s">
        <v>2434</v>
      </c>
      <c r="D271" t="s">
        <v>826</v>
      </c>
      <c r="E271" s="13">
        <v>10</v>
      </c>
    </row>
    <row r="272" spans="1:5" hidden="1">
      <c r="A272" s="43">
        <v>45121</v>
      </c>
      <c r="B272" t="s">
        <v>2076</v>
      </c>
      <c r="C272" t="s">
        <v>2436</v>
      </c>
      <c r="D272" t="s">
        <v>826</v>
      </c>
      <c r="E272" s="13">
        <v>40</v>
      </c>
    </row>
    <row r="273" spans="1:5" hidden="1">
      <c r="A273" s="43">
        <v>45121</v>
      </c>
      <c r="B273" t="s">
        <v>2158</v>
      </c>
      <c r="C273" t="s">
        <v>2437</v>
      </c>
      <c r="D273" t="s">
        <v>2435</v>
      </c>
      <c r="E273" s="13">
        <v>426.74</v>
      </c>
    </row>
    <row r="274" spans="1:5" hidden="1">
      <c r="A274" s="43">
        <v>45122</v>
      </c>
      <c r="B274" t="s">
        <v>2438</v>
      </c>
      <c r="C274" t="s">
        <v>2158</v>
      </c>
      <c r="D274" t="s">
        <v>826</v>
      </c>
      <c r="E274" s="13">
        <v>20</v>
      </c>
    </row>
    <row r="275" spans="1:5" hidden="1">
      <c r="A275" s="43">
        <v>45122</v>
      </c>
      <c r="B275" t="s">
        <v>2158</v>
      </c>
      <c r="C275" t="s">
        <v>2089</v>
      </c>
      <c r="D275" t="s">
        <v>826</v>
      </c>
      <c r="E275" s="13">
        <v>50</v>
      </c>
    </row>
    <row r="276" spans="1:5" hidden="1">
      <c r="A276" s="43">
        <v>45122</v>
      </c>
      <c r="B276" t="s">
        <v>2439</v>
      </c>
      <c r="C276" t="s">
        <v>2150</v>
      </c>
      <c r="D276" t="s">
        <v>826</v>
      </c>
      <c r="E276" s="13">
        <v>108</v>
      </c>
    </row>
    <row r="277" spans="1:5" hidden="1">
      <c r="A277" s="43">
        <v>45122</v>
      </c>
      <c r="B277" t="s">
        <v>2076</v>
      </c>
      <c r="C277" t="s">
        <v>2440</v>
      </c>
      <c r="D277" t="s">
        <v>826</v>
      </c>
      <c r="E277" s="13">
        <v>21</v>
      </c>
    </row>
    <row r="278" spans="1:5" hidden="1">
      <c r="A278" s="43">
        <v>45122</v>
      </c>
      <c r="B278" t="s">
        <v>2441</v>
      </c>
      <c r="C278" t="s">
        <v>2442</v>
      </c>
      <c r="D278" t="s">
        <v>827</v>
      </c>
      <c r="E278" s="13">
        <v>33.58</v>
      </c>
    </row>
    <row r="279" spans="1:5" hidden="1">
      <c r="A279" s="43">
        <v>45122</v>
      </c>
      <c r="B279" t="s">
        <v>2077</v>
      </c>
      <c r="C279" t="s">
        <v>2158</v>
      </c>
      <c r="D279" t="s">
        <v>826</v>
      </c>
      <c r="E279" s="13">
        <v>4</v>
      </c>
    </row>
    <row r="280" spans="1:5" hidden="1">
      <c r="A280" s="43">
        <v>45122</v>
      </c>
      <c r="B280" t="s">
        <v>2076</v>
      </c>
      <c r="C280" t="s">
        <v>2443</v>
      </c>
      <c r="D280" t="s">
        <v>825</v>
      </c>
      <c r="E280" s="13">
        <v>175.3</v>
      </c>
    </row>
    <row r="281" spans="1:5" hidden="1">
      <c r="A281" s="43">
        <v>45122</v>
      </c>
      <c r="B281" t="s">
        <v>2444</v>
      </c>
      <c r="C281" t="s">
        <v>2445</v>
      </c>
      <c r="D281" t="s">
        <v>827</v>
      </c>
      <c r="E281" s="13">
        <v>59.25</v>
      </c>
    </row>
    <row r="282" spans="1:5" hidden="1">
      <c r="A282" s="43">
        <v>45122</v>
      </c>
      <c r="B282" t="s">
        <v>2158</v>
      </c>
      <c r="C282" t="s">
        <v>2158</v>
      </c>
      <c r="D282" t="s">
        <v>827</v>
      </c>
      <c r="E282" s="13">
        <v>29.62</v>
      </c>
    </row>
    <row r="283" spans="1:5" hidden="1">
      <c r="A283" s="43">
        <v>45122</v>
      </c>
      <c r="B283" t="s">
        <v>2076</v>
      </c>
      <c r="C283" t="s">
        <v>2446</v>
      </c>
      <c r="D283" t="s">
        <v>825</v>
      </c>
      <c r="E283" s="13">
        <v>1000</v>
      </c>
    </row>
    <row r="284" spans="1:5" hidden="1">
      <c r="A284" s="43">
        <v>45122</v>
      </c>
      <c r="B284" t="s">
        <v>2076</v>
      </c>
      <c r="C284" t="s">
        <v>2447</v>
      </c>
      <c r="D284" t="s">
        <v>826</v>
      </c>
      <c r="E284" s="13">
        <v>44</v>
      </c>
    </row>
    <row r="285" spans="1:5" hidden="1">
      <c r="A285" s="43">
        <v>45122</v>
      </c>
      <c r="B285" t="s">
        <v>2158</v>
      </c>
      <c r="C285" t="s">
        <v>2082</v>
      </c>
      <c r="D285" t="s">
        <v>831</v>
      </c>
      <c r="E285" s="13">
        <v>37.130000000000003</v>
      </c>
    </row>
    <row r="286" spans="1:5" hidden="1">
      <c r="A286" s="43">
        <v>45122</v>
      </c>
      <c r="B286" t="s">
        <v>2076</v>
      </c>
      <c r="C286" t="s">
        <v>2448</v>
      </c>
      <c r="D286" t="s">
        <v>826</v>
      </c>
      <c r="E286" s="13">
        <v>80</v>
      </c>
    </row>
    <row r="287" spans="1:5" hidden="1">
      <c r="A287" s="43">
        <v>45122</v>
      </c>
      <c r="B287" t="s">
        <v>2276</v>
      </c>
      <c r="C287" t="s">
        <v>2449</v>
      </c>
      <c r="D287" t="s">
        <v>826</v>
      </c>
      <c r="E287" s="13">
        <v>35</v>
      </c>
    </row>
    <row r="288" spans="1:5" hidden="1">
      <c r="A288" s="43">
        <v>45122</v>
      </c>
      <c r="B288" t="s">
        <v>2276</v>
      </c>
      <c r="C288" t="s">
        <v>2082</v>
      </c>
      <c r="D288" t="s">
        <v>827</v>
      </c>
      <c r="E288" s="13">
        <v>103.69</v>
      </c>
    </row>
    <row r="289" spans="1:5" hidden="1">
      <c r="A289" s="43">
        <v>45122</v>
      </c>
      <c r="B289" t="s">
        <v>2082</v>
      </c>
      <c r="C289" t="s">
        <v>2158</v>
      </c>
      <c r="D289" t="s">
        <v>826</v>
      </c>
      <c r="E289" s="13">
        <v>22</v>
      </c>
    </row>
    <row r="290" spans="1:5" hidden="1">
      <c r="A290" s="43">
        <v>45124</v>
      </c>
      <c r="B290" t="s">
        <v>2076</v>
      </c>
      <c r="C290" t="s">
        <v>2451</v>
      </c>
      <c r="D290" t="s">
        <v>825</v>
      </c>
      <c r="E290" s="13">
        <v>1708</v>
      </c>
    </row>
    <row r="291" spans="1:5" hidden="1">
      <c r="A291" s="43">
        <v>45124</v>
      </c>
      <c r="B291" t="s">
        <v>2076</v>
      </c>
      <c r="C291" t="s">
        <v>2452</v>
      </c>
      <c r="D291" t="s">
        <v>2453</v>
      </c>
      <c r="E291" s="13">
        <v>502.29</v>
      </c>
    </row>
    <row r="292" spans="1:5" hidden="1">
      <c r="A292" s="43">
        <v>45124</v>
      </c>
      <c r="B292" t="s">
        <v>2454</v>
      </c>
      <c r="C292" t="s">
        <v>2398</v>
      </c>
      <c r="D292" t="s">
        <v>826</v>
      </c>
      <c r="E292" s="13">
        <v>35</v>
      </c>
    </row>
    <row r="293" spans="1:5" hidden="1">
      <c r="A293" s="43">
        <v>45124</v>
      </c>
      <c r="B293" t="s">
        <v>2455</v>
      </c>
      <c r="C293" t="s">
        <v>2158</v>
      </c>
      <c r="D293" t="s">
        <v>831</v>
      </c>
      <c r="E293" s="13">
        <v>14.45</v>
      </c>
    </row>
    <row r="294" spans="1:5" hidden="1">
      <c r="A294" s="43">
        <v>45124</v>
      </c>
      <c r="B294" t="s">
        <v>2076</v>
      </c>
      <c r="C294" t="s">
        <v>2437</v>
      </c>
      <c r="D294" t="s">
        <v>2435</v>
      </c>
      <c r="E294" s="13">
        <v>306.14</v>
      </c>
    </row>
    <row r="295" spans="1:5" hidden="1">
      <c r="A295" s="43">
        <v>45124</v>
      </c>
      <c r="B295" t="s">
        <v>2158</v>
      </c>
      <c r="C295" t="s">
        <v>2158</v>
      </c>
      <c r="D295" t="s">
        <v>827</v>
      </c>
      <c r="E295" s="13">
        <v>54.31</v>
      </c>
    </row>
    <row r="296" spans="1:5" hidden="1">
      <c r="A296" s="43">
        <v>45124</v>
      </c>
      <c r="B296" t="s">
        <v>2076</v>
      </c>
      <c r="C296" t="s">
        <v>2197</v>
      </c>
      <c r="D296" t="s">
        <v>825</v>
      </c>
      <c r="E296" s="13">
        <v>120</v>
      </c>
    </row>
    <row r="297" spans="1:5" hidden="1">
      <c r="A297" s="43">
        <v>45124</v>
      </c>
      <c r="B297" t="s">
        <v>2456</v>
      </c>
      <c r="C297" t="s">
        <v>2398</v>
      </c>
      <c r="D297" t="s">
        <v>826</v>
      </c>
      <c r="E297" s="13">
        <v>22</v>
      </c>
    </row>
    <row r="298" spans="1:5" hidden="1">
      <c r="A298" s="43">
        <v>45124</v>
      </c>
      <c r="B298" t="s">
        <v>2456</v>
      </c>
      <c r="C298" t="s">
        <v>2158</v>
      </c>
      <c r="D298" t="s">
        <v>826</v>
      </c>
      <c r="E298" s="13">
        <v>72</v>
      </c>
    </row>
    <row r="299" spans="1:5" hidden="1">
      <c r="A299" s="43">
        <v>45124</v>
      </c>
      <c r="B299" t="s">
        <v>2076</v>
      </c>
      <c r="C299" t="s">
        <v>2457</v>
      </c>
      <c r="D299" t="s">
        <v>826</v>
      </c>
      <c r="E299" s="13">
        <v>90</v>
      </c>
    </row>
    <row r="300" spans="1:5" hidden="1">
      <c r="A300" s="43">
        <v>45124</v>
      </c>
      <c r="B300" t="s">
        <v>2269</v>
      </c>
      <c r="C300" t="s">
        <v>2158</v>
      </c>
      <c r="D300" t="s">
        <v>826</v>
      </c>
      <c r="E300" s="13">
        <v>8</v>
      </c>
    </row>
    <row r="301" spans="1:5" hidden="1">
      <c r="A301" s="43">
        <v>45124</v>
      </c>
      <c r="B301" t="s">
        <v>2076</v>
      </c>
      <c r="C301" t="s">
        <v>2458</v>
      </c>
      <c r="D301" t="s">
        <v>825</v>
      </c>
      <c r="E301" s="13">
        <v>1530</v>
      </c>
    </row>
    <row r="302" spans="1:5" hidden="1">
      <c r="A302" s="43">
        <v>45124</v>
      </c>
      <c r="B302" t="s">
        <v>2076</v>
      </c>
      <c r="C302" t="s">
        <v>2288</v>
      </c>
      <c r="D302" t="s">
        <v>827</v>
      </c>
      <c r="E302" s="13">
        <v>207.38</v>
      </c>
    </row>
    <row r="303" spans="1:5" hidden="1">
      <c r="A303" s="43">
        <v>45124</v>
      </c>
      <c r="B303" t="s">
        <v>2276</v>
      </c>
      <c r="C303" t="s">
        <v>2459</v>
      </c>
      <c r="D303" t="s">
        <v>826</v>
      </c>
      <c r="E303" s="13">
        <v>108</v>
      </c>
    </row>
    <row r="304" spans="1:5" hidden="1">
      <c r="A304" s="43">
        <v>45124</v>
      </c>
      <c r="B304" t="s">
        <v>2076</v>
      </c>
      <c r="C304" t="s">
        <v>2460</v>
      </c>
      <c r="D304" t="s">
        <v>826</v>
      </c>
      <c r="E304" s="13">
        <v>37</v>
      </c>
    </row>
    <row r="305" spans="1:5" hidden="1">
      <c r="A305" s="43">
        <v>45124</v>
      </c>
      <c r="B305" t="s">
        <v>2252</v>
      </c>
      <c r="C305" t="s">
        <v>2299</v>
      </c>
      <c r="D305" t="s">
        <v>825</v>
      </c>
      <c r="E305" s="13">
        <v>42</v>
      </c>
    </row>
    <row r="306" spans="1:5" hidden="1">
      <c r="A306" s="43">
        <v>45124</v>
      </c>
      <c r="B306" t="s">
        <v>2082</v>
      </c>
      <c r="C306" t="s">
        <v>2461</v>
      </c>
      <c r="D306" t="s">
        <v>827</v>
      </c>
      <c r="E306" s="13">
        <v>79</v>
      </c>
    </row>
    <row r="307" spans="1:5" hidden="1">
      <c r="A307" s="43">
        <v>45124</v>
      </c>
      <c r="B307" t="s">
        <v>2077</v>
      </c>
      <c r="C307" t="s">
        <v>2462</v>
      </c>
      <c r="D307" t="s">
        <v>826</v>
      </c>
      <c r="E307" s="13">
        <v>66</v>
      </c>
    </row>
    <row r="308" spans="1:5" hidden="1">
      <c r="A308" s="43">
        <v>45124</v>
      </c>
      <c r="B308" t="s">
        <v>2076</v>
      </c>
      <c r="C308" t="s">
        <v>2463</v>
      </c>
      <c r="D308" t="s">
        <v>825</v>
      </c>
      <c r="E308" s="13">
        <v>744</v>
      </c>
    </row>
    <row r="309" spans="1:5" hidden="1">
      <c r="A309" s="43">
        <v>45124</v>
      </c>
      <c r="B309" t="s">
        <v>2173</v>
      </c>
      <c r="C309" t="s">
        <v>2464</v>
      </c>
      <c r="D309" t="s">
        <v>825</v>
      </c>
      <c r="E309" s="13">
        <v>230</v>
      </c>
    </row>
    <row r="310" spans="1:5" hidden="1">
      <c r="A310" s="43">
        <v>45124</v>
      </c>
      <c r="B310" t="s">
        <v>2465</v>
      </c>
      <c r="C310" t="s">
        <v>2158</v>
      </c>
      <c r="D310" t="s">
        <v>826</v>
      </c>
      <c r="E310" s="13">
        <v>37</v>
      </c>
    </row>
    <row r="311" spans="1:5" hidden="1">
      <c r="A311" s="43">
        <v>45124</v>
      </c>
      <c r="B311" t="s">
        <v>2076</v>
      </c>
      <c r="C311" t="s">
        <v>2466</v>
      </c>
      <c r="D311" t="s">
        <v>2435</v>
      </c>
      <c r="E311" s="13">
        <v>997.28</v>
      </c>
    </row>
    <row r="312" spans="1:5" hidden="1">
      <c r="A312" s="43">
        <v>45124</v>
      </c>
      <c r="B312" t="s">
        <v>2173</v>
      </c>
      <c r="C312" t="s">
        <v>2158</v>
      </c>
      <c r="D312" t="s">
        <v>2467</v>
      </c>
      <c r="E312" s="13">
        <v>129.27000000000001</v>
      </c>
    </row>
    <row r="313" spans="1:5" hidden="1">
      <c r="A313" s="43">
        <v>45124</v>
      </c>
      <c r="B313" t="s">
        <v>2076</v>
      </c>
      <c r="C313" t="s">
        <v>2468</v>
      </c>
      <c r="D313" t="s">
        <v>831</v>
      </c>
      <c r="E313" s="13">
        <v>51.06</v>
      </c>
    </row>
    <row r="314" spans="1:5" hidden="1">
      <c r="A314" s="43">
        <v>45124</v>
      </c>
      <c r="B314" t="s">
        <v>2470</v>
      </c>
      <c r="C314" t="s">
        <v>2158</v>
      </c>
      <c r="D314" t="s">
        <v>827</v>
      </c>
      <c r="E314" s="13">
        <v>11.36</v>
      </c>
    </row>
    <row r="315" spans="1:5" hidden="1">
      <c r="A315" s="43">
        <v>45124</v>
      </c>
      <c r="B315" t="s">
        <v>2076</v>
      </c>
      <c r="C315" t="s">
        <v>2471</v>
      </c>
      <c r="D315" t="s">
        <v>827</v>
      </c>
      <c r="E315" s="13">
        <v>88.88</v>
      </c>
    </row>
    <row r="316" spans="1:5" hidden="1">
      <c r="A316" s="43">
        <v>45124</v>
      </c>
      <c r="B316" t="s">
        <v>2076</v>
      </c>
      <c r="C316" t="s">
        <v>2472</v>
      </c>
      <c r="D316" t="s">
        <v>826</v>
      </c>
      <c r="E316" s="13">
        <v>300</v>
      </c>
    </row>
    <row r="317" spans="1:5" hidden="1">
      <c r="A317" s="43">
        <v>45125</v>
      </c>
      <c r="B317" t="s">
        <v>2076</v>
      </c>
      <c r="C317" t="s">
        <v>2485</v>
      </c>
      <c r="D317" t="s">
        <v>826</v>
      </c>
      <c r="E317" s="13">
        <v>35</v>
      </c>
    </row>
    <row r="318" spans="1:5" hidden="1">
      <c r="A318" s="43">
        <v>45125</v>
      </c>
      <c r="B318" t="s">
        <v>2076</v>
      </c>
      <c r="C318" t="s">
        <v>2338</v>
      </c>
      <c r="D318" t="s">
        <v>826</v>
      </c>
      <c r="E318" s="13">
        <v>2170</v>
      </c>
    </row>
    <row r="319" spans="1:5" hidden="1">
      <c r="A319" s="43">
        <v>45125</v>
      </c>
      <c r="B319" t="s">
        <v>2076</v>
      </c>
      <c r="C319" t="s">
        <v>2488</v>
      </c>
      <c r="D319" t="s">
        <v>2435</v>
      </c>
      <c r="E319" s="13">
        <v>815.45</v>
      </c>
    </row>
    <row r="320" spans="1:5" hidden="1">
      <c r="A320" s="43">
        <v>45125</v>
      </c>
      <c r="B320" t="s">
        <v>2076</v>
      </c>
      <c r="C320" t="s">
        <v>2489</v>
      </c>
      <c r="D320" t="s">
        <v>827</v>
      </c>
      <c r="E320" s="13">
        <v>147.13999999999999</v>
      </c>
    </row>
    <row r="321" spans="1:5" hidden="1">
      <c r="A321" s="43">
        <v>45125</v>
      </c>
      <c r="B321" t="s">
        <v>2158</v>
      </c>
      <c r="C321" t="s">
        <v>2158</v>
      </c>
      <c r="D321" t="s">
        <v>827</v>
      </c>
      <c r="E321" s="13">
        <v>119.49</v>
      </c>
    </row>
    <row r="322" spans="1:5" hidden="1">
      <c r="A322" s="43">
        <v>45125</v>
      </c>
      <c r="B322" t="s">
        <v>2494</v>
      </c>
      <c r="C322" t="s">
        <v>2238</v>
      </c>
      <c r="D322" t="s">
        <v>826</v>
      </c>
      <c r="E322" s="13">
        <v>200</v>
      </c>
    </row>
    <row r="323" spans="1:5" hidden="1">
      <c r="A323" s="43">
        <v>45125</v>
      </c>
      <c r="B323" t="s">
        <v>2158</v>
      </c>
      <c r="C323" t="s">
        <v>2158</v>
      </c>
      <c r="D323" t="s">
        <v>826</v>
      </c>
      <c r="E323" s="13">
        <v>80</v>
      </c>
    </row>
    <row r="324" spans="1:5" hidden="1">
      <c r="A324" s="43">
        <v>45125</v>
      </c>
      <c r="B324" t="s">
        <v>2076</v>
      </c>
      <c r="C324" t="s">
        <v>2536</v>
      </c>
      <c r="D324" t="s">
        <v>831</v>
      </c>
      <c r="E324" s="13">
        <v>169.33</v>
      </c>
    </row>
    <row r="325" spans="1:5" hidden="1">
      <c r="A325" s="43">
        <v>45125</v>
      </c>
      <c r="B325" t="s">
        <v>2158</v>
      </c>
      <c r="C325" t="s">
        <v>2158</v>
      </c>
      <c r="D325" t="s">
        <v>827</v>
      </c>
      <c r="E325" s="13">
        <v>54.31</v>
      </c>
    </row>
    <row r="326" spans="1:5" hidden="1">
      <c r="A326" s="43">
        <v>45125</v>
      </c>
      <c r="B326" t="s">
        <v>2076</v>
      </c>
      <c r="C326" t="s">
        <v>2548</v>
      </c>
      <c r="D326" t="s">
        <v>831</v>
      </c>
      <c r="E326" s="13">
        <v>50.42</v>
      </c>
    </row>
    <row r="327" spans="1:5" hidden="1">
      <c r="A327" s="43">
        <v>45125</v>
      </c>
      <c r="B327" t="s">
        <v>2076</v>
      </c>
      <c r="C327" t="s">
        <v>2549</v>
      </c>
      <c r="D327" t="s">
        <v>827</v>
      </c>
      <c r="E327" s="13">
        <v>63.2</v>
      </c>
    </row>
    <row r="328" spans="1:5" hidden="1">
      <c r="A328" s="43">
        <v>45125</v>
      </c>
      <c r="B328" t="s">
        <v>2420</v>
      </c>
      <c r="C328" t="s">
        <v>2285</v>
      </c>
      <c r="D328" t="s">
        <v>826</v>
      </c>
      <c r="E328" s="13">
        <v>15</v>
      </c>
    </row>
    <row r="329" spans="1:5" hidden="1">
      <c r="A329" s="43">
        <v>45125</v>
      </c>
      <c r="B329" t="s">
        <v>2076</v>
      </c>
      <c r="C329" t="s">
        <v>2550</v>
      </c>
      <c r="D329" t="s">
        <v>825</v>
      </c>
      <c r="E329" s="13">
        <v>1800</v>
      </c>
    </row>
    <row r="330" spans="1:5" hidden="1">
      <c r="A330" s="43">
        <v>45125</v>
      </c>
      <c r="B330" t="s">
        <v>2574</v>
      </c>
      <c r="C330" t="s">
        <v>2573</v>
      </c>
      <c r="D330" t="s">
        <v>826</v>
      </c>
      <c r="E330" s="13">
        <v>30</v>
      </c>
    </row>
    <row r="331" spans="1:5" hidden="1">
      <c r="A331" s="43">
        <v>45125</v>
      </c>
      <c r="B331" t="s">
        <v>2158</v>
      </c>
      <c r="C331" t="s">
        <v>2158</v>
      </c>
      <c r="D331" t="s">
        <v>831</v>
      </c>
      <c r="E331" s="13">
        <v>51.06</v>
      </c>
    </row>
    <row r="332" spans="1:5" hidden="1">
      <c r="A332" s="43">
        <v>45125</v>
      </c>
      <c r="B332" t="s">
        <v>2576</v>
      </c>
      <c r="C332" t="s">
        <v>2158</v>
      </c>
      <c r="D332" t="s">
        <v>825</v>
      </c>
      <c r="E332" s="13">
        <v>90</v>
      </c>
    </row>
    <row r="333" spans="1:5">
      <c r="A333" s="43">
        <v>45126</v>
      </c>
    </row>
    <row r="334" spans="1:5">
      <c r="A334" s="43"/>
    </row>
    <row r="335" spans="1:5">
      <c r="A335" s="43"/>
    </row>
    <row r="336" spans="1:5">
      <c r="A336" s="43"/>
    </row>
    <row r="337" spans="1:1">
      <c r="A337" s="43"/>
    </row>
    <row r="338" spans="1:1">
      <c r="A338" s="43"/>
    </row>
    <row r="339" spans="1:1">
      <c r="A339" s="43"/>
    </row>
    <row r="340" spans="1:1">
      <c r="A340" s="43"/>
    </row>
    <row r="1047507" spans="4:4">
      <c r="D1047507" t="s">
        <v>826</v>
      </c>
    </row>
  </sheetData>
  <autoFilter ref="A3:E333" xr:uid="{9E2527A1-74DB-4785-A1E9-42E910D0A02D}">
    <filterColumn colId="0">
      <filters>
        <dateGroupItem year="2023" month="7" day="19" dateTimeGrouping="day"/>
      </filters>
    </filterColumn>
  </autoFilter>
  <mergeCells count="1">
    <mergeCell ref="A2:E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69ABC-AC68-4E4D-95A7-A38694CAF1A2}">
  <sheetPr codeName="Planilha2">
    <tabColor theme="4" tint="0.39997558519241921"/>
  </sheetPr>
  <dimension ref="A1:H54"/>
  <sheetViews>
    <sheetView showGridLines="0" zoomScale="85" zoomScaleNormal="85" workbookViewId="0">
      <pane ySplit="1" topLeftCell="A35" activePane="bottomLeft" state="frozen"/>
      <selection pane="bottomLeft" activeCell="E55" sqref="E55"/>
    </sheetView>
  </sheetViews>
  <sheetFormatPr defaultRowHeight="15"/>
  <cols>
    <col min="1" max="1" width="43.42578125" customWidth="1"/>
    <col min="2" max="2" width="15" style="13" customWidth="1"/>
    <col min="3" max="3" width="19.28515625" style="33" customWidth="1"/>
    <col min="4" max="4" width="15.5703125" customWidth="1"/>
    <col min="5" max="5" width="13.42578125" customWidth="1"/>
    <col min="7" max="7" width="9.5703125" bestFit="1" customWidth="1"/>
    <col min="8" max="8" width="13.42578125" customWidth="1"/>
  </cols>
  <sheetData>
    <row r="1" spans="1:8">
      <c r="A1" s="7" t="s">
        <v>6</v>
      </c>
      <c r="B1" s="15" t="s">
        <v>3</v>
      </c>
      <c r="C1" s="42" t="s">
        <v>0</v>
      </c>
      <c r="D1" s="8" t="s">
        <v>7</v>
      </c>
      <c r="E1" s="8" t="s">
        <v>923</v>
      </c>
      <c r="F1" s="65" t="s">
        <v>15</v>
      </c>
      <c r="G1" s="66"/>
      <c r="H1" s="16">
        <f>SUBTOTAL(9,B2:B97)</f>
        <v>43303.33</v>
      </c>
    </row>
    <row r="2" spans="1:8">
      <c r="A2" t="s">
        <v>2279</v>
      </c>
      <c r="B2" s="13">
        <v>184</v>
      </c>
      <c r="C2" s="33">
        <v>45117</v>
      </c>
      <c r="D2" t="s">
        <v>911</v>
      </c>
      <c r="E2" t="s">
        <v>924</v>
      </c>
    </row>
    <row r="3" spans="1:8">
      <c r="A3" t="s">
        <v>2280</v>
      </c>
      <c r="B3" s="13">
        <v>114</v>
      </c>
      <c r="C3" s="33">
        <v>45117</v>
      </c>
      <c r="D3" t="s">
        <v>911</v>
      </c>
      <c r="E3" t="s">
        <v>925</v>
      </c>
    </row>
    <row r="4" spans="1:8">
      <c r="A4" t="s">
        <v>2281</v>
      </c>
      <c r="B4" s="13">
        <v>113</v>
      </c>
      <c r="C4" s="33">
        <v>45117</v>
      </c>
      <c r="D4" t="s">
        <v>911</v>
      </c>
      <c r="E4" t="s">
        <v>925</v>
      </c>
    </row>
    <row r="5" spans="1:8">
      <c r="A5" t="s">
        <v>2282</v>
      </c>
      <c r="B5" s="13">
        <v>1050</v>
      </c>
      <c r="C5" s="33">
        <v>45117</v>
      </c>
      <c r="D5" t="s">
        <v>911</v>
      </c>
      <c r="E5" t="s">
        <v>924</v>
      </c>
    </row>
    <row r="6" spans="1:8">
      <c r="A6" t="s">
        <v>2279</v>
      </c>
      <c r="B6" s="13">
        <v>308</v>
      </c>
      <c r="C6" s="33">
        <v>45117</v>
      </c>
      <c r="D6" t="s">
        <v>911</v>
      </c>
      <c r="E6" t="s">
        <v>924</v>
      </c>
    </row>
    <row r="7" spans="1:8">
      <c r="A7" t="s">
        <v>2292</v>
      </c>
      <c r="B7" s="13">
        <v>1890</v>
      </c>
      <c r="C7" s="33">
        <v>45117</v>
      </c>
      <c r="D7" t="s">
        <v>911</v>
      </c>
      <c r="E7" t="s">
        <v>924</v>
      </c>
    </row>
    <row r="8" spans="1:8">
      <c r="A8" t="s">
        <v>1774</v>
      </c>
      <c r="B8" s="13">
        <v>1500</v>
      </c>
      <c r="C8" s="33">
        <v>45117</v>
      </c>
      <c r="D8" t="s">
        <v>911</v>
      </c>
      <c r="E8" t="s">
        <v>926</v>
      </c>
    </row>
    <row r="9" spans="1:8">
      <c r="A9" t="s">
        <v>1913</v>
      </c>
      <c r="B9" s="13">
        <v>1289.5</v>
      </c>
      <c r="C9" s="33">
        <v>45117</v>
      </c>
      <c r="D9" t="s">
        <v>911</v>
      </c>
      <c r="E9" t="s">
        <v>924</v>
      </c>
    </row>
    <row r="10" spans="1:8">
      <c r="A10" t="s">
        <v>1925</v>
      </c>
      <c r="B10" s="13">
        <v>966.5</v>
      </c>
      <c r="C10" s="33">
        <v>45117</v>
      </c>
      <c r="D10" t="s">
        <v>911</v>
      </c>
      <c r="E10" t="s">
        <v>927</v>
      </c>
    </row>
    <row r="11" spans="1:8">
      <c r="A11" t="s">
        <v>1913</v>
      </c>
      <c r="B11" s="13">
        <v>1289.5</v>
      </c>
      <c r="C11" s="33">
        <v>45117</v>
      </c>
      <c r="D11" t="s">
        <v>911</v>
      </c>
      <c r="E11" t="s">
        <v>924</v>
      </c>
    </row>
    <row r="12" spans="1:8">
      <c r="A12" t="s">
        <v>2333</v>
      </c>
      <c r="B12" s="13">
        <v>4000</v>
      </c>
      <c r="C12" s="33">
        <v>45117</v>
      </c>
      <c r="D12" t="s">
        <v>911</v>
      </c>
      <c r="E12" t="s">
        <v>927</v>
      </c>
    </row>
    <row r="13" spans="1:8">
      <c r="A13" t="s">
        <v>1821</v>
      </c>
      <c r="B13" s="13">
        <v>424.75</v>
      </c>
      <c r="C13" s="33">
        <v>45117</v>
      </c>
      <c r="D13" t="s">
        <v>911</v>
      </c>
      <c r="E13" t="s">
        <v>924</v>
      </c>
    </row>
    <row r="14" spans="1:8">
      <c r="A14" t="s">
        <v>1850</v>
      </c>
      <c r="B14" s="13">
        <v>522.27</v>
      </c>
      <c r="C14" s="33">
        <v>45117</v>
      </c>
      <c r="D14" t="s">
        <v>911</v>
      </c>
      <c r="E14" t="s">
        <v>924</v>
      </c>
    </row>
    <row r="15" spans="1:8">
      <c r="A15" t="s">
        <v>1785</v>
      </c>
      <c r="B15" s="13">
        <v>360</v>
      </c>
      <c r="C15" s="33">
        <v>45117</v>
      </c>
      <c r="D15" t="s">
        <v>911</v>
      </c>
      <c r="E15" t="s">
        <v>924</v>
      </c>
    </row>
    <row r="16" spans="1:8">
      <c r="A16" t="s">
        <v>1912</v>
      </c>
      <c r="B16" s="13">
        <v>820.57</v>
      </c>
      <c r="C16" s="33">
        <v>45117</v>
      </c>
      <c r="D16" t="s">
        <v>911</v>
      </c>
      <c r="E16" t="s">
        <v>924</v>
      </c>
    </row>
    <row r="17" spans="1:5">
      <c r="A17" t="s">
        <v>2335</v>
      </c>
      <c r="B17" s="13">
        <v>58.99</v>
      </c>
      <c r="C17" s="33">
        <v>45117</v>
      </c>
      <c r="D17" t="s">
        <v>911</v>
      </c>
      <c r="E17" t="s">
        <v>926</v>
      </c>
    </row>
    <row r="18" spans="1:5">
      <c r="A18" t="s">
        <v>2292</v>
      </c>
      <c r="B18" s="13">
        <v>2615</v>
      </c>
      <c r="C18" s="33">
        <v>45118</v>
      </c>
      <c r="D18" t="s">
        <v>911</v>
      </c>
      <c r="E18" t="s">
        <v>924</v>
      </c>
    </row>
    <row r="19" spans="1:5">
      <c r="A19" t="s">
        <v>2342</v>
      </c>
      <c r="B19" s="13">
        <v>720</v>
      </c>
      <c r="C19" s="33">
        <v>45118</v>
      </c>
      <c r="D19" t="s">
        <v>911</v>
      </c>
      <c r="E19" t="s">
        <v>924</v>
      </c>
    </row>
    <row r="20" spans="1:5">
      <c r="A20" t="s">
        <v>2346</v>
      </c>
      <c r="B20" s="13">
        <v>255</v>
      </c>
      <c r="C20" s="33">
        <v>45118</v>
      </c>
      <c r="D20" t="s">
        <v>911</v>
      </c>
      <c r="E20" t="s">
        <v>924</v>
      </c>
    </row>
    <row r="21" spans="1:5">
      <c r="A21" t="s">
        <v>2279</v>
      </c>
      <c r="B21" s="13">
        <v>225</v>
      </c>
      <c r="C21" s="33">
        <v>45118</v>
      </c>
      <c r="D21" t="s">
        <v>911</v>
      </c>
      <c r="E21" t="s">
        <v>924</v>
      </c>
    </row>
    <row r="22" spans="1:5">
      <c r="A22" t="s">
        <v>2351</v>
      </c>
      <c r="B22" s="13">
        <v>1650</v>
      </c>
      <c r="C22" s="33">
        <v>45118</v>
      </c>
      <c r="D22" t="s">
        <v>911</v>
      </c>
      <c r="E22" t="s">
        <v>927</v>
      </c>
    </row>
    <row r="23" spans="1:5">
      <c r="A23" t="s">
        <v>2279</v>
      </c>
      <c r="B23" s="13">
        <v>275</v>
      </c>
      <c r="C23" s="33">
        <v>45119</v>
      </c>
      <c r="D23" t="s">
        <v>911</v>
      </c>
      <c r="E23" t="s">
        <v>924</v>
      </c>
    </row>
    <row r="24" spans="1:5">
      <c r="A24" t="s">
        <v>2370</v>
      </c>
      <c r="B24" s="13">
        <v>155</v>
      </c>
      <c r="C24" s="33">
        <v>45119</v>
      </c>
      <c r="D24" t="s">
        <v>911</v>
      </c>
      <c r="E24" t="s">
        <v>926</v>
      </c>
    </row>
    <row r="25" spans="1:5">
      <c r="A25" t="s">
        <v>1761</v>
      </c>
      <c r="B25" s="13">
        <v>933</v>
      </c>
      <c r="C25" s="33">
        <v>45119</v>
      </c>
      <c r="D25" t="s">
        <v>911</v>
      </c>
      <c r="E25" t="s">
        <v>924</v>
      </c>
    </row>
    <row r="26" spans="1:5">
      <c r="A26" t="s">
        <v>1837</v>
      </c>
      <c r="B26" s="13">
        <v>360.09</v>
      </c>
      <c r="C26" s="33">
        <v>45119</v>
      </c>
      <c r="D26" t="s">
        <v>911</v>
      </c>
      <c r="E26" t="s">
        <v>924</v>
      </c>
    </row>
    <row r="27" spans="1:5">
      <c r="A27" t="s">
        <v>1852</v>
      </c>
      <c r="B27" s="13">
        <v>469.89</v>
      </c>
      <c r="C27" s="33">
        <v>45119</v>
      </c>
      <c r="D27" t="s">
        <v>911</v>
      </c>
      <c r="E27" t="s">
        <v>924</v>
      </c>
    </row>
    <row r="28" spans="1:5">
      <c r="A28" t="s">
        <v>1897</v>
      </c>
      <c r="B28" s="13">
        <v>911</v>
      </c>
      <c r="C28" s="33">
        <v>45119</v>
      </c>
      <c r="D28" t="s">
        <v>911</v>
      </c>
      <c r="E28" t="s">
        <v>924</v>
      </c>
    </row>
    <row r="29" spans="1:5">
      <c r="A29" t="s">
        <v>1833</v>
      </c>
      <c r="B29" s="13">
        <v>731.14</v>
      </c>
      <c r="C29" s="33">
        <v>45119</v>
      </c>
      <c r="D29" t="s">
        <v>911</v>
      </c>
      <c r="E29" t="s">
        <v>924</v>
      </c>
    </row>
    <row r="30" spans="1:5">
      <c r="A30" t="s">
        <v>2371</v>
      </c>
      <c r="B30" s="13">
        <v>184</v>
      </c>
      <c r="C30" s="33">
        <v>45119</v>
      </c>
      <c r="D30" t="s">
        <v>911</v>
      </c>
      <c r="E30" t="s">
        <v>926</v>
      </c>
    </row>
    <row r="31" spans="1:5">
      <c r="A31" t="s">
        <v>2378</v>
      </c>
      <c r="B31" s="13">
        <v>50</v>
      </c>
      <c r="C31" s="33">
        <v>45119</v>
      </c>
      <c r="D31" t="s">
        <v>911</v>
      </c>
      <c r="E31" t="s">
        <v>925</v>
      </c>
    </row>
    <row r="32" spans="1:5">
      <c r="A32" t="s">
        <v>2393</v>
      </c>
      <c r="B32" s="13">
        <v>1150</v>
      </c>
      <c r="C32" s="33">
        <v>45120</v>
      </c>
      <c r="D32" t="s">
        <v>911</v>
      </c>
      <c r="E32" t="s">
        <v>924</v>
      </c>
    </row>
    <row r="33" spans="1:5">
      <c r="A33" t="s">
        <v>2403</v>
      </c>
      <c r="B33" s="13">
        <v>120</v>
      </c>
      <c r="C33" s="33">
        <v>45120</v>
      </c>
      <c r="D33" t="s">
        <v>911</v>
      </c>
      <c r="E33" t="s">
        <v>924</v>
      </c>
    </row>
    <row r="34" spans="1:5">
      <c r="A34" t="s">
        <v>1920</v>
      </c>
      <c r="B34" s="13">
        <v>310.5</v>
      </c>
      <c r="C34" s="33">
        <v>45120</v>
      </c>
      <c r="D34" t="s">
        <v>911</v>
      </c>
      <c r="E34" t="s">
        <v>924</v>
      </c>
    </row>
    <row r="35" spans="1:5">
      <c r="A35" t="s">
        <v>1807</v>
      </c>
      <c r="B35" s="13">
        <v>1080.54</v>
      </c>
      <c r="C35" s="33">
        <v>45120</v>
      </c>
      <c r="D35" t="s">
        <v>911</v>
      </c>
      <c r="E35" t="s">
        <v>927</v>
      </c>
    </row>
    <row r="36" spans="1:5">
      <c r="A36" t="s">
        <v>2417</v>
      </c>
      <c r="B36" s="13">
        <v>1920</v>
      </c>
      <c r="C36" s="33">
        <v>45120</v>
      </c>
      <c r="D36" t="s">
        <v>911</v>
      </c>
      <c r="E36" t="s">
        <v>927</v>
      </c>
    </row>
    <row r="37" spans="1:5">
      <c r="A37" t="s">
        <v>2418</v>
      </c>
      <c r="B37" s="13">
        <v>165.13</v>
      </c>
      <c r="C37" s="33">
        <v>45121</v>
      </c>
      <c r="D37" t="s">
        <v>911</v>
      </c>
      <c r="E37" t="s">
        <v>926</v>
      </c>
    </row>
    <row r="38" spans="1:5">
      <c r="A38" t="s">
        <v>1989</v>
      </c>
      <c r="B38" s="13">
        <v>424.18</v>
      </c>
      <c r="C38" s="33">
        <v>45121</v>
      </c>
      <c r="D38" t="s">
        <v>911</v>
      </c>
      <c r="E38" t="s">
        <v>924</v>
      </c>
    </row>
    <row r="39" spans="1:5">
      <c r="A39" t="s">
        <v>1777</v>
      </c>
      <c r="B39" s="13">
        <v>296.26</v>
      </c>
      <c r="C39" s="33">
        <v>45121</v>
      </c>
      <c r="D39" t="s">
        <v>911</v>
      </c>
      <c r="E39" t="s">
        <v>924</v>
      </c>
    </row>
    <row r="40" spans="1:5">
      <c r="A40" t="s">
        <v>1545</v>
      </c>
      <c r="B40" s="13">
        <v>935.71</v>
      </c>
      <c r="C40" s="33">
        <v>45121</v>
      </c>
      <c r="D40" t="s">
        <v>911</v>
      </c>
      <c r="E40" t="s">
        <v>926</v>
      </c>
    </row>
    <row r="41" spans="1:5">
      <c r="A41" t="s">
        <v>1930</v>
      </c>
      <c r="B41" s="13">
        <v>1910.99</v>
      </c>
      <c r="C41" s="33">
        <v>45122</v>
      </c>
      <c r="D41" t="s">
        <v>911</v>
      </c>
      <c r="E41" t="s">
        <v>924</v>
      </c>
    </row>
    <row r="42" spans="1:5">
      <c r="A42" t="s">
        <v>1775</v>
      </c>
      <c r="B42" s="13">
        <v>800</v>
      </c>
      <c r="C42" s="33">
        <v>45122</v>
      </c>
      <c r="D42" t="s">
        <v>911</v>
      </c>
      <c r="E42" t="s">
        <v>926</v>
      </c>
    </row>
    <row r="43" spans="1:5">
      <c r="A43" t="s">
        <v>1776</v>
      </c>
      <c r="B43" s="13">
        <v>750</v>
      </c>
      <c r="C43" s="33">
        <v>45122</v>
      </c>
      <c r="D43" t="s">
        <v>911</v>
      </c>
      <c r="E43" t="s">
        <v>926</v>
      </c>
    </row>
    <row r="44" spans="1:5">
      <c r="A44" t="s">
        <v>830</v>
      </c>
      <c r="B44" s="13">
        <v>150</v>
      </c>
      <c r="C44" s="33">
        <v>45122</v>
      </c>
      <c r="D44" t="s">
        <v>911</v>
      </c>
      <c r="E44" t="s">
        <v>830</v>
      </c>
    </row>
    <row r="45" spans="1:5">
      <c r="A45" t="s">
        <v>2469</v>
      </c>
      <c r="B45" s="13">
        <v>120</v>
      </c>
      <c r="C45" s="33">
        <v>45124</v>
      </c>
      <c r="D45" t="s">
        <v>911</v>
      </c>
      <c r="E45" t="s">
        <v>925</v>
      </c>
    </row>
    <row r="46" spans="1:5">
      <c r="A46" t="s">
        <v>1814</v>
      </c>
      <c r="B46" s="13">
        <v>0</v>
      </c>
      <c r="C46" s="33">
        <v>45124</v>
      </c>
      <c r="D46" t="s">
        <v>911</v>
      </c>
      <c r="E46" t="s">
        <v>924</v>
      </c>
    </row>
    <row r="47" spans="1:5">
      <c r="A47" t="s">
        <v>1964</v>
      </c>
      <c r="B47" s="13">
        <v>438.92</v>
      </c>
      <c r="C47" s="33">
        <v>45124</v>
      </c>
      <c r="D47" t="s">
        <v>911</v>
      </c>
      <c r="E47" t="s">
        <v>924</v>
      </c>
    </row>
    <row r="48" spans="1:5">
      <c r="A48" t="s">
        <v>2352</v>
      </c>
      <c r="B48" s="13">
        <v>672</v>
      </c>
      <c r="C48" s="33">
        <v>45124</v>
      </c>
      <c r="D48" t="s">
        <v>911</v>
      </c>
      <c r="E48" t="s">
        <v>924</v>
      </c>
    </row>
    <row r="49" spans="1:5">
      <c r="A49" t="s">
        <v>2417</v>
      </c>
      <c r="B49" s="13">
        <v>1960</v>
      </c>
      <c r="C49" s="33">
        <v>45124</v>
      </c>
      <c r="D49" t="s">
        <v>911</v>
      </c>
      <c r="E49" t="s">
        <v>927</v>
      </c>
    </row>
    <row r="50" spans="1:5">
      <c r="A50" t="s">
        <v>2279</v>
      </c>
      <c r="B50" s="13">
        <v>70</v>
      </c>
      <c r="C50" s="33">
        <v>45124</v>
      </c>
      <c r="D50" t="s">
        <v>911</v>
      </c>
      <c r="E50" t="s">
        <v>924</v>
      </c>
    </row>
    <row r="51" spans="1:5">
      <c r="A51" t="s">
        <v>2575</v>
      </c>
      <c r="B51" s="13">
        <v>2700</v>
      </c>
      <c r="C51" s="33">
        <v>45125</v>
      </c>
      <c r="D51" t="s">
        <v>911</v>
      </c>
      <c r="E51" t="s">
        <v>927</v>
      </c>
    </row>
    <row r="52" spans="1:5">
      <c r="A52" t="s">
        <v>1946</v>
      </c>
      <c r="B52" s="13">
        <v>0</v>
      </c>
      <c r="C52" s="33">
        <v>45125</v>
      </c>
      <c r="D52" t="s">
        <v>911</v>
      </c>
      <c r="E52" t="s">
        <v>924</v>
      </c>
    </row>
    <row r="53" spans="1:5">
      <c r="A53" t="s">
        <v>1762</v>
      </c>
      <c r="B53" s="13">
        <v>933</v>
      </c>
      <c r="C53" s="33">
        <v>45125</v>
      </c>
      <c r="D53" t="s">
        <v>911</v>
      </c>
      <c r="E53" t="s">
        <v>924</v>
      </c>
    </row>
    <row r="54" spans="1:5">
      <c r="A54" t="s">
        <v>1936</v>
      </c>
      <c r="B54" s="13">
        <v>1970.9</v>
      </c>
      <c r="C54" s="33">
        <v>45125</v>
      </c>
      <c r="D54" t="s">
        <v>911</v>
      </c>
      <c r="E54" t="s">
        <v>927</v>
      </c>
    </row>
  </sheetData>
  <mergeCells count="1">
    <mergeCell ref="F1:G1"/>
  </mergeCells>
  <conditionalFormatting sqref="A1:F1">
    <cfRule type="expression" dxfId="35" priority="755">
      <formula>$G1="OK"</formula>
    </cfRule>
    <cfRule type="expression" dxfId="34" priority="756">
      <formula>$G1="A DEPOSITAR"</formula>
    </cfRule>
  </conditionalFormatting>
  <conditionalFormatting sqref="G1">
    <cfRule type="expression" dxfId="33" priority="753">
      <formula>$G1="OK"</formula>
    </cfRule>
    <cfRule type="expression" dxfId="32" priority="754">
      <formula>$G1="A DEPOSITAR"</formula>
    </cfRule>
  </conditionalFormatting>
  <conditionalFormatting sqref="A8:B8">
    <cfRule type="expression" dxfId="31" priority="23">
      <formula>$G8="OK"</formula>
    </cfRule>
    <cfRule type="expression" dxfId="30" priority="24">
      <formula>$G8="A DEPOSITAR"</formula>
    </cfRule>
  </conditionalFormatting>
  <conditionalFormatting sqref="A9:B9">
    <cfRule type="expression" dxfId="29" priority="21">
      <formula>$G9="OK"</formula>
    </cfRule>
    <cfRule type="expression" dxfId="28" priority="22">
      <formula>$G9="A DEPOSITAR"</formula>
    </cfRule>
  </conditionalFormatting>
  <conditionalFormatting sqref="A10:B11 A12">
    <cfRule type="expression" dxfId="27" priority="19">
      <formula>$G10="OK"</formula>
    </cfRule>
    <cfRule type="expression" dxfId="26" priority="20">
      <formula>$G10="A DEPOSITAR"</formula>
    </cfRule>
  </conditionalFormatting>
  <conditionalFormatting sqref="A13:B16 A17:A24">
    <cfRule type="expression" dxfId="25" priority="17">
      <formula>$G13="OK"</formula>
    </cfRule>
    <cfRule type="expression" dxfId="24" priority="18">
      <formula>$G13="A DEPOSITAR"</formula>
    </cfRule>
  </conditionalFormatting>
  <conditionalFormatting sqref="A25:B29 A30:A33 A36:A37">
    <cfRule type="expression" dxfId="23" priority="15">
      <formula>$G25="OK"</formula>
    </cfRule>
    <cfRule type="expression" dxfId="22" priority="16">
      <formula>$G25="A DEPOSITAR"</formula>
    </cfRule>
  </conditionalFormatting>
  <conditionalFormatting sqref="A34:B35">
    <cfRule type="expression" dxfId="21" priority="13">
      <formula>$G34="OK"</formula>
    </cfRule>
    <cfRule type="expression" dxfId="20" priority="14">
      <formula>$G34="A DEPOSITAR"</formula>
    </cfRule>
  </conditionalFormatting>
  <conditionalFormatting sqref="A38:B39">
    <cfRule type="expression" dxfId="19" priority="11">
      <formula>$G38="OK"</formula>
    </cfRule>
    <cfRule type="expression" dxfId="18" priority="12">
      <formula>$G38="A DEPOSITAR"</formula>
    </cfRule>
  </conditionalFormatting>
  <conditionalFormatting sqref="A40:B40">
    <cfRule type="expression" dxfId="17" priority="9">
      <formula>$G40="OK"</formula>
    </cfRule>
    <cfRule type="expression" dxfId="16" priority="10">
      <formula>$G40="A DEPOSITAR"</formula>
    </cfRule>
  </conditionalFormatting>
  <conditionalFormatting sqref="A41:B41">
    <cfRule type="expression" dxfId="15" priority="7">
      <formula>$G41="OK"</formula>
    </cfRule>
    <cfRule type="expression" dxfId="14" priority="8">
      <formula>$G41="A DEPOSITAR"</formula>
    </cfRule>
  </conditionalFormatting>
  <conditionalFormatting sqref="A46:B48 A49:A51">
    <cfRule type="expression" dxfId="13" priority="5">
      <formula>$G46="OK"</formula>
    </cfRule>
    <cfRule type="expression" dxfId="12" priority="6">
      <formula>$G46="A DEPOSITAR"</formula>
    </cfRule>
  </conditionalFormatting>
  <conditionalFormatting sqref="A52:B53">
    <cfRule type="expression" dxfId="3" priority="3">
      <formula>$G52="OK"</formula>
    </cfRule>
    <cfRule type="expression" dxfId="2" priority="4">
      <formula>$G52="A DEPOSITAR"</formula>
    </cfRule>
  </conditionalFormatting>
  <conditionalFormatting sqref="A54:B54">
    <cfRule type="expression" dxfId="1" priority="1">
      <formula>$G54="OK"</formula>
    </cfRule>
    <cfRule type="expression" dxfId="0" priority="2">
      <formula>$G54="A DEPOSITAR"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B7DB1-9019-4291-ACF7-59A7FF9F15AC}">
  <sheetPr codeName="Planilha3">
    <tabColor theme="3"/>
  </sheetPr>
  <dimension ref="A1:Q16"/>
  <sheetViews>
    <sheetView workbookViewId="0">
      <selection activeCell="F2" sqref="F2"/>
    </sheetView>
  </sheetViews>
  <sheetFormatPr defaultRowHeight="15"/>
  <cols>
    <col min="1" max="1" width="20.28515625" bestFit="1" customWidth="1"/>
    <col min="2" max="2" width="14.28515625" bestFit="1" customWidth="1"/>
    <col min="4" max="4" width="5.85546875" bestFit="1" customWidth="1"/>
    <col min="5" max="5" width="12.140625" bestFit="1" customWidth="1"/>
    <col min="6" max="6" width="8.28515625" bestFit="1" customWidth="1"/>
    <col min="7" max="11" width="5" bestFit="1" customWidth="1"/>
    <col min="12" max="17" width="6" bestFit="1" customWidth="1"/>
  </cols>
  <sheetData>
    <row r="1" spans="1:17">
      <c r="A1" t="s">
        <v>1471</v>
      </c>
      <c r="B1" t="s">
        <v>1486</v>
      </c>
      <c r="D1" t="s">
        <v>1472</v>
      </c>
      <c r="E1" t="s">
        <v>1473</v>
      </c>
      <c r="F1" t="s">
        <v>1475</v>
      </c>
      <c r="G1" t="s">
        <v>1474</v>
      </c>
      <c r="H1" t="s">
        <v>1476</v>
      </c>
      <c r="I1" t="s">
        <v>1477</v>
      </c>
      <c r="J1" t="s">
        <v>1478</v>
      </c>
      <c r="K1" t="s">
        <v>1479</v>
      </c>
      <c r="L1" t="s">
        <v>1480</v>
      </c>
      <c r="M1" t="s">
        <v>1481</v>
      </c>
      <c r="N1" t="s">
        <v>1482</v>
      </c>
      <c r="O1" t="s">
        <v>1483</v>
      </c>
      <c r="P1" t="s">
        <v>1484</v>
      </c>
      <c r="Q1" t="s">
        <v>1485</v>
      </c>
    </row>
    <row r="2" spans="1:17">
      <c r="A2" t="s">
        <v>4</v>
      </c>
      <c r="B2" s="13">
        <f>SUBTOTAL(9,Inicio!E4:E1048576)</f>
        <v>0</v>
      </c>
      <c r="E2" t="s">
        <v>827</v>
      </c>
      <c r="F2" t="s">
        <v>831</v>
      </c>
      <c r="G2" t="s">
        <v>1364</v>
      </c>
      <c r="H2" t="s">
        <v>1365</v>
      </c>
      <c r="I2" t="s">
        <v>1366</v>
      </c>
      <c r="J2" t="s">
        <v>1367</v>
      </c>
      <c r="K2" t="s">
        <v>1368</v>
      </c>
      <c r="L2" t="s">
        <v>1369</v>
      </c>
      <c r="M2" t="s">
        <v>1370</v>
      </c>
      <c r="N2" t="s">
        <v>1371</v>
      </c>
      <c r="O2" t="s">
        <v>1372</v>
      </c>
      <c r="P2" t="s">
        <v>1373</v>
      </c>
      <c r="Q2" t="s">
        <v>1376</v>
      </c>
    </row>
    <row r="3" spans="1:17">
      <c r="A3" t="s">
        <v>16</v>
      </c>
      <c r="B3" s="13">
        <f>SUM(valor)-'A Pagar'!L1</f>
        <v>81217.580000000118</v>
      </c>
      <c r="D3" t="s">
        <v>1374</v>
      </c>
      <c r="E3">
        <v>1.79</v>
      </c>
      <c r="F3">
        <v>3.69</v>
      </c>
      <c r="G3">
        <v>5.99</v>
      </c>
      <c r="H3">
        <v>6.29</v>
      </c>
      <c r="I3">
        <v>7.15</v>
      </c>
      <c r="J3">
        <v>7.99</v>
      </c>
      <c r="K3">
        <v>8.7899999999999991</v>
      </c>
      <c r="L3">
        <v>9.59</v>
      </c>
      <c r="M3">
        <v>10.39</v>
      </c>
      <c r="N3">
        <v>11.19</v>
      </c>
      <c r="O3">
        <v>11.99</v>
      </c>
      <c r="P3">
        <v>12.79</v>
      </c>
      <c r="Q3">
        <v>13.49</v>
      </c>
    </row>
    <row r="4" spans="1:17">
      <c r="A4" t="s">
        <v>5</v>
      </c>
      <c r="B4" s="13">
        <f>SUM(Inicio!E4:E1048576)</f>
        <v>56158.909999999982</v>
      </c>
      <c r="D4" t="s">
        <v>1375</v>
      </c>
      <c r="E4">
        <v>1.25</v>
      </c>
      <c r="F4">
        <v>3.66</v>
      </c>
      <c r="G4">
        <v>4.87</v>
      </c>
      <c r="H4">
        <v>6.05</v>
      </c>
      <c r="I4">
        <v>7.23</v>
      </c>
      <c r="J4">
        <v>8.41</v>
      </c>
      <c r="K4">
        <v>9.59</v>
      </c>
      <c r="L4">
        <v>11.07</v>
      </c>
      <c r="M4">
        <v>12.25</v>
      </c>
      <c r="N4">
        <v>13.43</v>
      </c>
      <c r="O4">
        <v>14.61</v>
      </c>
      <c r="P4">
        <v>15.79</v>
      </c>
      <c r="Q4">
        <v>16.97</v>
      </c>
    </row>
    <row r="5" spans="1:17">
      <c r="A5" t="s">
        <v>17</v>
      </c>
      <c r="B5" s="13">
        <f>Despesas!H1</f>
        <v>43303.33</v>
      </c>
    </row>
    <row r="6" spans="1:17">
      <c r="A6" t="s">
        <v>830</v>
      </c>
      <c r="B6" s="13">
        <f>SUMIF(Despesas!$E:$E,A6,Despesas!$B:$B)</f>
        <v>150</v>
      </c>
    </row>
    <row r="7" spans="1:17">
      <c r="A7" t="s">
        <v>924</v>
      </c>
      <c r="B7" s="13">
        <f>SUMIF(Despesas!$E:$E,A7,Despesas!$B:$B)</f>
        <v>21959.559999999998</v>
      </c>
    </row>
    <row r="8" spans="1:17">
      <c r="A8" t="s">
        <v>927</v>
      </c>
      <c r="B8" s="13">
        <f>SUMIF(Despesas!$E:$E,A8,Despesas!$B:$B)</f>
        <v>16247.94</v>
      </c>
    </row>
    <row r="9" spans="1:17">
      <c r="A9" t="s">
        <v>926</v>
      </c>
      <c r="B9" s="13">
        <f>SUMIF(Despesas!$E:$E,A9,Despesas!$B:$B)</f>
        <v>4548.83</v>
      </c>
    </row>
    <row r="10" spans="1:17">
      <c r="A10" t="s">
        <v>925</v>
      </c>
      <c r="B10" s="13">
        <f>SUMIF(Despesas!$E:$E,A10,Despesas!$B:$B)</f>
        <v>397</v>
      </c>
    </row>
    <row r="11" spans="1:17">
      <c r="A11" t="s">
        <v>827</v>
      </c>
      <c r="B11" s="13">
        <f>SUMIF(Inicio!$D3:$D1048576,A11,Inicio!$E3:$E1048576)</f>
        <v>11005.68</v>
      </c>
    </row>
    <row r="12" spans="1:17">
      <c r="A12" t="s">
        <v>831</v>
      </c>
      <c r="B12" s="13">
        <f>SUMIF(Inicio!$D3:$D1048576,A12,Inicio!$E3:$E1048576)</f>
        <v>3677.84</v>
      </c>
    </row>
    <row r="13" spans="1:17">
      <c r="A13" t="s">
        <v>826</v>
      </c>
      <c r="B13" s="13">
        <f>SUMIF(Inicio!$D3:$D1048576,A13,Inicio!$E3:$E1048576)</f>
        <v>20544.099999999999</v>
      </c>
      <c r="E13" s="17"/>
    </row>
    <row r="14" spans="1:17">
      <c r="A14" t="s">
        <v>949</v>
      </c>
      <c r="B14" s="13">
        <f>B4-(B11+B12+B13+B15+B16)</f>
        <v>5237.2399999999834</v>
      </c>
    </row>
    <row r="15" spans="1:17">
      <c r="A15" t="s">
        <v>825</v>
      </c>
      <c r="B15" s="13">
        <f>SUMIF(Inicio!$D3:$D1048576,A15,Inicio!$E3:$E1048576)</f>
        <v>15524.050000000001</v>
      </c>
    </row>
    <row r="16" spans="1:17">
      <c r="A16" t="s">
        <v>948</v>
      </c>
      <c r="B16" s="13">
        <f>SUMIF(Inicio!$D3:$D1048576,A16,Inicio!$E3:$E1048576)</f>
        <v>170</v>
      </c>
    </row>
  </sheetData>
  <pageMargins left="0.511811024" right="0.511811024" top="0.78740157499999996" bottom="0.78740157499999996" header="0.31496062000000002" footer="0.31496062000000002"/>
  <ignoredErrors>
    <ignoredError sqref="B14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DE80D-9DA0-46A2-83B5-B45DD39FEE64}">
  <sheetPr codeName="Planilha4" filterMode="1">
    <tabColor theme="4" tint="0.59999389629810485"/>
  </sheetPr>
  <dimension ref="A1:P1047847"/>
  <sheetViews>
    <sheetView showGridLines="0" zoomScale="80" zoomScaleNormal="80" workbookViewId="0">
      <pane ySplit="1" topLeftCell="A2" activePane="bottomLeft" state="frozen"/>
      <selection pane="bottomLeft" activeCell="I56" sqref="I56"/>
    </sheetView>
  </sheetViews>
  <sheetFormatPr defaultRowHeight="15"/>
  <cols>
    <col min="1" max="1" width="40" customWidth="1"/>
    <col min="2" max="2" width="13.140625" style="13" customWidth="1"/>
    <col min="3" max="3" width="15.85546875" customWidth="1"/>
    <col min="4" max="4" width="11.85546875" style="33" bestFit="1" customWidth="1"/>
    <col min="5" max="5" width="16" customWidth="1"/>
    <col min="6" max="6" width="8" bestFit="1" customWidth="1"/>
    <col min="7" max="7" width="13.42578125" customWidth="1"/>
    <col min="8" max="8" width="8.85546875" customWidth="1"/>
    <col min="9" max="9" width="13" bestFit="1" customWidth="1"/>
    <col min="10" max="12" width="15.5703125" customWidth="1"/>
    <col min="13" max="13" width="11" bestFit="1" customWidth="1"/>
    <col min="14" max="14" width="11.5703125" bestFit="1" customWidth="1"/>
    <col min="15" max="16" width="12.5703125" bestFit="1" customWidth="1"/>
  </cols>
  <sheetData>
    <row r="1" spans="1:16">
      <c r="A1" s="9" t="s">
        <v>8</v>
      </c>
      <c r="B1" s="41" t="s">
        <v>9</v>
      </c>
      <c r="C1" s="10" t="s">
        <v>10</v>
      </c>
      <c r="D1" s="11" t="s">
        <v>11</v>
      </c>
      <c r="E1" s="12" t="s">
        <v>11</v>
      </c>
      <c r="F1" s="12" t="s">
        <v>12</v>
      </c>
      <c r="G1" s="12" t="s">
        <v>1383</v>
      </c>
      <c r="I1" s="14" t="s">
        <v>13</v>
      </c>
      <c r="J1" s="13">
        <f>SUBTOTAL(9,valor)</f>
        <v>30615.860000000004</v>
      </c>
      <c r="K1" s="23" t="s">
        <v>14</v>
      </c>
      <c r="L1" s="22">
        <f>SUMIF(status,"OK",valor)</f>
        <v>31488.699999999997</v>
      </c>
      <c r="M1" s="31" t="s">
        <v>835</v>
      </c>
      <c r="N1" s="32" t="s">
        <v>836</v>
      </c>
      <c r="O1" s="31" t="s">
        <v>837</v>
      </c>
      <c r="P1" s="32" t="s">
        <v>838</v>
      </c>
    </row>
    <row r="2" spans="1:16" hidden="1">
      <c r="A2" t="s">
        <v>1891</v>
      </c>
      <c r="B2" s="13">
        <v>695</v>
      </c>
      <c r="C2" t="s">
        <v>1468</v>
      </c>
      <c r="D2" s="33">
        <v>45108</v>
      </c>
      <c r="E2" t="s">
        <v>1469</v>
      </c>
      <c r="F2">
        <v>1</v>
      </c>
      <c r="G2" t="s">
        <v>1772</v>
      </c>
    </row>
    <row r="3" spans="1:16" hidden="1">
      <c r="A3" t="s">
        <v>1854</v>
      </c>
      <c r="B3" s="13">
        <v>2095.9699999999998</v>
      </c>
      <c r="C3" t="s">
        <v>1195</v>
      </c>
      <c r="D3" s="33">
        <v>45109</v>
      </c>
      <c r="E3" t="s">
        <v>1469</v>
      </c>
      <c r="F3">
        <v>1</v>
      </c>
      <c r="G3" t="s">
        <v>1772</v>
      </c>
    </row>
    <row r="4" spans="1:16" hidden="1">
      <c r="A4" t="s">
        <v>1789</v>
      </c>
      <c r="B4" s="13">
        <v>609.33000000000004</v>
      </c>
      <c r="C4" t="s">
        <v>1468</v>
      </c>
      <c r="D4" s="33">
        <v>45109</v>
      </c>
      <c r="E4" t="s">
        <v>1469</v>
      </c>
      <c r="F4">
        <v>1</v>
      </c>
      <c r="G4" t="s">
        <v>1772</v>
      </c>
    </row>
    <row r="5" spans="1:16" hidden="1">
      <c r="A5" t="s">
        <v>1781</v>
      </c>
      <c r="B5" s="13">
        <v>1181.5999999999999</v>
      </c>
      <c r="C5" t="s">
        <v>1195</v>
      </c>
      <c r="D5" s="33">
        <v>45110</v>
      </c>
      <c r="E5" t="s">
        <v>1469</v>
      </c>
      <c r="F5">
        <v>1</v>
      </c>
      <c r="G5" t="s">
        <v>1772</v>
      </c>
    </row>
    <row r="6" spans="1:16" hidden="1">
      <c r="A6" t="s">
        <v>1901</v>
      </c>
      <c r="B6" s="13">
        <v>1133.67</v>
      </c>
      <c r="C6" t="s">
        <v>1468</v>
      </c>
      <c r="D6" s="33">
        <v>45111</v>
      </c>
      <c r="E6" t="s">
        <v>1469</v>
      </c>
      <c r="F6">
        <v>1</v>
      </c>
      <c r="G6" t="s">
        <v>1772</v>
      </c>
    </row>
    <row r="7" spans="1:16" hidden="1">
      <c r="A7" t="s">
        <v>1945</v>
      </c>
      <c r="B7" s="13">
        <v>0</v>
      </c>
      <c r="C7" t="s">
        <v>1468</v>
      </c>
      <c r="D7" s="33">
        <v>45111</v>
      </c>
      <c r="E7" t="s">
        <v>1469</v>
      </c>
      <c r="F7">
        <v>1</v>
      </c>
      <c r="G7" t="s">
        <v>1772</v>
      </c>
    </row>
    <row r="8" spans="1:16" hidden="1">
      <c r="A8" t="s">
        <v>1666</v>
      </c>
      <c r="B8" s="13">
        <v>803.79</v>
      </c>
      <c r="C8" t="s">
        <v>1194</v>
      </c>
      <c r="D8" s="33">
        <v>45111</v>
      </c>
      <c r="E8" t="s">
        <v>1469</v>
      </c>
      <c r="F8">
        <v>1</v>
      </c>
      <c r="G8" t="s">
        <v>1772</v>
      </c>
    </row>
    <row r="9" spans="1:16" hidden="1">
      <c r="A9" t="s">
        <v>1760</v>
      </c>
      <c r="B9" s="13">
        <v>933</v>
      </c>
      <c r="C9" t="s">
        <v>1194</v>
      </c>
      <c r="D9" s="33">
        <v>45112</v>
      </c>
      <c r="E9" t="s">
        <v>1469</v>
      </c>
      <c r="F9">
        <v>1</v>
      </c>
      <c r="G9" t="s">
        <v>1772</v>
      </c>
    </row>
    <row r="10" spans="1:16" hidden="1">
      <c r="A10" t="s">
        <v>1896</v>
      </c>
      <c r="B10" s="13">
        <v>911</v>
      </c>
      <c r="C10" t="s">
        <v>1468</v>
      </c>
      <c r="D10" s="33">
        <v>45112</v>
      </c>
      <c r="E10" t="s">
        <v>1469</v>
      </c>
      <c r="F10">
        <v>1</v>
      </c>
      <c r="G10" t="s">
        <v>1772</v>
      </c>
    </row>
    <row r="11" spans="1:16" hidden="1">
      <c r="A11" t="s">
        <v>1684</v>
      </c>
      <c r="B11" s="13">
        <v>550.55999999999995</v>
      </c>
      <c r="C11" t="s">
        <v>1194</v>
      </c>
      <c r="D11" s="33">
        <v>45112</v>
      </c>
      <c r="E11" t="s">
        <v>1469</v>
      </c>
      <c r="F11">
        <v>1</v>
      </c>
      <c r="G11" t="s">
        <v>1772</v>
      </c>
    </row>
    <row r="12" spans="1:16" hidden="1">
      <c r="A12" t="s">
        <v>1698</v>
      </c>
      <c r="B12" s="13">
        <v>1145.32</v>
      </c>
      <c r="C12" t="s">
        <v>1194</v>
      </c>
      <c r="D12" s="33">
        <v>45113</v>
      </c>
      <c r="E12" t="s">
        <v>1469</v>
      </c>
      <c r="F12">
        <v>1</v>
      </c>
      <c r="G12" t="s">
        <v>1772</v>
      </c>
    </row>
    <row r="13" spans="1:16" hidden="1">
      <c r="A13" t="s">
        <v>1688</v>
      </c>
      <c r="B13" s="13">
        <v>1031</v>
      </c>
      <c r="C13" t="s">
        <v>1194</v>
      </c>
      <c r="D13" s="33">
        <v>45113</v>
      </c>
      <c r="E13" t="s">
        <v>1469</v>
      </c>
      <c r="F13">
        <v>1</v>
      </c>
      <c r="G13" t="s">
        <v>1772</v>
      </c>
    </row>
    <row r="14" spans="1:16" hidden="1">
      <c r="A14" t="s">
        <v>1899</v>
      </c>
      <c r="B14" s="13">
        <v>1650</v>
      </c>
      <c r="C14" t="s">
        <v>1468</v>
      </c>
      <c r="D14" s="33">
        <v>45113</v>
      </c>
      <c r="E14" t="s">
        <v>1469</v>
      </c>
      <c r="F14">
        <v>1</v>
      </c>
      <c r="G14" t="s">
        <v>1772</v>
      </c>
    </row>
    <row r="15" spans="1:16" hidden="1">
      <c r="A15" t="s">
        <v>1820</v>
      </c>
      <c r="B15" s="13">
        <v>486.75</v>
      </c>
      <c r="C15" t="s">
        <v>1195</v>
      </c>
      <c r="D15" s="33">
        <v>45115</v>
      </c>
      <c r="E15" t="s">
        <v>1469</v>
      </c>
      <c r="F15">
        <v>1</v>
      </c>
      <c r="G15" t="s">
        <v>1772</v>
      </c>
    </row>
    <row r="16" spans="1:16">
      <c r="A16" t="s">
        <v>1775</v>
      </c>
      <c r="B16" s="13">
        <v>1200</v>
      </c>
      <c r="C16" t="s">
        <v>747</v>
      </c>
      <c r="D16" s="33">
        <v>45112</v>
      </c>
      <c r="E16" t="s">
        <v>1469</v>
      </c>
      <c r="F16">
        <v>1</v>
      </c>
      <c r="G16" t="s">
        <v>746</v>
      </c>
    </row>
    <row r="17" spans="1:7">
      <c r="A17" t="s">
        <v>1776</v>
      </c>
      <c r="B17" s="13">
        <v>750</v>
      </c>
      <c r="C17" t="s">
        <v>747</v>
      </c>
      <c r="D17" s="33">
        <v>45112</v>
      </c>
      <c r="E17" t="s">
        <v>1469</v>
      </c>
      <c r="F17">
        <v>1</v>
      </c>
      <c r="G17" t="s">
        <v>746</v>
      </c>
    </row>
    <row r="18" spans="1:7" hidden="1">
      <c r="A18" t="s">
        <v>1774</v>
      </c>
      <c r="B18" s="13">
        <v>1500</v>
      </c>
      <c r="C18" t="s">
        <v>747</v>
      </c>
      <c r="D18" s="33">
        <v>45112</v>
      </c>
      <c r="E18" t="s">
        <v>1469</v>
      </c>
      <c r="F18">
        <v>1</v>
      </c>
      <c r="G18" t="s">
        <v>1772</v>
      </c>
    </row>
    <row r="19" spans="1:7" hidden="1">
      <c r="A19" t="s">
        <v>1925</v>
      </c>
      <c r="B19" s="13">
        <v>966.5</v>
      </c>
      <c r="C19" t="s">
        <v>1468</v>
      </c>
      <c r="D19" s="33">
        <v>45116</v>
      </c>
      <c r="E19" t="s">
        <v>1469</v>
      </c>
      <c r="F19">
        <v>2</v>
      </c>
      <c r="G19" t="s">
        <v>1772</v>
      </c>
    </row>
    <row r="20" spans="1:7" hidden="1">
      <c r="A20" t="s">
        <v>1913</v>
      </c>
      <c r="B20" s="13">
        <v>1289.5</v>
      </c>
      <c r="C20" t="s">
        <v>1468</v>
      </c>
      <c r="D20" s="33">
        <v>45116</v>
      </c>
      <c r="E20" t="s">
        <v>1469</v>
      </c>
      <c r="F20">
        <v>2</v>
      </c>
      <c r="G20" t="s">
        <v>1772</v>
      </c>
    </row>
    <row r="21" spans="1:7" hidden="1">
      <c r="A21" t="s">
        <v>1821</v>
      </c>
      <c r="B21" s="13">
        <v>424.75</v>
      </c>
      <c r="C21" t="s">
        <v>1195</v>
      </c>
      <c r="D21" s="33">
        <v>45117</v>
      </c>
      <c r="E21" t="s">
        <v>1469</v>
      </c>
      <c r="F21">
        <v>2</v>
      </c>
      <c r="G21" t="s">
        <v>1772</v>
      </c>
    </row>
    <row r="22" spans="1:7" hidden="1">
      <c r="A22" t="s">
        <v>1850</v>
      </c>
      <c r="B22" s="13">
        <v>522.27</v>
      </c>
      <c r="C22" t="s">
        <v>1468</v>
      </c>
      <c r="D22" s="33">
        <v>45117</v>
      </c>
      <c r="E22" t="s">
        <v>1469</v>
      </c>
      <c r="F22">
        <v>2</v>
      </c>
      <c r="G22" t="s">
        <v>1772</v>
      </c>
    </row>
    <row r="23" spans="1:7" hidden="1">
      <c r="A23" t="s">
        <v>1785</v>
      </c>
      <c r="B23" s="13">
        <v>360</v>
      </c>
      <c r="C23" t="s">
        <v>1195</v>
      </c>
      <c r="D23" s="33">
        <v>45118</v>
      </c>
      <c r="E23" t="s">
        <v>1469</v>
      </c>
      <c r="F23">
        <v>2</v>
      </c>
      <c r="G23" t="s">
        <v>1772</v>
      </c>
    </row>
    <row r="24" spans="1:7" hidden="1">
      <c r="A24" t="s">
        <v>1912</v>
      </c>
      <c r="B24" s="13">
        <v>820.57</v>
      </c>
      <c r="C24" t="s">
        <v>1468</v>
      </c>
      <c r="D24" s="33">
        <v>45118</v>
      </c>
      <c r="E24" t="s">
        <v>1469</v>
      </c>
      <c r="F24">
        <v>2</v>
      </c>
      <c r="G24" t="s">
        <v>1772</v>
      </c>
    </row>
    <row r="25" spans="1:7" hidden="1">
      <c r="A25" t="s">
        <v>1761</v>
      </c>
      <c r="B25" s="13">
        <v>933</v>
      </c>
      <c r="C25" t="s">
        <v>1194</v>
      </c>
      <c r="D25" s="33">
        <v>45119</v>
      </c>
      <c r="E25" t="s">
        <v>1469</v>
      </c>
      <c r="F25">
        <v>2</v>
      </c>
      <c r="G25" t="s">
        <v>1772</v>
      </c>
    </row>
    <row r="26" spans="1:7" hidden="1">
      <c r="A26" t="s">
        <v>1837</v>
      </c>
      <c r="B26" s="13">
        <v>360.09</v>
      </c>
      <c r="C26" t="s">
        <v>1195</v>
      </c>
      <c r="D26" s="33">
        <v>45119</v>
      </c>
      <c r="E26" t="s">
        <v>1469</v>
      </c>
      <c r="F26">
        <v>2</v>
      </c>
      <c r="G26" t="s">
        <v>1772</v>
      </c>
    </row>
    <row r="27" spans="1:7" hidden="1">
      <c r="A27" t="s">
        <v>1852</v>
      </c>
      <c r="B27" s="13">
        <v>469.89</v>
      </c>
      <c r="C27" t="s">
        <v>1195</v>
      </c>
      <c r="D27" s="33">
        <v>45119</v>
      </c>
      <c r="E27" t="s">
        <v>1469</v>
      </c>
      <c r="F27">
        <v>2</v>
      </c>
      <c r="G27" t="s">
        <v>1772</v>
      </c>
    </row>
    <row r="28" spans="1:7" hidden="1">
      <c r="A28" t="s">
        <v>1897</v>
      </c>
      <c r="B28" s="13">
        <v>911</v>
      </c>
      <c r="C28" t="s">
        <v>1468</v>
      </c>
      <c r="D28" s="33">
        <v>45119</v>
      </c>
      <c r="E28" t="s">
        <v>1469</v>
      </c>
      <c r="F28">
        <v>2</v>
      </c>
      <c r="G28" t="s">
        <v>1772</v>
      </c>
    </row>
    <row r="29" spans="1:7" hidden="1">
      <c r="A29" t="s">
        <v>1833</v>
      </c>
      <c r="B29" s="13">
        <v>731.14</v>
      </c>
      <c r="C29" t="s">
        <v>1468</v>
      </c>
      <c r="D29" s="33">
        <v>45119</v>
      </c>
      <c r="E29" t="s">
        <v>1469</v>
      </c>
      <c r="F29">
        <v>2</v>
      </c>
      <c r="G29" t="s">
        <v>1772</v>
      </c>
    </row>
    <row r="30" spans="1:7" hidden="1">
      <c r="A30" t="s">
        <v>1920</v>
      </c>
      <c r="B30" s="13">
        <v>310.5</v>
      </c>
      <c r="C30" t="s">
        <v>1468</v>
      </c>
      <c r="D30" s="33">
        <v>45120</v>
      </c>
      <c r="E30" t="s">
        <v>1469</v>
      </c>
      <c r="F30">
        <v>2</v>
      </c>
      <c r="G30" t="s">
        <v>1772</v>
      </c>
    </row>
    <row r="31" spans="1:7" hidden="1">
      <c r="A31" t="s">
        <v>1989</v>
      </c>
      <c r="B31" s="13">
        <v>424.18</v>
      </c>
      <c r="C31" t="s">
        <v>1468</v>
      </c>
      <c r="D31" s="33">
        <v>45121</v>
      </c>
      <c r="E31" t="s">
        <v>1469</v>
      </c>
      <c r="F31">
        <v>2</v>
      </c>
      <c r="G31" t="s">
        <v>1772</v>
      </c>
    </row>
    <row r="32" spans="1:7" hidden="1">
      <c r="A32" t="s">
        <v>1777</v>
      </c>
      <c r="B32" s="13">
        <v>296.26</v>
      </c>
      <c r="C32" t="s">
        <v>1195</v>
      </c>
      <c r="D32" s="33">
        <v>45122</v>
      </c>
      <c r="E32" t="s">
        <v>1469</v>
      </c>
      <c r="F32">
        <v>2</v>
      </c>
      <c r="G32" t="s">
        <v>1772</v>
      </c>
    </row>
    <row r="33" spans="1:7" hidden="1">
      <c r="A33" t="s">
        <v>1930</v>
      </c>
      <c r="B33" s="13">
        <v>1910.99</v>
      </c>
      <c r="C33" t="s">
        <v>1468</v>
      </c>
      <c r="D33" s="33">
        <v>45122</v>
      </c>
      <c r="E33" t="s">
        <v>1469</v>
      </c>
      <c r="F33">
        <v>2</v>
      </c>
      <c r="G33" t="s">
        <v>1772</v>
      </c>
    </row>
    <row r="34" spans="1:7" hidden="1">
      <c r="A34" t="s">
        <v>1807</v>
      </c>
      <c r="B34" s="13">
        <v>1080.54</v>
      </c>
      <c r="C34" t="s">
        <v>1468</v>
      </c>
      <c r="D34" s="33">
        <v>45122</v>
      </c>
      <c r="E34" t="s">
        <v>1469</v>
      </c>
      <c r="F34">
        <v>2</v>
      </c>
      <c r="G34" t="s">
        <v>1772</v>
      </c>
    </row>
    <row r="35" spans="1:7" hidden="1">
      <c r="A35" t="s">
        <v>1545</v>
      </c>
      <c r="B35" s="13">
        <v>935.71</v>
      </c>
      <c r="C35" t="s">
        <v>747</v>
      </c>
      <c r="D35" s="33">
        <v>45123</v>
      </c>
      <c r="E35" t="s">
        <v>1469</v>
      </c>
      <c r="F35">
        <v>2</v>
      </c>
      <c r="G35" t="s">
        <v>1772</v>
      </c>
    </row>
    <row r="36" spans="1:7" hidden="1">
      <c r="A36" t="s">
        <v>1814</v>
      </c>
      <c r="B36" s="13">
        <v>0</v>
      </c>
      <c r="C36" t="s">
        <v>1195</v>
      </c>
      <c r="D36" s="33">
        <v>45124</v>
      </c>
      <c r="E36" t="s">
        <v>1469</v>
      </c>
      <c r="F36">
        <v>3</v>
      </c>
      <c r="G36" t="s">
        <v>1772</v>
      </c>
    </row>
    <row r="37" spans="1:7" hidden="1">
      <c r="A37" t="s">
        <v>1964</v>
      </c>
      <c r="B37" s="13">
        <v>438.92</v>
      </c>
      <c r="C37" t="s">
        <v>1468</v>
      </c>
      <c r="D37" s="33">
        <v>45124</v>
      </c>
      <c r="E37" t="s">
        <v>1469</v>
      </c>
      <c r="F37">
        <v>3</v>
      </c>
      <c r="G37" t="s">
        <v>1772</v>
      </c>
    </row>
    <row r="38" spans="1:7" hidden="1">
      <c r="A38" t="s">
        <v>2352</v>
      </c>
      <c r="B38" s="13">
        <v>672</v>
      </c>
      <c r="C38" t="s">
        <v>1469</v>
      </c>
      <c r="D38" s="33">
        <v>45124</v>
      </c>
      <c r="E38" t="s">
        <v>1469</v>
      </c>
      <c r="F38">
        <v>3</v>
      </c>
      <c r="G38" t="s">
        <v>1772</v>
      </c>
    </row>
    <row r="39" spans="1:7" hidden="1">
      <c r="A39" t="s">
        <v>1946</v>
      </c>
      <c r="B39" s="13">
        <v>0</v>
      </c>
      <c r="C39" t="s">
        <v>1468</v>
      </c>
      <c r="D39" s="33">
        <v>45125</v>
      </c>
      <c r="E39" t="s">
        <v>1469</v>
      </c>
      <c r="F39">
        <v>3</v>
      </c>
      <c r="G39" t="s">
        <v>1772</v>
      </c>
    </row>
    <row r="40" spans="1:7" hidden="1">
      <c r="A40" t="s">
        <v>1762</v>
      </c>
      <c r="B40" s="13">
        <v>933</v>
      </c>
      <c r="C40" t="s">
        <v>1194</v>
      </c>
      <c r="D40" s="33">
        <v>45126</v>
      </c>
      <c r="E40" t="s">
        <v>1469</v>
      </c>
      <c r="F40">
        <v>3</v>
      </c>
      <c r="G40" t="s">
        <v>1772</v>
      </c>
    </row>
    <row r="41" spans="1:7">
      <c r="A41" t="s">
        <v>1898</v>
      </c>
      <c r="B41" s="13">
        <v>911</v>
      </c>
      <c r="C41" t="s">
        <v>1468</v>
      </c>
      <c r="D41" s="33">
        <v>45126</v>
      </c>
      <c r="E41" t="s">
        <v>1469</v>
      </c>
      <c r="F41">
        <v>3</v>
      </c>
      <c r="G41" t="s">
        <v>746</v>
      </c>
    </row>
    <row r="42" spans="1:7" hidden="1">
      <c r="A42" t="s">
        <v>1936</v>
      </c>
      <c r="B42" s="13">
        <v>1970.9</v>
      </c>
      <c r="C42" t="s">
        <v>1468</v>
      </c>
      <c r="D42" s="33">
        <v>45127</v>
      </c>
      <c r="E42" t="s">
        <v>1469</v>
      </c>
      <c r="F42">
        <v>3</v>
      </c>
      <c r="G42" t="s">
        <v>1772</v>
      </c>
    </row>
    <row r="43" spans="1:7">
      <c r="A43" t="s">
        <v>1937</v>
      </c>
      <c r="B43" s="13">
        <v>897.55</v>
      </c>
      <c r="C43" t="s">
        <v>1468</v>
      </c>
      <c r="D43" s="33">
        <v>45127</v>
      </c>
      <c r="E43" t="s">
        <v>1469</v>
      </c>
      <c r="F43">
        <v>3</v>
      </c>
      <c r="G43" t="s">
        <v>748</v>
      </c>
    </row>
    <row r="44" spans="1:7">
      <c r="A44" t="s">
        <v>1938</v>
      </c>
      <c r="B44" s="13">
        <v>1667.25</v>
      </c>
      <c r="C44" t="s">
        <v>1468</v>
      </c>
      <c r="D44" s="33">
        <v>45127</v>
      </c>
      <c r="E44" t="s">
        <v>1469</v>
      </c>
      <c r="F44">
        <v>3</v>
      </c>
      <c r="G44" t="s">
        <v>748</v>
      </c>
    </row>
    <row r="45" spans="1:7">
      <c r="A45" t="s">
        <v>1987</v>
      </c>
      <c r="B45" s="13">
        <v>325.63</v>
      </c>
      <c r="C45" t="s">
        <v>1468</v>
      </c>
      <c r="D45" s="33">
        <v>45127</v>
      </c>
      <c r="E45" t="s">
        <v>1469</v>
      </c>
      <c r="F45">
        <v>3</v>
      </c>
      <c r="G45" t="s">
        <v>746</v>
      </c>
    </row>
    <row r="46" spans="1:7">
      <c r="A46" t="s">
        <v>2301</v>
      </c>
      <c r="B46" s="13">
        <v>236.52</v>
      </c>
      <c r="C46" t="s">
        <v>1469</v>
      </c>
      <c r="D46" s="33">
        <v>45127</v>
      </c>
      <c r="E46" t="s">
        <v>1469</v>
      </c>
      <c r="F46">
        <v>3</v>
      </c>
      <c r="G46" t="s">
        <v>746</v>
      </c>
    </row>
    <row r="47" spans="1:7">
      <c r="A47" t="s">
        <v>1733</v>
      </c>
      <c r="B47" s="13">
        <v>474.5</v>
      </c>
      <c r="C47" t="s">
        <v>1194</v>
      </c>
      <c r="D47" s="33">
        <v>45128</v>
      </c>
      <c r="E47" t="s">
        <v>1469</v>
      </c>
      <c r="F47">
        <v>3</v>
      </c>
      <c r="G47" t="s">
        <v>746</v>
      </c>
    </row>
    <row r="48" spans="1:7">
      <c r="A48" t="s">
        <v>2283</v>
      </c>
      <c r="B48" s="13">
        <v>360.3</v>
      </c>
      <c r="C48" t="s">
        <v>1195</v>
      </c>
      <c r="D48" s="33">
        <v>45128</v>
      </c>
      <c r="E48" t="s">
        <v>1469</v>
      </c>
      <c r="F48">
        <v>3</v>
      </c>
      <c r="G48" t="s">
        <v>746</v>
      </c>
    </row>
    <row r="49" spans="1:7">
      <c r="A49" t="s">
        <v>1950</v>
      </c>
      <c r="B49" s="13">
        <v>832.28</v>
      </c>
      <c r="C49" t="s">
        <v>1468</v>
      </c>
      <c r="D49" s="33">
        <v>45128</v>
      </c>
      <c r="E49" t="s">
        <v>1469</v>
      </c>
      <c r="F49">
        <v>3</v>
      </c>
      <c r="G49" t="s">
        <v>748</v>
      </c>
    </row>
    <row r="50" spans="1:7">
      <c r="A50" t="s">
        <v>1926</v>
      </c>
      <c r="B50" s="13">
        <v>966.5</v>
      </c>
      <c r="C50" t="s">
        <v>1468</v>
      </c>
      <c r="D50" s="33">
        <v>45129</v>
      </c>
      <c r="E50" t="s">
        <v>1469</v>
      </c>
      <c r="F50">
        <v>3</v>
      </c>
      <c r="G50" t="s">
        <v>746</v>
      </c>
    </row>
    <row r="51" spans="1:7">
      <c r="A51" t="s">
        <v>1969</v>
      </c>
      <c r="B51" s="13">
        <v>1650</v>
      </c>
      <c r="C51" t="s">
        <v>1468</v>
      </c>
      <c r="D51" s="33">
        <v>45129</v>
      </c>
      <c r="E51" t="s">
        <v>1469</v>
      </c>
      <c r="F51">
        <v>3</v>
      </c>
      <c r="G51" t="s">
        <v>748</v>
      </c>
    </row>
    <row r="52" spans="1:7">
      <c r="A52" t="s">
        <v>1821</v>
      </c>
      <c r="B52" s="13">
        <v>486.77</v>
      </c>
      <c r="C52" t="s">
        <v>1195</v>
      </c>
      <c r="D52" s="33">
        <v>45130</v>
      </c>
      <c r="E52" t="s">
        <v>1469</v>
      </c>
      <c r="F52">
        <v>3</v>
      </c>
      <c r="G52" t="s">
        <v>746</v>
      </c>
    </row>
    <row r="53" spans="1:7">
      <c r="A53" t="s">
        <v>1973</v>
      </c>
      <c r="B53" s="13">
        <v>1010.19</v>
      </c>
      <c r="C53" t="s">
        <v>1468</v>
      </c>
      <c r="D53" s="33">
        <v>45130</v>
      </c>
      <c r="E53" t="s">
        <v>1469</v>
      </c>
      <c r="F53">
        <v>3</v>
      </c>
      <c r="G53" t="s">
        <v>748</v>
      </c>
    </row>
    <row r="54" spans="1:7">
      <c r="A54" t="s">
        <v>1976</v>
      </c>
      <c r="B54" s="13">
        <v>4944</v>
      </c>
      <c r="C54" t="s">
        <v>1468</v>
      </c>
      <c r="D54" s="33">
        <v>45130</v>
      </c>
      <c r="E54" t="s">
        <v>1469</v>
      </c>
      <c r="F54">
        <v>3</v>
      </c>
      <c r="G54" t="s">
        <v>748</v>
      </c>
    </row>
    <row r="55" spans="1:7">
      <c r="A55" t="s">
        <v>1789</v>
      </c>
      <c r="B55" s="13">
        <v>692.32</v>
      </c>
      <c r="C55" t="s">
        <v>1468</v>
      </c>
      <c r="D55" s="33">
        <v>45130</v>
      </c>
      <c r="E55" t="s">
        <v>1469</v>
      </c>
      <c r="F55">
        <v>3</v>
      </c>
      <c r="G55" t="s">
        <v>746</v>
      </c>
    </row>
    <row r="56" spans="1:7">
      <c r="A56" t="s">
        <v>1853</v>
      </c>
      <c r="B56" s="13">
        <v>1149.67</v>
      </c>
      <c r="C56" t="s">
        <v>1195</v>
      </c>
      <c r="D56" s="33">
        <v>45131</v>
      </c>
      <c r="E56" t="s">
        <v>1469</v>
      </c>
      <c r="F56">
        <v>3</v>
      </c>
      <c r="G56" t="s">
        <v>748</v>
      </c>
    </row>
    <row r="57" spans="1:7">
      <c r="A57" t="s">
        <v>1887</v>
      </c>
      <c r="B57" s="13">
        <v>40.869999999999997</v>
      </c>
      <c r="C57" t="s">
        <v>1195</v>
      </c>
      <c r="D57" s="33">
        <v>45131</v>
      </c>
      <c r="E57" t="s">
        <v>1469</v>
      </c>
      <c r="F57">
        <v>3</v>
      </c>
      <c r="G57" t="s">
        <v>746</v>
      </c>
    </row>
    <row r="58" spans="1:7">
      <c r="A58" t="s">
        <v>1887</v>
      </c>
      <c r="B58" s="13">
        <v>504.55</v>
      </c>
      <c r="C58" t="s">
        <v>1195</v>
      </c>
      <c r="D58" s="33">
        <v>45131</v>
      </c>
      <c r="E58" t="s">
        <v>1469</v>
      </c>
      <c r="F58">
        <v>3</v>
      </c>
      <c r="G58" t="s">
        <v>746</v>
      </c>
    </row>
    <row r="59" spans="1:7">
      <c r="A59" t="s">
        <v>1851</v>
      </c>
      <c r="B59" s="13">
        <v>522.27</v>
      </c>
      <c r="C59" t="s">
        <v>1468</v>
      </c>
      <c r="D59" s="33">
        <v>45131</v>
      </c>
      <c r="E59" t="s">
        <v>1469</v>
      </c>
      <c r="F59">
        <v>3</v>
      </c>
      <c r="G59" t="s">
        <v>746</v>
      </c>
    </row>
    <row r="60" spans="1:7">
      <c r="A60" t="s">
        <v>1850</v>
      </c>
      <c r="B60" s="13">
        <v>535.44000000000005</v>
      </c>
      <c r="C60" t="s">
        <v>1469</v>
      </c>
      <c r="D60" s="33">
        <v>45131</v>
      </c>
      <c r="E60" t="s">
        <v>1469</v>
      </c>
      <c r="F60">
        <v>3</v>
      </c>
      <c r="G60" t="s">
        <v>746</v>
      </c>
    </row>
    <row r="61" spans="1:7">
      <c r="A61" t="s">
        <v>1867</v>
      </c>
      <c r="B61" s="13">
        <v>1052.6500000000001</v>
      </c>
      <c r="C61" t="s">
        <v>1195</v>
      </c>
      <c r="D61" s="33">
        <v>45132</v>
      </c>
      <c r="E61" t="s">
        <v>1469</v>
      </c>
      <c r="F61">
        <v>4</v>
      </c>
      <c r="G61" t="s">
        <v>748</v>
      </c>
    </row>
    <row r="62" spans="1:7">
      <c r="A62" t="s">
        <v>1773</v>
      </c>
      <c r="B62" s="13">
        <v>257.33999999999997</v>
      </c>
      <c r="C62" t="s">
        <v>1194</v>
      </c>
      <c r="D62" s="33">
        <v>45132</v>
      </c>
      <c r="E62" t="s">
        <v>1469</v>
      </c>
      <c r="F62">
        <v>4</v>
      </c>
      <c r="G62" t="s">
        <v>746</v>
      </c>
    </row>
    <row r="63" spans="1:7">
      <c r="A63" t="s">
        <v>1501</v>
      </c>
      <c r="B63" s="13">
        <v>541.46</v>
      </c>
      <c r="C63" t="s">
        <v>1468</v>
      </c>
      <c r="D63" s="33">
        <v>45132</v>
      </c>
      <c r="E63" t="s">
        <v>1469</v>
      </c>
      <c r="F63">
        <v>4</v>
      </c>
      <c r="G63" t="s">
        <v>746</v>
      </c>
    </row>
    <row r="64" spans="1:7">
      <c r="A64" t="s">
        <v>1807</v>
      </c>
      <c r="B64" s="13">
        <v>1163.7</v>
      </c>
      <c r="C64" t="s">
        <v>1469</v>
      </c>
      <c r="D64" s="33">
        <v>45132</v>
      </c>
      <c r="E64" t="s">
        <v>1469</v>
      </c>
      <c r="F64">
        <v>4</v>
      </c>
      <c r="G64" t="s">
        <v>746</v>
      </c>
    </row>
    <row r="65" spans="1:7">
      <c r="A65" t="s">
        <v>1907</v>
      </c>
      <c r="B65" s="13">
        <v>67.73</v>
      </c>
      <c r="C65" t="s">
        <v>1468</v>
      </c>
      <c r="D65" s="33">
        <v>45133</v>
      </c>
      <c r="E65" t="s">
        <v>1469</v>
      </c>
      <c r="F65">
        <v>4</v>
      </c>
      <c r="G65" t="s">
        <v>746</v>
      </c>
    </row>
    <row r="66" spans="1:7">
      <c r="A66" t="s">
        <v>1517</v>
      </c>
      <c r="B66" s="13">
        <v>618.15</v>
      </c>
      <c r="C66" t="s">
        <v>1195</v>
      </c>
      <c r="D66" s="33">
        <v>45134</v>
      </c>
      <c r="E66" t="s">
        <v>1469</v>
      </c>
      <c r="F66">
        <v>4</v>
      </c>
      <c r="G66" t="s">
        <v>746</v>
      </c>
    </row>
    <row r="67" spans="1:7" hidden="1">
      <c r="A67" t="s">
        <v>1517</v>
      </c>
      <c r="B67" s="13">
        <v>609.33000000000004</v>
      </c>
      <c r="C67" t="s">
        <v>1468</v>
      </c>
      <c r="D67" s="33">
        <v>45139</v>
      </c>
      <c r="E67" t="s">
        <v>1470</v>
      </c>
      <c r="F67">
        <v>1</v>
      </c>
      <c r="G67" t="s">
        <v>746</v>
      </c>
    </row>
    <row r="68" spans="1:7" hidden="1">
      <c r="A68" t="s">
        <v>1902</v>
      </c>
      <c r="B68" s="13">
        <v>1133.67</v>
      </c>
      <c r="C68" t="s">
        <v>1468</v>
      </c>
      <c r="D68" s="33">
        <v>45139</v>
      </c>
      <c r="E68" t="s">
        <v>1470</v>
      </c>
      <c r="F68">
        <v>1</v>
      </c>
      <c r="G68" t="s">
        <v>746</v>
      </c>
    </row>
    <row r="69" spans="1:7" hidden="1">
      <c r="A69" t="s">
        <v>1947</v>
      </c>
      <c r="B69" s="13">
        <v>0</v>
      </c>
      <c r="C69" t="s">
        <v>1468</v>
      </c>
      <c r="D69" s="33">
        <v>45139</v>
      </c>
      <c r="E69" t="s">
        <v>1470</v>
      </c>
      <c r="F69">
        <v>1</v>
      </c>
      <c r="G69" t="s">
        <v>746</v>
      </c>
    </row>
    <row r="70" spans="1:7" hidden="1">
      <c r="A70" t="s">
        <v>1965</v>
      </c>
      <c r="B70" s="13">
        <v>438.92</v>
      </c>
      <c r="C70" t="s">
        <v>1468</v>
      </c>
      <c r="D70" s="33">
        <v>45139</v>
      </c>
      <c r="E70" t="s">
        <v>1470</v>
      </c>
      <c r="F70">
        <v>1</v>
      </c>
      <c r="G70" t="s">
        <v>746</v>
      </c>
    </row>
    <row r="71" spans="1:7" hidden="1">
      <c r="A71" t="s">
        <v>1927</v>
      </c>
      <c r="B71" s="13">
        <v>966.5</v>
      </c>
      <c r="C71" t="s">
        <v>1468</v>
      </c>
      <c r="D71" s="33">
        <v>45141</v>
      </c>
      <c r="E71" t="s">
        <v>1470</v>
      </c>
      <c r="F71">
        <v>1</v>
      </c>
      <c r="G71" t="s">
        <v>746</v>
      </c>
    </row>
    <row r="72" spans="1:7" hidden="1">
      <c r="A72" t="s">
        <v>1988</v>
      </c>
      <c r="B72" s="13">
        <v>325.63</v>
      </c>
      <c r="C72" t="s">
        <v>1468</v>
      </c>
      <c r="D72" s="33">
        <v>45142</v>
      </c>
      <c r="E72" t="s">
        <v>1470</v>
      </c>
      <c r="F72">
        <v>1</v>
      </c>
      <c r="G72" t="s">
        <v>746</v>
      </c>
    </row>
    <row r="73" spans="1:7" hidden="1">
      <c r="A73" t="s">
        <v>1741</v>
      </c>
      <c r="B73" s="13">
        <v>424.18</v>
      </c>
      <c r="C73" t="s">
        <v>1468</v>
      </c>
      <c r="D73" s="33">
        <v>45142</v>
      </c>
      <c r="E73" t="s">
        <v>1470</v>
      </c>
      <c r="F73">
        <v>1</v>
      </c>
      <c r="G73" t="s">
        <v>746</v>
      </c>
    </row>
    <row r="74" spans="1:7" hidden="1">
      <c r="A74" t="s">
        <v>1193</v>
      </c>
      <c r="B74" s="13">
        <v>1145.32</v>
      </c>
      <c r="C74" t="s">
        <v>1194</v>
      </c>
      <c r="D74" s="33">
        <v>45143</v>
      </c>
      <c r="E74" t="s">
        <v>1470</v>
      </c>
      <c r="F74">
        <v>1</v>
      </c>
      <c r="G74" t="s">
        <v>746</v>
      </c>
    </row>
    <row r="75" spans="1:7" hidden="1">
      <c r="A75" t="s">
        <v>1852</v>
      </c>
      <c r="B75" s="13">
        <v>522.44000000000005</v>
      </c>
      <c r="C75" t="s">
        <v>1468</v>
      </c>
      <c r="D75" s="33">
        <v>45145</v>
      </c>
      <c r="E75" t="s">
        <v>1470</v>
      </c>
      <c r="F75">
        <v>1</v>
      </c>
      <c r="G75" t="s">
        <v>746</v>
      </c>
    </row>
    <row r="76" spans="1:7" hidden="1">
      <c r="A76" t="s">
        <v>2007</v>
      </c>
      <c r="B76" s="13">
        <v>587.14</v>
      </c>
      <c r="C76" t="s">
        <v>1468</v>
      </c>
      <c r="D76" s="33">
        <v>45149</v>
      </c>
      <c r="E76" t="s">
        <v>1470</v>
      </c>
      <c r="F76">
        <v>2</v>
      </c>
      <c r="G76" t="s">
        <v>746</v>
      </c>
    </row>
    <row r="77" spans="1:7" hidden="1">
      <c r="A77" t="s">
        <v>839</v>
      </c>
      <c r="B77" s="13">
        <v>310.5</v>
      </c>
      <c r="C77" t="s">
        <v>1468</v>
      </c>
      <c r="D77" s="33">
        <v>45150</v>
      </c>
      <c r="E77" t="s">
        <v>1470</v>
      </c>
      <c r="F77">
        <v>2</v>
      </c>
      <c r="G77" t="s">
        <v>746</v>
      </c>
    </row>
    <row r="78" spans="1:7" hidden="1">
      <c r="A78" t="s">
        <v>1948</v>
      </c>
      <c r="B78" s="13">
        <v>0</v>
      </c>
      <c r="C78" t="s">
        <v>1468</v>
      </c>
      <c r="D78" s="33">
        <v>45153</v>
      </c>
      <c r="E78" t="s">
        <v>1470</v>
      </c>
      <c r="F78">
        <v>2</v>
      </c>
      <c r="G78" t="s">
        <v>746</v>
      </c>
    </row>
    <row r="79" spans="1:7" hidden="1">
      <c r="A79" t="s">
        <v>1546</v>
      </c>
      <c r="B79" s="13">
        <v>935.71</v>
      </c>
      <c r="C79" t="s">
        <v>747</v>
      </c>
      <c r="D79" s="33">
        <v>45154</v>
      </c>
      <c r="E79" t="s">
        <v>1470</v>
      </c>
      <c r="F79">
        <v>2</v>
      </c>
      <c r="G79" t="s">
        <v>746</v>
      </c>
    </row>
    <row r="80" spans="1:7" hidden="1">
      <c r="A80" t="s">
        <v>1966</v>
      </c>
      <c r="B80" s="13">
        <v>438.9</v>
      </c>
      <c r="C80" t="s">
        <v>1468</v>
      </c>
      <c r="D80" s="33">
        <v>45154</v>
      </c>
      <c r="E80" t="s">
        <v>1470</v>
      </c>
      <c r="F80">
        <v>2</v>
      </c>
      <c r="G80" t="s">
        <v>746</v>
      </c>
    </row>
    <row r="81" spans="1:7" hidden="1">
      <c r="A81" t="s">
        <v>1645</v>
      </c>
      <c r="B81" s="13">
        <v>325.62</v>
      </c>
      <c r="C81" t="s">
        <v>1468</v>
      </c>
      <c r="D81" s="33">
        <v>45157</v>
      </c>
      <c r="E81" t="s">
        <v>1470</v>
      </c>
      <c r="F81">
        <v>3</v>
      </c>
      <c r="G81" t="s">
        <v>746</v>
      </c>
    </row>
    <row r="82" spans="1:7" hidden="1">
      <c r="A82" t="s">
        <v>1732</v>
      </c>
      <c r="B82" s="13">
        <v>474.5</v>
      </c>
      <c r="C82" t="s">
        <v>1194</v>
      </c>
      <c r="D82" s="33">
        <v>45159</v>
      </c>
      <c r="E82" t="s">
        <v>1470</v>
      </c>
      <c r="F82">
        <v>3</v>
      </c>
      <c r="G82" t="s">
        <v>746</v>
      </c>
    </row>
    <row r="83" spans="1:7" hidden="1">
      <c r="A83" t="s">
        <v>1951</v>
      </c>
      <c r="B83" s="13">
        <v>832.28</v>
      </c>
      <c r="C83" t="s">
        <v>1468</v>
      </c>
      <c r="D83" s="33">
        <v>45159</v>
      </c>
      <c r="E83" t="s">
        <v>1470</v>
      </c>
      <c r="F83">
        <v>3</v>
      </c>
      <c r="G83" t="s">
        <v>748</v>
      </c>
    </row>
    <row r="84" spans="1:7" hidden="1">
      <c r="A84" t="s">
        <v>1517</v>
      </c>
      <c r="B84" s="13">
        <v>692.32</v>
      </c>
      <c r="C84" t="s">
        <v>1468</v>
      </c>
      <c r="D84" s="33">
        <v>45160</v>
      </c>
      <c r="E84" t="s">
        <v>1470</v>
      </c>
      <c r="F84">
        <v>3</v>
      </c>
      <c r="G84" t="s">
        <v>746</v>
      </c>
    </row>
    <row r="85" spans="1:7" hidden="1">
      <c r="A85" t="s">
        <v>1908</v>
      </c>
      <c r="B85" s="13">
        <v>67.73</v>
      </c>
      <c r="C85" t="s">
        <v>1468</v>
      </c>
      <c r="D85" s="33">
        <v>45161</v>
      </c>
      <c r="E85" t="s">
        <v>1470</v>
      </c>
      <c r="F85">
        <v>3</v>
      </c>
      <c r="G85" t="s">
        <v>746</v>
      </c>
    </row>
    <row r="86" spans="1:7" hidden="1">
      <c r="A86" t="s">
        <v>1928</v>
      </c>
      <c r="B86" s="13">
        <v>966.5</v>
      </c>
      <c r="C86" t="s">
        <v>1468</v>
      </c>
      <c r="D86" s="33">
        <v>45161</v>
      </c>
      <c r="E86" t="s">
        <v>1470</v>
      </c>
      <c r="F86">
        <v>3</v>
      </c>
      <c r="G86" t="s">
        <v>746</v>
      </c>
    </row>
    <row r="87" spans="1:7" hidden="1">
      <c r="A87" t="s">
        <v>1970</v>
      </c>
      <c r="B87" s="13">
        <v>2292.87</v>
      </c>
      <c r="C87" t="s">
        <v>1468</v>
      </c>
      <c r="D87" s="33">
        <v>45161</v>
      </c>
      <c r="E87" t="s">
        <v>1470</v>
      </c>
      <c r="F87">
        <v>3</v>
      </c>
      <c r="G87" t="s">
        <v>748</v>
      </c>
    </row>
    <row r="88" spans="1:7" hidden="1">
      <c r="A88" t="s">
        <v>1742</v>
      </c>
      <c r="B88" s="13">
        <v>424.32</v>
      </c>
      <c r="C88" t="s">
        <v>1468</v>
      </c>
      <c r="D88" s="33">
        <v>45163</v>
      </c>
      <c r="E88" t="s">
        <v>1470</v>
      </c>
      <c r="F88">
        <v>4</v>
      </c>
      <c r="G88" t="s">
        <v>746</v>
      </c>
    </row>
    <row r="89" spans="1:7" hidden="1">
      <c r="A89" t="s">
        <v>1518</v>
      </c>
      <c r="B89" s="13">
        <v>618.15</v>
      </c>
      <c r="C89" t="s">
        <v>1195</v>
      </c>
      <c r="D89" s="33">
        <v>45164</v>
      </c>
      <c r="E89" t="s">
        <v>1470</v>
      </c>
      <c r="F89">
        <v>4</v>
      </c>
      <c r="G89" t="s">
        <v>746</v>
      </c>
    </row>
    <row r="90" spans="1:7" hidden="1">
      <c r="A90" t="s">
        <v>2055</v>
      </c>
      <c r="B90" s="13">
        <v>448.11</v>
      </c>
      <c r="C90" t="s">
        <v>1468</v>
      </c>
      <c r="D90" s="33">
        <v>45164</v>
      </c>
      <c r="E90" t="s">
        <v>1470</v>
      </c>
      <c r="F90">
        <v>4</v>
      </c>
      <c r="G90" t="s">
        <v>746</v>
      </c>
    </row>
    <row r="91" spans="1:7" hidden="1">
      <c r="A91" t="s">
        <v>2055</v>
      </c>
      <c r="B91" s="13">
        <v>434</v>
      </c>
      <c r="C91" t="s">
        <v>1468</v>
      </c>
      <c r="D91" s="33">
        <v>45164</v>
      </c>
      <c r="E91" t="s">
        <v>1470</v>
      </c>
      <c r="F91">
        <v>4</v>
      </c>
      <c r="G91" t="s">
        <v>746</v>
      </c>
    </row>
    <row r="92" spans="1:7" hidden="1">
      <c r="A92" t="s">
        <v>1467</v>
      </c>
      <c r="B92" s="13">
        <v>1126.22</v>
      </c>
      <c r="C92" t="s">
        <v>1132</v>
      </c>
      <c r="D92" s="33">
        <v>45166</v>
      </c>
      <c r="E92" t="s">
        <v>1470</v>
      </c>
      <c r="F92">
        <v>4</v>
      </c>
      <c r="G92" t="s">
        <v>748</v>
      </c>
    </row>
    <row r="93" spans="1:7" hidden="1">
      <c r="A93" t="s">
        <v>1949</v>
      </c>
      <c r="B93" s="13">
        <v>0</v>
      </c>
      <c r="C93" t="s">
        <v>1468</v>
      </c>
      <c r="D93" s="33">
        <v>45167</v>
      </c>
      <c r="E93" t="s">
        <v>1470</v>
      </c>
      <c r="F93">
        <v>4</v>
      </c>
      <c r="G93" t="s">
        <v>746</v>
      </c>
    </row>
    <row r="94" spans="1:7" hidden="1">
      <c r="A94" t="s">
        <v>2049</v>
      </c>
      <c r="B94" s="13">
        <v>1185.94</v>
      </c>
      <c r="C94" t="s">
        <v>1468</v>
      </c>
      <c r="D94" s="33">
        <v>45168</v>
      </c>
      <c r="E94" t="s">
        <v>1470</v>
      </c>
      <c r="F94">
        <v>4</v>
      </c>
      <c r="G94" t="s">
        <v>748</v>
      </c>
    </row>
    <row r="95" spans="1:7" hidden="1">
      <c r="A95" t="s">
        <v>1518</v>
      </c>
      <c r="B95" s="13">
        <v>609.33000000000004</v>
      </c>
      <c r="C95" t="s">
        <v>1468</v>
      </c>
      <c r="D95" s="33">
        <v>45169</v>
      </c>
      <c r="E95" t="s">
        <v>1470</v>
      </c>
      <c r="F95">
        <v>4</v>
      </c>
      <c r="G95" t="s">
        <v>746</v>
      </c>
    </row>
    <row r="96" spans="1:7" hidden="1">
      <c r="A96" t="s">
        <v>750</v>
      </c>
      <c r="B96" s="13">
        <v>1145.32</v>
      </c>
      <c r="C96" t="s">
        <v>1194</v>
      </c>
      <c r="D96" s="33">
        <v>45173</v>
      </c>
      <c r="E96" t="s">
        <v>1554</v>
      </c>
      <c r="F96">
        <v>1</v>
      </c>
      <c r="G96" t="s">
        <v>746</v>
      </c>
    </row>
    <row r="97" spans="1:7" hidden="1">
      <c r="A97" t="s">
        <v>2008</v>
      </c>
      <c r="B97" s="13">
        <v>531.96</v>
      </c>
      <c r="C97" t="s">
        <v>1468</v>
      </c>
      <c r="D97" s="33">
        <v>45180</v>
      </c>
      <c r="E97" t="s">
        <v>1554</v>
      </c>
      <c r="F97">
        <v>2</v>
      </c>
      <c r="G97" t="s">
        <v>746</v>
      </c>
    </row>
    <row r="98" spans="1:7" hidden="1">
      <c r="A98" t="s">
        <v>1939</v>
      </c>
      <c r="B98" s="13">
        <v>1667.25</v>
      </c>
      <c r="C98" t="s">
        <v>1468</v>
      </c>
      <c r="D98" s="33">
        <v>45184</v>
      </c>
      <c r="E98" t="s">
        <v>1554</v>
      </c>
      <c r="F98">
        <v>2</v>
      </c>
      <c r="G98" t="s">
        <v>748</v>
      </c>
    </row>
    <row r="99" spans="1:7" hidden="1">
      <c r="A99" t="s">
        <v>1547</v>
      </c>
      <c r="B99" s="13">
        <v>935.71</v>
      </c>
      <c r="C99" t="s">
        <v>747</v>
      </c>
      <c r="D99" s="33">
        <v>45185</v>
      </c>
      <c r="E99" t="s">
        <v>1554</v>
      </c>
      <c r="F99">
        <v>2</v>
      </c>
      <c r="G99" t="s">
        <v>746</v>
      </c>
    </row>
    <row r="100" spans="1:7" hidden="1">
      <c r="A100" t="s">
        <v>1518</v>
      </c>
      <c r="B100" s="13">
        <v>692.32</v>
      </c>
      <c r="C100" t="s">
        <v>1468</v>
      </c>
      <c r="D100" s="33">
        <v>45190</v>
      </c>
      <c r="E100" t="s">
        <v>1554</v>
      </c>
      <c r="F100">
        <v>3</v>
      </c>
      <c r="G100" t="s">
        <v>746</v>
      </c>
    </row>
    <row r="101" spans="1:7" hidden="1">
      <c r="A101" t="s">
        <v>1971</v>
      </c>
      <c r="B101" s="13">
        <v>2292.87</v>
      </c>
      <c r="C101" t="s">
        <v>1468</v>
      </c>
      <c r="D101" s="33">
        <v>45192</v>
      </c>
      <c r="E101" t="s">
        <v>1554</v>
      </c>
      <c r="F101">
        <v>3</v>
      </c>
      <c r="G101" t="s">
        <v>748</v>
      </c>
    </row>
    <row r="102" spans="1:7" hidden="1">
      <c r="A102" t="s">
        <v>1663</v>
      </c>
      <c r="B102" s="13">
        <v>448</v>
      </c>
      <c r="C102" t="s">
        <v>1468</v>
      </c>
      <c r="D102" s="33">
        <v>45194</v>
      </c>
      <c r="E102" t="s">
        <v>1554</v>
      </c>
      <c r="F102">
        <v>4</v>
      </c>
      <c r="G102" t="s">
        <v>746</v>
      </c>
    </row>
    <row r="103" spans="1:7" hidden="1">
      <c r="A103" t="s">
        <v>1663</v>
      </c>
      <c r="B103" s="13">
        <v>433.91</v>
      </c>
      <c r="C103" t="s">
        <v>1468</v>
      </c>
      <c r="D103" s="33">
        <v>45194</v>
      </c>
      <c r="E103" t="s">
        <v>1554</v>
      </c>
      <c r="F103">
        <v>4</v>
      </c>
      <c r="G103" t="s">
        <v>746</v>
      </c>
    </row>
    <row r="104" spans="1:7" hidden="1">
      <c r="A104" t="s">
        <v>1548</v>
      </c>
      <c r="B104" s="13">
        <v>935.71</v>
      </c>
      <c r="C104" t="s">
        <v>747</v>
      </c>
      <c r="D104" s="33">
        <v>45215</v>
      </c>
      <c r="E104" t="s">
        <v>1555</v>
      </c>
      <c r="F104">
        <v>2</v>
      </c>
      <c r="G104" t="s">
        <v>746</v>
      </c>
    </row>
    <row r="105" spans="1:7" hidden="1">
      <c r="A105" t="s">
        <v>1549</v>
      </c>
      <c r="B105" s="13">
        <v>935.71</v>
      </c>
      <c r="C105" t="s">
        <v>747</v>
      </c>
      <c r="D105" s="33">
        <v>45246</v>
      </c>
      <c r="E105" t="s">
        <v>1556</v>
      </c>
      <c r="F105">
        <v>2</v>
      </c>
      <c r="G105" t="s">
        <v>746</v>
      </c>
    </row>
    <row r="106" spans="1:7" hidden="1">
      <c r="A106" t="s">
        <v>1550</v>
      </c>
      <c r="B106" s="13">
        <v>935.71</v>
      </c>
      <c r="C106" t="s">
        <v>747</v>
      </c>
      <c r="D106" s="33">
        <v>45276</v>
      </c>
      <c r="E106" t="s">
        <v>749</v>
      </c>
      <c r="F106">
        <v>2</v>
      </c>
      <c r="G106" t="s">
        <v>746</v>
      </c>
    </row>
    <row r="107" spans="1:7" hidden="1">
      <c r="A107" t="s">
        <v>1551</v>
      </c>
      <c r="B107" s="13">
        <v>935.71</v>
      </c>
      <c r="C107" t="s">
        <v>747</v>
      </c>
      <c r="D107" s="33">
        <v>45307</v>
      </c>
      <c r="E107" t="s">
        <v>989</v>
      </c>
      <c r="F107">
        <v>2</v>
      </c>
      <c r="G107" t="s">
        <v>746</v>
      </c>
    </row>
    <row r="108" spans="1:7" hidden="1">
      <c r="A108" t="s">
        <v>1552</v>
      </c>
      <c r="B108" s="13">
        <v>935.71</v>
      </c>
      <c r="C108" t="s">
        <v>747</v>
      </c>
      <c r="D108" s="33">
        <v>45338</v>
      </c>
      <c r="E108" t="s">
        <v>1132</v>
      </c>
      <c r="F108">
        <v>2</v>
      </c>
      <c r="G108" t="s">
        <v>746</v>
      </c>
    </row>
    <row r="109" spans="1:7" hidden="1">
      <c r="A109" t="s">
        <v>1553</v>
      </c>
      <c r="B109" s="13">
        <v>935.71</v>
      </c>
      <c r="C109" t="s">
        <v>747</v>
      </c>
      <c r="D109" s="33">
        <v>45367</v>
      </c>
      <c r="E109" t="s">
        <v>1133</v>
      </c>
      <c r="F109">
        <v>2</v>
      </c>
      <c r="G109" t="s">
        <v>746</v>
      </c>
    </row>
    <row r="110" spans="1:7">
      <c r="A110" t="s">
        <v>1999</v>
      </c>
      <c r="B110" s="13">
        <v>676.56</v>
      </c>
      <c r="C110" t="s">
        <v>1468</v>
      </c>
      <c r="D110" s="33">
        <v>45134</v>
      </c>
      <c r="E110" t="s">
        <v>1469</v>
      </c>
      <c r="F110">
        <v>4</v>
      </c>
      <c r="G110" t="s">
        <v>748</v>
      </c>
    </row>
    <row r="111" spans="1:7">
      <c r="A111" t="s">
        <v>2054</v>
      </c>
      <c r="B111" s="13">
        <v>448.11</v>
      </c>
      <c r="C111" t="s">
        <v>1468</v>
      </c>
      <c r="D111" s="33">
        <v>45134</v>
      </c>
      <c r="E111" t="s">
        <v>1469</v>
      </c>
      <c r="F111">
        <v>4</v>
      </c>
      <c r="G111" t="s">
        <v>746</v>
      </c>
    </row>
    <row r="112" spans="1:7">
      <c r="A112" t="s">
        <v>2054</v>
      </c>
      <c r="B112" s="13">
        <v>434</v>
      </c>
      <c r="C112" t="s">
        <v>1468</v>
      </c>
      <c r="D112" s="33">
        <v>45134</v>
      </c>
      <c r="E112" t="s">
        <v>1469</v>
      </c>
      <c r="F112">
        <v>4</v>
      </c>
      <c r="G112" t="s">
        <v>746</v>
      </c>
    </row>
    <row r="113" spans="1:7">
      <c r="A113" t="s">
        <v>2302</v>
      </c>
      <c r="B113" s="13">
        <v>236.52</v>
      </c>
      <c r="C113" t="s">
        <v>1469</v>
      </c>
      <c r="D113" s="33">
        <v>45134</v>
      </c>
      <c r="E113" t="s">
        <v>1469</v>
      </c>
      <c r="F113">
        <v>4</v>
      </c>
      <c r="G113" t="s">
        <v>746</v>
      </c>
    </row>
    <row r="114" spans="1:7" hidden="1">
      <c r="A114" t="s">
        <v>2291</v>
      </c>
      <c r="B114" s="13">
        <v>360.19</v>
      </c>
      <c r="C114" t="s">
        <v>1469</v>
      </c>
      <c r="D114" s="33">
        <v>45165</v>
      </c>
      <c r="E114" t="s">
        <v>1470</v>
      </c>
      <c r="F114">
        <v>4</v>
      </c>
      <c r="G114" t="s">
        <v>746</v>
      </c>
    </row>
    <row r="115" spans="1:7" hidden="1">
      <c r="A115" t="s">
        <v>2293</v>
      </c>
      <c r="B115" s="13">
        <v>1073.32</v>
      </c>
      <c r="C115" t="s">
        <v>1469</v>
      </c>
      <c r="D115" s="33">
        <v>45144</v>
      </c>
      <c r="E115" t="s">
        <v>1470</v>
      </c>
      <c r="F115">
        <v>1</v>
      </c>
      <c r="G115" t="s">
        <v>748</v>
      </c>
    </row>
    <row r="116" spans="1:7" hidden="1">
      <c r="A116" t="s">
        <v>2294</v>
      </c>
      <c r="B116" s="13">
        <v>1073.32</v>
      </c>
      <c r="C116" t="s">
        <v>1469</v>
      </c>
      <c r="D116" s="33">
        <v>45175</v>
      </c>
      <c r="E116" t="s">
        <v>1554</v>
      </c>
      <c r="F116">
        <v>1</v>
      </c>
      <c r="G116" t="s">
        <v>748</v>
      </c>
    </row>
    <row r="117" spans="1:7" hidden="1">
      <c r="A117" t="s">
        <v>2295</v>
      </c>
      <c r="B117" s="13">
        <v>1073.32</v>
      </c>
      <c r="C117" t="s">
        <v>1469</v>
      </c>
      <c r="D117" s="33">
        <v>45205</v>
      </c>
      <c r="E117" t="s">
        <v>1555</v>
      </c>
      <c r="F117">
        <v>1</v>
      </c>
      <c r="G117" t="s">
        <v>748</v>
      </c>
    </row>
    <row r="118" spans="1:7" hidden="1">
      <c r="A118" t="s">
        <v>2296</v>
      </c>
      <c r="B118" s="13">
        <v>1839.24</v>
      </c>
      <c r="C118" t="s">
        <v>1469</v>
      </c>
      <c r="D118" s="33">
        <v>45144</v>
      </c>
      <c r="E118" t="s">
        <v>1470</v>
      </c>
      <c r="F118">
        <v>1</v>
      </c>
      <c r="G118" t="s">
        <v>748</v>
      </c>
    </row>
    <row r="119" spans="1:7">
      <c r="A119" t="s">
        <v>1466</v>
      </c>
      <c r="B119" s="13">
        <v>1126.22</v>
      </c>
      <c r="C119" t="s">
        <v>1132</v>
      </c>
      <c r="D119" s="33">
        <v>45135</v>
      </c>
      <c r="E119" t="s">
        <v>1469</v>
      </c>
      <c r="F119">
        <v>4</v>
      </c>
      <c r="G119" t="s">
        <v>748</v>
      </c>
    </row>
    <row r="120" spans="1:7">
      <c r="A120" t="s">
        <v>2006</v>
      </c>
      <c r="B120" s="13">
        <v>1541.68</v>
      </c>
      <c r="C120" t="s">
        <v>1468</v>
      </c>
      <c r="D120" s="33">
        <v>45135</v>
      </c>
      <c r="E120" t="s">
        <v>1469</v>
      </c>
      <c r="F120">
        <v>4</v>
      </c>
      <c r="G120" t="s">
        <v>748</v>
      </c>
    </row>
    <row r="121" spans="1:7">
      <c r="A121" t="s">
        <v>2047</v>
      </c>
      <c r="B121" s="13">
        <v>748</v>
      </c>
      <c r="C121" t="s">
        <v>1468</v>
      </c>
      <c r="D121" s="33">
        <v>45135</v>
      </c>
      <c r="E121" t="s">
        <v>1469</v>
      </c>
      <c r="F121">
        <v>4</v>
      </c>
      <c r="G121" t="s">
        <v>748</v>
      </c>
    </row>
    <row r="122" spans="1:7" hidden="1">
      <c r="A122" t="s">
        <v>2303</v>
      </c>
      <c r="B122" s="13">
        <v>236.53</v>
      </c>
      <c r="C122" t="s">
        <v>1469</v>
      </c>
      <c r="D122" s="33">
        <v>45141</v>
      </c>
      <c r="E122" t="s">
        <v>1470</v>
      </c>
      <c r="F122">
        <v>1</v>
      </c>
      <c r="G122" t="s">
        <v>746</v>
      </c>
    </row>
    <row r="123" spans="1:7" hidden="1">
      <c r="A123" t="s">
        <v>1851</v>
      </c>
      <c r="B123" s="13">
        <v>535.44000000000005</v>
      </c>
      <c r="C123" t="s">
        <v>1469</v>
      </c>
      <c r="D123" s="33">
        <v>45145</v>
      </c>
      <c r="E123" t="s">
        <v>1470</v>
      </c>
      <c r="F123">
        <v>1</v>
      </c>
      <c r="G123" t="s">
        <v>746</v>
      </c>
    </row>
    <row r="124" spans="1:7" hidden="1">
      <c r="A124" t="s">
        <v>2304</v>
      </c>
      <c r="B124" s="13">
        <v>611.95000000000005</v>
      </c>
      <c r="C124" t="s">
        <v>1469</v>
      </c>
      <c r="D124" s="33">
        <v>45146</v>
      </c>
      <c r="E124" t="s">
        <v>1470</v>
      </c>
      <c r="F124">
        <v>1</v>
      </c>
      <c r="G124" t="s">
        <v>746</v>
      </c>
    </row>
    <row r="125" spans="1:7" hidden="1">
      <c r="A125" t="s">
        <v>2300</v>
      </c>
      <c r="B125" s="13">
        <v>918.14</v>
      </c>
      <c r="C125" t="s">
        <v>1469</v>
      </c>
      <c r="D125" s="33">
        <v>45151</v>
      </c>
      <c r="E125" t="s">
        <v>1470</v>
      </c>
      <c r="F125">
        <v>2</v>
      </c>
      <c r="G125" t="s">
        <v>746</v>
      </c>
    </row>
    <row r="126" spans="1:7" hidden="1">
      <c r="A126" t="s">
        <v>1852</v>
      </c>
      <c r="B126" s="13">
        <v>535.61</v>
      </c>
      <c r="C126" t="s">
        <v>1469</v>
      </c>
      <c r="D126" s="33">
        <v>45159</v>
      </c>
      <c r="E126" t="s">
        <v>1470</v>
      </c>
      <c r="F126">
        <v>3</v>
      </c>
      <c r="G126" t="s">
        <v>746</v>
      </c>
    </row>
    <row r="127" spans="1:7">
      <c r="A127" t="s">
        <v>2290</v>
      </c>
      <c r="B127" s="13">
        <v>360.19</v>
      </c>
      <c r="C127" t="s">
        <v>1469</v>
      </c>
      <c r="D127" s="33">
        <v>45135</v>
      </c>
      <c r="E127" t="s">
        <v>1469</v>
      </c>
      <c r="F127">
        <v>4</v>
      </c>
      <c r="G127" t="s">
        <v>746</v>
      </c>
    </row>
    <row r="128" spans="1:7" hidden="1">
      <c r="A128" t="s">
        <v>2352</v>
      </c>
      <c r="B128" s="13">
        <v>57.8</v>
      </c>
      <c r="C128" t="s">
        <v>1469</v>
      </c>
      <c r="D128" s="33">
        <v>45145</v>
      </c>
      <c r="E128" t="s">
        <v>1470</v>
      </c>
      <c r="F128">
        <v>1</v>
      </c>
      <c r="G128" t="s">
        <v>746</v>
      </c>
    </row>
    <row r="129" spans="1:7" hidden="1">
      <c r="A129" t="s">
        <v>2375</v>
      </c>
      <c r="B129" s="13">
        <v>1839.24</v>
      </c>
      <c r="C129" t="s">
        <v>1469</v>
      </c>
      <c r="D129" s="33">
        <v>45174</v>
      </c>
      <c r="E129" t="s">
        <v>1554</v>
      </c>
      <c r="F129">
        <v>1</v>
      </c>
      <c r="G129" t="s">
        <v>748</v>
      </c>
    </row>
    <row r="130" spans="1:7" hidden="1">
      <c r="A130" t="s">
        <v>2376</v>
      </c>
      <c r="B130" s="13">
        <v>1839.24</v>
      </c>
      <c r="C130" t="s">
        <v>1469</v>
      </c>
      <c r="D130" s="33">
        <v>45204</v>
      </c>
      <c r="E130" t="s">
        <v>1555</v>
      </c>
      <c r="F130">
        <v>1</v>
      </c>
      <c r="G130" t="s">
        <v>748</v>
      </c>
    </row>
    <row r="131" spans="1:7" hidden="1">
      <c r="A131" t="s">
        <v>1833</v>
      </c>
      <c r="B131" s="13">
        <v>508.86</v>
      </c>
      <c r="C131" t="s">
        <v>1469</v>
      </c>
      <c r="D131" s="33">
        <v>45147</v>
      </c>
      <c r="E131" t="s">
        <v>1470</v>
      </c>
      <c r="F131">
        <v>2</v>
      </c>
      <c r="G131" t="s">
        <v>746</v>
      </c>
    </row>
    <row r="132" spans="1:7" hidden="1">
      <c r="A132" t="s">
        <v>1920</v>
      </c>
      <c r="B132" s="13">
        <v>820.2</v>
      </c>
      <c r="C132" t="s">
        <v>1469</v>
      </c>
      <c r="D132" s="33">
        <v>45149</v>
      </c>
      <c r="E132" t="s">
        <v>1470</v>
      </c>
      <c r="F132">
        <v>2</v>
      </c>
      <c r="G132" t="s">
        <v>746</v>
      </c>
    </row>
    <row r="133" spans="1:7" hidden="1">
      <c r="A133" t="s">
        <v>839</v>
      </c>
      <c r="B133" s="13">
        <v>820.2</v>
      </c>
      <c r="C133" t="s">
        <v>1469</v>
      </c>
      <c r="D133" s="33">
        <v>45179</v>
      </c>
      <c r="E133" t="s">
        <v>1554</v>
      </c>
      <c r="F133">
        <v>2</v>
      </c>
      <c r="G133" t="s">
        <v>746</v>
      </c>
    </row>
    <row r="134" spans="1:7" hidden="1">
      <c r="A134" t="s">
        <v>1920</v>
      </c>
      <c r="B134" s="13">
        <v>1036.46</v>
      </c>
      <c r="C134" t="s">
        <v>1469</v>
      </c>
      <c r="D134" s="33">
        <v>45147</v>
      </c>
      <c r="E134" t="s">
        <v>1470</v>
      </c>
      <c r="F134">
        <v>2</v>
      </c>
      <c r="G134" t="s">
        <v>746</v>
      </c>
    </row>
    <row r="135" spans="1:7" hidden="1">
      <c r="A135" t="s">
        <v>839</v>
      </c>
      <c r="B135" s="13">
        <v>1036.47</v>
      </c>
      <c r="C135" t="s">
        <v>1469</v>
      </c>
      <c r="D135" s="33">
        <v>45177</v>
      </c>
      <c r="E135" t="s">
        <v>1554</v>
      </c>
      <c r="F135">
        <v>2</v>
      </c>
      <c r="G135" t="s">
        <v>746</v>
      </c>
    </row>
    <row r="136" spans="1:7" hidden="1">
      <c r="A136" t="s">
        <v>2402</v>
      </c>
      <c r="B136" s="13">
        <v>1410.7</v>
      </c>
      <c r="C136" t="s">
        <v>1469</v>
      </c>
      <c r="D136" s="33">
        <v>45151</v>
      </c>
      <c r="E136" t="s">
        <v>1470</v>
      </c>
      <c r="F136">
        <v>2</v>
      </c>
      <c r="G136" t="s">
        <v>748</v>
      </c>
    </row>
    <row r="137" spans="1:7">
      <c r="A137" t="s">
        <v>2048</v>
      </c>
      <c r="B137" s="13">
        <v>1185.94</v>
      </c>
      <c r="C137" t="s">
        <v>1468</v>
      </c>
      <c r="D137" s="33">
        <v>45137</v>
      </c>
      <c r="E137" t="s">
        <v>1469</v>
      </c>
      <c r="F137">
        <v>4</v>
      </c>
      <c r="G137" t="s">
        <v>748</v>
      </c>
    </row>
    <row r="138" spans="1:7" hidden="1">
      <c r="A138" t="s">
        <v>2482</v>
      </c>
      <c r="B138" s="13">
        <v>438.88</v>
      </c>
      <c r="C138" t="s">
        <v>1469</v>
      </c>
      <c r="D138" s="33">
        <v>45149</v>
      </c>
      <c r="E138" t="s">
        <v>1470</v>
      </c>
      <c r="F138">
        <v>2</v>
      </c>
      <c r="G138" t="s">
        <v>746</v>
      </c>
    </row>
    <row r="139" spans="1:7" hidden="1">
      <c r="A139" t="s">
        <v>2483</v>
      </c>
      <c r="B139" s="13">
        <v>438.88</v>
      </c>
      <c r="C139" t="s">
        <v>1469</v>
      </c>
      <c r="D139" s="33">
        <v>45163</v>
      </c>
      <c r="E139" t="s">
        <v>1470</v>
      </c>
      <c r="F139">
        <v>4</v>
      </c>
      <c r="G139" t="s">
        <v>746</v>
      </c>
    </row>
    <row r="1047847" spans="3:3">
      <c r="C1047847" s="29"/>
    </row>
  </sheetData>
  <autoFilter ref="A1:G139" xr:uid="{668DE80D-9DA0-46A2-83B5-B45DD39FEE64}">
    <filterColumn colId="4">
      <filters>
        <filter val="07.JULHO"/>
      </filters>
    </filterColumn>
    <filterColumn colId="6">
      <filters>
        <filter val="A DEPOSITAR"/>
        <filter val="A PAGAR"/>
      </filters>
    </filterColumn>
    <sortState xmlns:xlrd2="http://schemas.microsoft.com/office/spreadsheetml/2017/richdata2" ref="A16:G137">
      <sortCondition ref="D1:D136"/>
    </sortState>
  </autoFilter>
  <conditionalFormatting sqref="E6:F7 A6:A7 A8:B8 D8:F8 G6:G8 A9:G71 A72 A73:B76 C72:G76 A2:G5 A77:G1048576">
    <cfRule type="expression" dxfId="11" priority="3">
      <formula>$G2="OK"</formula>
    </cfRule>
    <cfRule type="expression" dxfId="10" priority="4">
      <formula>$G2="A DEPOSITAR"</formula>
    </cfRule>
  </conditionalFormatting>
  <conditionalFormatting sqref="B6:D6">
    <cfRule type="expression" dxfId="9" priority="459">
      <formula>$G7="OK"</formula>
    </cfRule>
    <cfRule type="expression" dxfId="8" priority="460">
      <formula>$G7="A DEPOSITAR"</formula>
    </cfRule>
  </conditionalFormatting>
  <conditionalFormatting sqref="C7:C8">
    <cfRule type="expression" dxfId="7" priority="1">
      <formula>$G8="OK"</formula>
    </cfRule>
    <cfRule type="expression" dxfId="6" priority="2">
      <formula>$G8="A DEPOSITAR"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3E405-AA7C-4B58-921C-93E787D512D7}">
  <sheetPr codeName="Planilha5" filterMode="1">
    <tabColor theme="4" tint="-0.249977111117893"/>
  </sheetPr>
  <dimension ref="A1:K264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4.42578125" defaultRowHeight="15"/>
  <cols>
    <col min="1" max="1" width="1" customWidth="1"/>
    <col min="2" max="2" width="74.42578125" customWidth="1"/>
    <col min="3" max="3" width="13.42578125" customWidth="1"/>
    <col min="4" max="4" width="14.140625" customWidth="1"/>
    <col min="5" max="5" width="11.42578125" customWidth="1"/>
    <col min="6" max="6" width="8.7109375" customWidth="1"/>
    <col min="7" max="7" width="11.140625" customWidth="1"/>
    <col min="8" max="13" width="8.7109375" customWidth="1"/>
  </cols>
  <sheetData>
    <row r="1" spans="1:11" ht="6" customHeight="1" thickBot="1">
      <c r="A1" t="s">
        <v>2450</v>
      </c>
    </row>
    <row r="2" spans="1:11" ht="26.25" thickBot="1">
      <c r="B2" s="19" t="s">
        <v>1827</v>
      </c>
      <c r="C2" s="20" t="s">
        <v>19</v>
      </c>
      <c r="D2" s="21" t="s">
        <v>20</v>
      </c>
      <c r="E2" s="20" t="s">
        <v>21</v>
      </c>
    </row>
    <row r="3" spans="1:11" hidden="1">
      <c r="B3" t="str">
        <f>Tuts!B2</f>
        <v>ABRACADEIRA ENFORCA GATO  2,5X100MM 100UNI</v>
      </c>
      <c r="C3" s="13">
        <f>Tuts!E2</f>
        <v>5</v>
      </c>
      <c r="D3" s="18">
        <f>Tuts!J2</f>
        <v>4.2714285714285722</v>
      </c>
      <c r="E3" s="13">
        <f>Tuts!D2</f>
        <v>2.99</v>
      </c>
    </row>
    <row r="4" spans="1:11" hidden="1">
      <c r="B4" t="str">
        <f>Tuts!B3</f>
        <v>ABRACADEIRA ENFORCA GATO 2,5X200MM 100UNI</v>
      </c>
      <c r="C4" s="13">
        <f>Tuts!E3</f>
        <v>12.5</v>
      </c>
      <c r="D4" s="18">
        <f>Tuts!J3</f>
        <v>11.571428571428571</v>
      </c>
      <c r="E4" s="13">
        <f>Tuts!D3</f>
        <v>8.1</v>
      </c>
      <c r="I4" s="18"/>
      <c r="J4" s="18"/>
    </row>
    <row r="5" spans="1:11" hidden="1">
      <c r="B5" t="str">
        <f>Tuts!B4</f>
        <v>ABRACADEIRA ENFORCA GATO 3,6X140MM 100UNI</v>
      </c>
      <c r="C5" s="13">
        <f>Tuts!E4</f>
        <v>24</v>
      </c>
      <c r="D5" s="18">
        <f>Tuts!J4</f>
        <v>22.242857142857144</v>
      </c>
      <c r="E5" s="13">
        <f>Tuts!D4</f>
        <v>15.57</v>
      </c>
    </row>
    <row r="6" spans="1:11" hidden="1">
      <c r="B6" t="str">
        <f>Tuts!B5</f>
        <v>ABRACADEIRA ENFORCA GATO 3,6X200MM 100UNI</v>
      </c>
      <c r="C6" s="13">
        <f>Tuts!E5</f>
        <v>30</v>
      </c>
      <c r="D6" s="18">
        <f>Tuts!J5</f>
        <v>27.042857142857144</v>
      </c>
      <c r="E6" s="13">
        <f>Tuts!D5</f>
        <v>18.93</v>
      </c>
      <c r="J6" s="18"/>
    </row>
    <row r="7" spans="1:11" hidden="1">
      <c r="B7" t="str">
        <f>Tuts!B6</f>
        <v>ABRACADEIRA ENFORCA GATO 3,6X200MM 100UNI</v>
      </c>
      <c r="C7" s="13">
        <f>Tuts!E6</f>
        <v>22.5</v>
      </c>
      <c r="D7" s="18">
        <f>Tuts!J6</f>
        <v>20.871428571428574</v>
      </c>
      <c r="E7" s="13">
        <f>Tuts!D6</f>
        <v>14.61</v>
      </c>
    </row>
    <row r="8" spans="1:11" hidden="1">
      <c r="B8" t="str">
        <f>Tuts!B7</f>
        <v>ABRACADEIRA ENFORCA GATO 4,8X200MM 100UNI</v>
      </c>
      <c r="C8" s="13">
        <f>Tuts!E7</f>
        <v>60</v>
      </c>
      <c r="D8" s="18">
        <f>Tuts!J7</f>
        <v>54.871428571428567</v>
      </c>
      <c r="E8" s="13">
        <f>Tuts!D7</f>
        <v>38.409999999999997</v>
      </c>
      <c r="J8" s="18"/>
    </row>
    <row r="9" spans="1:11" hidden="1">
      <c r="B9" t="str">
        <f>Tuts!B8</f>
        <v>ABRACADEIRA ENFORCA GATO 7,8X360MM 100UNI</v>
      </c>
      <c r="C9" s="13">
        <f>Tuts!E8</f>
        <v>110</v>
      </c>
      <c r="D9" s="18">
        <f>Tuts!J8</f>
        <v>101.21428571428571</v>
      </c>
      <c r="E9" s="13">
        <f>Tuts!D8</f>
        <v>70.849999999999994</v>
      </c>
      <c r="I9" s="18"/>
    </row>
    <row r="10" spans="1:11" hidden="1">
      <c r="B10" t="str">
        <f>Tuts!B9</f>
        <v>ABRACADEIRA LAMPADA TUBOLAR T8</v>
      </c>
      <c r="C10" s="13">
        <f>Tuts!E9</f>
        <v>1</v>
      </c>
      <c r="D10" s="18">
        <f>Tuts!J9</f>
        <v>0.81428571428571428</v>
      </c>
      <c r="E10" s="13">
        <f>Tuts!D9</f>
        <v>0.56999999999999995</v>
      </c>
      <c r="K10" s="18"/>
    </row>
    <row r="11" spans="1:11" hidden="1">
      <c r="B11" t="str">
        <f>Tuts!B10</f>
        <v>ACABAMENTO VALVULA DOCOL CINZA/BEGE</v>
      </c>
      <c r="C11" s="13">
        <f>Tuts!E10</f>
        <v>39.799999999999997</v>
      </c>
      <c r="D11" s="18">
        <f>Tuts!J10</f>
        <v>36.142857142857146</v>
      </c>
      <c r="E11" s="13">
        <f>Tuts!D10</f>
        <v>25.3</v>
      </c>
      <c r="I11" s="18"/>
    </row>
    <row r="12" spans="1:11" hidden="1">
      <c r="B12" t="str">
        <f>Tuts!B11</f>
        <v>ACABAMENTO VALVULA DOCOL CROMADO</v>
      </c>
      <c r="C12" s="13">
        <f>Tuts!E11</f>
        <v>69.8</v>
      </c>
      <c r="D12" s="18">
        <f>Tuts!J11</f>
        <v>64.857142857142861</v>
      </c>
      <c r="E12" s="13">
        <f>Tuts!D11</f>
        <v>45.4</v>
      </c>
      <c r="I12" s="18"/>
      <c r="K12" s="18"/>
    </row>
    <row r="13" spans="1:11" hidden="1">
      <c r="B13" t="str">
        <f>Tuts!B12</f>
        <v>ACRILICA MAXIMA EFICIENCIA - BRANCO 18l - SUVINIL GLASU</v>
      </c>
      <c r="C13" s="13">
        <f>Tuts!E12</f>
        <v>320</v>
      </c>
      <c r="D13" s="18">
        <f>Tuts!J12</f>
        <v>316.8857142857143</v>
      </c>
      <c r="E13" s="13">
        <f>Tuts!D12</f>
        <v>221.82</v>
      </c>
      <c r="K13" s="18"/>
    </row>
    <row r="14" spans="1:11" hidden="1">
      <c r="B14" t="str">
        <f>Tuts!B13</f>
        <v>ACRILICA MAXIMA EFICIENCIA - CORES 18L - SUVINIL GLASU</v>
      </c>
      <c r="C14" s="13">
        <f>Tuts!E13</f>
        <v>320</v>
      </c>
      <c r="D14" s="18">
        <f>Tuts!J13</f>
        <v>316.8857142857143</v>
      </c>
      <c r="E14" s="13">
        <f>Tuts!D13</f>
        <v>221.82</v>
      </c>
    </row>
    <row r="15" spans="1:11" hidden="1">
      <c r="B15" t="str">
        <f>Tuts!B14</f>
        <v>ACRILICA STANDARD RENDE E COBRE MUITO - BRANCO/GELO 18L - SUVINIL</v>
      </c>
      <c r="C15" s="13">
        <f>Tuts!E14</f>
        <v>415</v>
      </c>
      <c r="D15" s="18">
        <f>Tuts!J14</f>
        <v>499.85714285714283</v>
      </c>
      <c r="E15" s="13">
        <f>Tuts!D14</f>
        <v>349.9</v>
      </c>
    </row>
    <row r="16" spans="1:11" hidden="1">
      <c r="B16" t="str">
        <f>Tuts!B15</f>
        <v>ACRILICA STANDARD RENDE E COBRE MUITO - BRANCO/GELO 3,6L - SUVINIL</v>
      </c>
      <c r="C16" s="13">
        <f>Tuts!E15</f>
        <v>150</v>
      </c>
      <c r="D16" s="18">
        <f>Tuts!J15</f>
        <v>148.42857142857144</v>
      </c>
      <c r="E16" s="13">
        <f>Tuts!D15</f>
        <v>103.9</v>
      </c>
    </row>
    <row r="17" spans="2:5" hidden="1">
      <c r="B17" t="str">
        <f>Tuts!B16</f>
        <v>ACRILICA STANDARD RENDE E COBRE MUITO - CORES 18L - SUVINIL</v>
      </c>
      <c r="C17" s="13">
        <f>Tuts!E16</f>
        <v>435</v>
      </c>
      <c r="D17" s="18">
        <f>Tuts!J16</f>
        <v>527.05714285714294</v>
      </c>
      <c r="E17" s="13">
        <f>Tuts!D16</f>
        <v>368.94</v>
      </c>
    </row>
    <row r="18" spans="2:5" hidden="1">
      <c r="B18" t="str">
        <f>Tuts!B17</f>
        <v>ACRILICA STANDARD RENDE E COBRE MUITO - CORES 3,6L - SUVINIL</v>
      </c>
      <c r="C18" s="13">
        <f>Tuts!E17</f>
        <v>160</v>
      </c>
      <c r="D18" s="18">
        <f>Tuts!J17</f>
        <v>159.85714285714286</v>
      </c>
      <c r="E18" s="13">
        <f>Tuts!D17</f>
        <v>111.9</v>
      </c>
    </row>
    <row r="19" spans="2:5" hidden="1">
      <c r="B19" t="str">
        <f>Tuts!B18</f>
        <v>ADAPTADOR PARA FILTRO</v>
      </c>
      <c r="C19" s="13">
        <f>Tuts!E18</f>
        <v>46</v>
      </c>
      <c r="D19" s="18">
        <f>Tuts!J18</f>
        <v>42.142857142857146</v>
      </c>
      <c r="E19" s="13">
        <f>Tuts!D18</f>
        <v>29.5</v>
      </c>
    </row>
    <row r="20" spans="2:5" ht="15.75" hidden="1" customHeight="1">
      <c r="B20" t="str">
        <f>Tuts!B19</f>
        <v>ADERE DUPLA FACE 19X02 800G</v>
      </c>
      <c r="C20" s="13">
        <f>Tuts!E19</f>
        <v>19.5</v>
      </c>
      <c r="D20" s="18">
        <f>Tuts!J19</f>
        <v>17.428571428571427</v>
      </c>
      <c r="E20" s="13">
        <f>Tuts!D19</f>
        <v>12.2</v>
      </c>
    </row>
    <row r="21" spans="2:5" ht="15.75" hidden="1" customHeight="1">
      <c r="B21" t="str">
        <f>Tuts!B20</f>
        <v>ADERE FITA FORTE DUPLA FACE 12MMX2M</v>
      </c>
      <c r="C21" s="13">
        <f>Tuts!E20</f>
        <v>12.5</v>
      </c>
      <c r="D21" s="18">
        <f>Tuts!J20</f>
        <v>10.571428571428573</v>
      </c>
      <c r="E21" s="13">
        <f>Tuts!D20</f>
        <v>7.4</v>
      </c>
    </row>
    <row r="22" spans="2:5" ht="15.75" hidden="1" customHeight="1">
      <c r="B22" t="str">
        <f>Tuts!B21</f>
        <v>ADESIVO PVC COLA 17G</v>
      </c>
      <c r="C22" s="13">
        <f>Tuts!E21</f>
        <v>3.5</v>
      </c>
      <c r="D22" s="18">
        <f>Tuts!J21</f>
        <v>1.842857142857143</v>
      </c>
      <c r="E22" s="13">
        <f>Tuts!D21</f>
        <v>1.29</v>
      </c>
    </row>
    <row r="23" spans="2:5" ht="15.75" hidden="1" customHeight="1">
      <c r="B23" t="str">
        <f>Tuts!B22</f>
        <v xml:space="preserve">ADESIVO PVC COLA 75GR </v>
      </c>
      <c r="C23" s="13">
        <f>Tuts!E22</f>
        <v>7</v>
      </c>
      <c r="D23" s="18">
        <f>Tuts!J22</f>
        <v>5.7000000000000011</v>
      </c>
      <c r="E23" s="13">
        <f>Tuts!D22</f>
        <v>3.99</v>
      </c>
    </row>
    <row r="24" spans="2:5" ht="15.75" hidden="1" customHeight="1">
      <c r="B24" t="str">
        <f>Tuts!B23</f>
        <v xml:space="preserve">ADESIVO PVC COLA PINCEL 175G </v>
      </c>
      <c r="C24" s="13">
        <f>Tuts!E23</f>
        <v>14.5</v>
      </c>
      <c r="D24" s="18">
        <f>Tuts!J23</f>
        <v>11.400000000000002</v>
      </c>
      <c r="E24" s="13">
        <f>Tuts!D23</f>
        <v>7.98</v>
      </c>
    </row>
    <row r="25" spans="2:5" ht="15.75" hidden="1" customHeight="1">
      <c r="B25" t="str">
        <f>Tuts!B24</f>
        <v xml:space="preserve">ADESIVO PVC COLA PINCEL 850G </v>
      </c>
      <c r="C25" s="13">
        <f>Tuts!E24</f>
        <v>39.9</v>
      </c>
      <c r="D25" s="18">
        <f>Tuts!J24</f>
        <v>36.728571428571435</v>
      </c>
      <c r="E25" s="13">
        <f>Tuts!D24</f>
        <v>25.71</v>
      </c>
    </row>
    <row r="26" spans="2:5" ht="15.75" hidden="1" customHeight="1">
      <c r="B26" t="str">
        <f>Tuts!B25</f>
        <v>AIEDEM ABRACADEIRA CHAPA U 4''</v>
      </c>
      <c r="C26" s="13">
        <f>Tuts!E25</f>
        <v>3</v>
      </c>
      <c r="D26" s="18">
        <f>Tuts!J25</f>
        <v>2.285714285714286</v>
      </c>
      <c r="E26" s="13">
        <f>Tuts!D25</f>
        <v>1.6</v>
      </c>
    </row>
    <row r="27" spans="2:5" ht="15.75" hidden="1" customHeight="1">
      <c r="B27" t="str">
        <f>Tuts!B26</f>
        <v>ALCA PREFORMADA 16MM</v>
      </c>
      <c r="C27" s="13">
        <f>Tuts!E26</f>
        <v>5</v>
      </c>
      <c r="D27" s="18">
        <f>Tuts!J26</f>
        <v>3.0285714285714289</v>
      </c>
      <c r="E27" s="13">
        <f>Tuts!D26</f>
        <v>2.12</v>
      </c>
    </row>
    <row r="28" spans="2:5" ht="15.75" hidden="1" customHeight="1">
      <c r="B28" t="str">
        <f>Tuts!B27</f>
        <v>ALIANCA FECHADURA COLONIAL 3600/104</v>
      </c>
      <c r="C28" s="13">
        <f>Tuts!E27</f>
        <v>162</v>
      </c>
      <c r="D28" s="18">
        <f>Tuts!J27</f>
        <v>149.91428571428571</v>
      </c>
      <c r="E28" s="13">
        <f>Tuts!D27</f>
        <v>104.94</v>
      </c>
    </row>
    <row r="29" spans="2:5" ht="15.75" hidden="1" customHeight="1">
      <c r="B29" t="str">
        <f>Tuts!B28</f>
        <v>ALIANCA FECHADURA COLONIAL 4600/104</v>
      </c>
      <c r="C29" s="13">
        <f>Tuts!E28</f>
        <v>175</v>
      </c>
      <c r="D29" s="18">
        <f>Tuts!J28</f>
        <v>160.34285714285716</v>
      </c>
      <c r="E29" s="13">
        <f>Tuts!D28</f>
        <v>112.24</v>
      </c>
    </row>
    <row r="30" spans="2:5" ht="15.75" hidden="1" customHeight="1">
      <c r="B30" t="str">
        <f>Tuts!B29</f>
        <v>ALIANCA FECHADURA EXT 2400 ESTREITA</v>
      </c>
      <c r="C30" s="13">
        <f>Tuts!E29</f>
        <v>125</v>
      </c>
      <c r="D30" s="18">
        <f>Tuts!J29</f>
        <v>114.27142857142857</v>
      </c>
      <c r="E30" s="13">
        <f>Tuts!D29</f>
        <v>79.989999999999995</v>
      </c>
    </row>
    <row r="31" spans="2:5" ht="15.75" hidden="1" customHeight="1">
      <c r="B31" t="str">
        <f>Tuts!B30</f>
        <v>ALIANCA FECHADURA EXT 2600/71</v>
      </c>
      <c r="C31" s="13">
        <f>Tuts!E30</f>
        <v>80</v>
      </c>
      <c r="D31" s="18">
        <f>Tuts!J30</f>
        <v>75.571428571428569</v>
      </c>
      <c r="E31" s="13">
        <f>Tuts!D30</f>
        <v>52.9</v>
      </c>
    </row>
    <row r="32" spans="2:5" ht="15.75" hidden="1" customHeight="1">
      <c r="B32" t="str">
        <f>Tuts!B31</f>
        <v>ALIANCA FECHADURA EXT 2800/71 BANHEIRO</v>
      </c>
      <c r="C32" s="13">
        <f>Tuts!E31</f>
        <v>65</v>
      </c>
      <c r="D32" s="18">
        <f>Tuts!J31</f>
        <v>57.128571428571433</v>
      </c>
      <c r="E32" s="13">
        <f>Tuts!D31</f>
        <v>39.99</v>
      </c>
    </row>
    <row r="33" spans="2:5" ht="15.75" hidden="1" customHeight="1">
      <c r="B33" t="str">
        <f>Tuts!B32</f>
        <v>ALICATE CRIMPAR REDE FOXLUX</v>
      </c>
      <c r="C33" s="13">
        <f>Tuts!E32</f>
        <v>72</v>
      </c>
      <c r="D33" s="18">
        <f>Tuts!J32</f>
        <v>63.571428571428577</v>
      </c>
      <c r="E33" s="13">
        <f>Tuts!D32</f>
        <v>44.5</v>
      </c>
    </row>
    <row r="34" spans="2:5" ht="15.75" hidden="1" customHeight="1">
      <c r="B34" t="str">
        <f>Tuts!B33</f>
        <v>ALICATE DE BICO 5'' MINI PROFIELD</v>
      </c>
      <c r="C34" s="13">
        <f>Tuts!E33</f>
        <v>21.4</v>
      </c>
      <c r="D34" s="18">
        <f>Tuts!J33</f>
        <v>19.857142857142858</v>
      </c>
      <c r="E34" s="13">
        <f>Tuts!D33</f>
        <v>13.9</v>
      </c>
    </row>
    <row r="35" spans="2:5" ht="15.75" hidden="1" customHeight="1">
      <c r="B35" t="str">
        <f>Tuts!B34</f>
        <v>ALICATE DE BICO 6'' TATOOLS</v>
      </c>
      <c r="C35" s="13">
        <f>Tuts!E34</f>
        <v>29.9</v>
      </c>
      <c r="D35" s="18">
        <f>Tuts!J34</f>
        <v>27</v>
      </c>
      <c r="E35" s="13">
        <f>Tuts!D34</f>
        <v>18.899999999999999</v>
      </c>
    </row>
    <row r="36" spans="2:5" ht="15.75" hidden="1" customHeight="1">
      <c r="B36" t="str">
        <f>Tuts!B35</f>
        <v>ALICATE DE CORTE 5'' MINI PROFIELD</v>
      </c>
      <c r="C36" s="13">
        <f>Tuts!E35</f>
        <v>21.4</v>
      </c>
      <c r="D36" s="18">
        <f>Tuts!J35</f>
        <v>19.857142857142858</v>
      </c>
      <c r="E36" s="13">
        <f>Tuts!D35</f>
        <v>13.9</v>
      </c>
    </row>
    <row r="37" spans="2:5" ht="15.75" hidden="1" customHeight="1">
      <c r="B37" t="str">
        <f>Tuts!B36</f>
        <v>ALICATE DE PRESSAO 10''</v>
      </c>
      <c r="C37" s="13">
        <f>Tuts!E36</f>
        <v>40.5</v>
      </c>
      <c r="D37" s="18">
        <f>Tuts!J36</f>
        <v>37.157142857142858</v>
      </c>
      <c r="E37" s="13">
        <f>Tuts!D36</f>
        <v>26.01</v>
      </c>
    </row>
    <row r="38" spans="2:5" ht="15.75" hidden="1" customHeight="1">
      <c r="B38" t="str">
        <f>Tuts!B37</f>
        <v>ALICATE RIBITADOR RIBITADORA IRWIN</v>
      </c>
      <c r="C38" s="13">
        <f>Tuts!E37</f>
        <v>0</v>
      </c>
      <c r="D38" s="18">
        <f>Tuts!J37</f>
        <v>49.285714285714292</v>
      </c>
      <c r="E38" s="13">
        <f>Tuts!D37</f>
        <v>34.5</v>
      </c>
    </row>
    <row r="39" spans="2:5" ht="15.75" hidden="1" customHeight="1">
      <c r="B39" t="str">
        <f>Tuts!B38</f>
        <v>ALICATE TORQUE TURQUESA N12</v>
      </c>
      <c r="C39" s="13">
        <f>Tuts!E38</f>
        <v>43.9</v>
      </c>
      <c r="D39" s="18">
        <f>Tuts!J38</f>
        <v>39.271428571428572</v>
      </c>
      <c r="E39" s="13">
        <f>Tuts!D38</f>
        <v>27.49</v>
      </c>
    </row>
    <row r="40" spans="2:5" ht="15.75" hidden="1" customHeight="1">
      <c r="B40" t="str">
        <f>Tuts!B39</f>
        <v>ALICATE UNIVERSAL FERJA</v>
      </c>
      <c r="C40" s="13">
        <f>Tuts!E39</f>
        <v>32</v>
      </c>
      <c r="D40" s="18">
        <f>Tuts!J39</f>
        <v>28.571428571428573</v>
      </c>
      <c r="E40" s="13">
        <f>Tuts!D39</f>
        <v>20</v>
      </c>
    </row>
    <row r="41" spans="2:5" ht="15.75" hidden="1" customHeight="1">
      <c r="B41" t="str">
        <f>Tuts!B40</f>
        <v>ALICATE UNIVERSAL UTAH 8"</v>
      </c>
      <c r="C41" s="13">
        <f>Tuts!E40</f>
        <v>32.5</v>
      </c>
      <c r="D41" s="18">
        <f>Tuts!J40</f>
        <v>29.857142857142858</v>
      </c>
      <c r="E41" s="13">
        <f>Tuts!D40</f>
        <v>20.9</v>
      </c>
    </row>
    <row r="42" spans="2:5" ht="15.75" hidden="1" customHeight="1">
      <c r="B42" t="str">
        <f>Tuts!B41</f>
        <v>ANTENA TV 20/17 DIGITAL</v>
      </c>
      <c r="C42" s="13">
        <f>Tuts!E41</f>
        <v>58</v>
      </c>
      <c r="D42" s="18">
        <f>Tuts!J41</f>
        <v>51.285714285714285</v>
      </c>
      <c r="E42" s="13">
        <f>Tuts!D41</f>
        <v>35.9</v>
      </c>
    </row>
    <row r="43" spans="2:5" ht="15.75" hidden="1" customHeight="1">
      <c r="B43" t="str">
        <f>Tuts!B42</f>
        <v>APARELHO CADENSE VENTILADOR DE MESA 40CM</v>
      </c>
      <c r="C43" s="13">
        <f>Tuts!E42</f>
        <v>240</v>
      </c>
      <c r="D43" s="18">
        <f>Tuts!J42</f>
        <v>220.32857142857142</v>
      </c>
      <c r="E43" s="13">
        <f>Tuts!D42</f>
        <v>154.22999999999999</v>
      </c>
    </row>
    <row r="44" spans="2:5" ht="15.75" hidden="1" customHeight="1">
      <c r="B44" t="str">
        <f>Tuts!B43</f>
        <v>APARELHO DE CHOQUE ELETRIFICADOR  30KM PAMPE</v>
      </c>
      <c r="C44" s="13">
        <f>Tuts!E43</f>
        <v>85</v>
      </c>
      <c r="D44" s="18">
        <f>Tuts!J43</f>
        <v>76.114285714285714</v>
      </c>
      <c r="E44" s="13">
        <f>Tuts!D43</f>
        <v>53.28</v>
      </c>
    </row>
    <row r="45" spans="2:5" ht="15.75" hidden="1" customHeight="1">
      <c r="B45" t="str">
        <f>Tuts!B44</f>
        <v>APARELHO VENTEX VENTILADOR DE TETO VALEN LED</v>
      </c>
      <c r="C45" s="13">
        <f>Tuts!E44</f>
        <v>385</v>
      </c>
      <c r="D45" s="18">
        <f>Tuts!J44</f>
        <v>355.71428571428572</v>
      </c>
      <c r="E45" s="13">
        <f>Tuts!D44</f>
        <v>249</v>
      </c>
    </row>
    <row r="46" spans="2:5" ht="15.75" hidden="1" customHeight="1">
      <c r="B46" t="str">
        <f>Tuts!B45</f>
        <v>APARELHO VENTEX VENTILADOR DE TETO YRIS</v>
      </c>
      <c r="C46" s="13">
        <f>Tuts!E45</f>
        <v>295</v>
      </c>
      <c r="D46" s="18">
        <f>Tuts!J45</f>
        <v>269.92857142857144</v>
      </c>
      <c r="E46" s="13">
        <f>Tuts!D45</f>
        <v>188.95</v>
      </c>
    </row>
    <row r="47" spans="2:5" ht="15.75" hidden="1" customHeight="1">
      <c r="B47" t="str">
        <f>Tuts!B46</f>
        <v>APARELHO VENTEX VENTILADOR PAREDE 60CM</v>
      </c>
      <c r="C47" s="13">
        <f>Tuts!E46</f>
        <v>385</v>
      </c>
      <c r="D47" s="18">
        <f>Tuts!J46</f>
        <v>355.57142857142861</v>
      </c>
      <c r="E47" s="13">
        <f>Tuts!D46</f>
        <v>248.9</v>
      </c>
    </row>
    <row r="48" spans="2:5" ht="15.75" hidden="1" customHeight="1">
      <c r="B48" t="str">
        <f>Tuts!B47</f>
        <v>APARELHO VENTISOL VENTILADOR DE MESA TURBO ECO 30CM</v>
      </c>
      <c r="C48" s="13">
        <f>Tuts!E47</f>
        <v>188</v>
      </c>
      <c r="D48" s="18">
        <f>Tuts!J47</f>
        <v>174.27142857142857</v>
      </c>
      <c r="E48" s="13">
        <f>Tuts!D47</f>
        <v>121.99</v>
      </c>
    </row>
    <row r="49" spans="2:5" ht="15.75" hidden="1" customHeight="1">
      <c r="B49" t="str">
        <f>Tuts!B48</f>
        <v>APARELHO VENTSOL VENTILADOR DE COLUNA 50CM</v>
      </c>
      <c r="C49" s="13">
        <f>Tuts!E48</f>
        <v>356</v>
      </c>
      <c r="D49" s="18">
        <f>Tuts!J48</f>
        <v>321.48571428571432</v>
      </c>
      <c r="E49" s="13">
        <f>Tuts!D48</f>
        <v>225.04</v>
      </c>
    </row>
    <row r="50" spans="2:5" ht="15.75" hidden="1" customHeight="1">
      <c r="B50" t="str">
        <f>Tuts!B49</f>
        <v>APLICADOR DE SILICONE LEVE</v>
      </c>
      <c r="C50" s="13">
        <f>Tuts!E49</f>
        <v>22</v>
      </c>
      <c r="D50" s="18">
        <f>Tuts!J49</f>
        <v>16.428571428571431</v>
      </c>
      <c r="E50" s="13">
        <f>Tuts!D49</f>
        <v>11.5</v>
      </c>
    </row>
    <row r="51" spans="2:5" ht="15.75" hidden="1" customHeight="1">
      <c r="B51" t="str">
        <f>Tuts!B50</f>
        <v>APLICADOR DE SILICONE PROFISSINAL VERMELHO</v>
      </c>
      <c r="C51" s="13">
        <f>Tuts!E50</f>
        <v>55</v>
      </c>
      <c r="D51" s="18">
        <f>Tuts!J50</f>
        <v>49.985714285714295</v>
      </c>
      <c r="E51" s="13">
        <f>Tuts!D50</f>
        <v>34.99</v>
      </c>
    </row>
    <row r="52" spans="2:5" ht="15.75" hidden="1" customHeight="1">
      <c r="B52" t="str">
        <f>Tuts!B51</f>
        <v>APLICADOR SILICONE PU REFORÇADO</v>
      </c>
      <c r="C52" s="13">
        <f>Tuts!E51</f>
        <v>28.9</v>
      </c>
      <c r="D52" s="18">
        <f>Tuts!J51</f>
        <v>25.428571428571431</v>
      </c>
      <c r="E52" s="13">
        <f>Tuts!D51</f>
        <v>17.8</v>
      </c>
    </row>
    <row r="53" spans="2:5" ht="15.75" hidden="1" customHeight="1">
      <c r="B53" t="str">
        <f>Tuts!B52</f>
        <v>ARALDITE HOBBY 16G</v>
      </c>
      <c r="C53" s="13">
        <f>Tuts!E52</f>
        <v>26</v>
      </c>
      <c r="D53" s="18">
        <f>Tuts!J52</f>
        <v>23.514285714285716</v>
      </c>
      <c r="E53" s="13">
        <f>Tuts!D52</f>
        <v>16.46</v>
      </c>
    </row>
    <row r="54" spans="2:5" ht="15.75" hidden="1" customHeight="1">
      <c r="B54" t="str">
        <f>Tuts!B53</f>
        <v>ARALDITE HOBBY 23G</v>
      </c>
      <c r="C54" s="13">
        <f>Tuts!E53</f>
        <v>30.5</v>
      </c>
      <c r="D54" s="18">
        <f>Tuts!J53</f>
        <v>32.028571428571432</v>
      </c>
      <c r="E54" s="13">
        <f>Tuts!D53</f>
        <v>22.42</v>
      </c>
    </row>
    <row r="55" spans="2:5" ht="15.75" hidden="1" customHeight="1">
      <c r="B55" t="str">
        <f>Tuts!B54</f>
        <v>ARAME FARPADO 400M F14 VARJAO BELGO</v>
      </c>
      <c r="C55" s="13">
        <f>Tuts!E54</f>
        <v>535</v>
      </c>
      <c r="D55" s="18">
        <f>Tuts!J54</f>
        <v>496.48571428571432</v>
      </c>
      <c r="E55" s="13">
        <f>Tuts!D54</f>
        <v>347.54</v>
      </c>
    </row>
    <row r="56" spans="2:5" ht="15.75" hidden="1" customHeight="1">
      <c r="B56" t="str">
        <f>Tuts!B55</f>
        <v>ARAME FARPADO 500M F16 FORTE BELGO</v>
      </c>
      <c r="C56" s="13">
        <f>Tuts!E55</f>
        <v>530</v>
      </c>
      <c r="D56" s="18">
        <f>Tuts!J55</f>
        <v>490.85714285714295</v>
      </c>
      <c r="E56" s="13">
        <f>Tuts!D55</f>
        <v>343.6</v>
      </c>
    </row>
    <row r="57" spans="2:5" ht="15.75" hidden="1" customHeight="1">
      <c r="B57" t="str">
        <f>Tuts!B56</f>
        <v>ARAME LISO ZINCADO 12MM</v>
      </c>
      <c r="C57" s="13">
        <f>Tuts!E56</f>
        <v>24</v>
      </c>
      <c r="D57" s="18">
        <f>Tuts!J56</f>
        <v>21.571428571428573</v>
      </c>
      <c r="E57" s="13">
        <f>Tuts!D56</f>
        <v>15.1</v>
      </c>
    </row>
    <row r="58" spans="2:5" ht="15.75" hidden="1" customHeight="1">
      <c r="B58" t="str">
        <f>Tuts!B57</f>
        <v>ARAME LISO ZINCADO 14mm</v>
      </c>
      <c r="C58" s="13">
        <f>Tuts!E57</f>
        <v>24</v>
      </c>
      <c r="D58" s="18">
        <f>Tuts!J57</f>
        <v>21.357142857142858</v>
      </c>
      <c r="E58" s="13">
        <f>Tuts!D57</f>
        <v>14.95</v>
      </c>
    </row>
    <row r="59" spans="2:5" ht="15.75" hidden="1" customHeight="1">
      <c r="B59" t="str">
        <f>Tuts!B58</f>
        <v>ARAME LISO ZINCADO 16mm</v>
      </c>
      <c r="C59" s="13">
        <f>Tuts!E58</f>
        <v>26</v>
      </c>
      <c r="D59" s="18">
        <f>Tuts!J58</f>
        <v>23.771428571428572</v>
      </c>
      <c r="E59" s="13">
        <f>Tuts!D58</f>
        <v>16.64</v>
      </c>
    </row>
    <row r="60" spans="2:5" ht="15.75" hidden="1" customHeight="1">
      <c r="B60" t="str">
        <f>Tuts!B59</f>
        <v>ARAME LISO ZINCADO 20MM</v>
      </c>
      <c r="C60" s="13">
        <f>Tuts!E59</f>
        <v>46</v>
      </c>
      <c r="D60" s="18">
        <f>Tuts!J59</f>
        <v>42.18571428571429</v>
      </c>
      <c r="E60" s="13">
        <f>Tuts!D59</f>
        <v>29.53</v>
      </c>
    </row>
    <row r="61" spans="2:5" ht="15.75" hidden="1" customHeight="1">
      <c r="B61" t="str">
        <f>Tuts!B60</f>
        <v>ARAME RECOZIDO TORCIDO 1KG</v>
      </c>
      <c r="C61" s="13">
        <f>Tuts!E60</f>
        <v>24</v>
      </c>
      <c r="D61" s="18">
        <f>Tuts!J60</f>
        <v>20</v>
      </c>
      <c r="E61" s="13">
        <f>Tuts!D60</f>
        <v>14</v>
      </c>
    </row>
    <row r="62" spans="2:5" ht="15.75" hidden="1" customHeight="1">
      <c r="B62" t="str">
        <f>Tuts!B61</f>
        <v>ARANDELA/PENDENTE LUMINARIA AÇO IDEAL</v>
      </c>
      <c r="C62" s="13">
        <f>Tuts!E61</f>
        <v>78</v>
      </c>
      <c r="D62" s="18">
        <f>Tuts!J61</f>
        <v>69.985714285714295</v>
      </c>
      <c r="E62" s="13">
        <f>Tuts!D61</f>
        <v>48.99</v>
      </c>
    </row>
    <row r="63" spans="2:5" ht="15.75" hidden="1" customHeight="1">
      <c r="B63" t="str">
        <f>Tuts!B62</f>
        <v>ARCO DE SERRA 12'' PLASTICO</v>
      </c>
      <c r="C63" s="13">
        <f>Tuts!E62</f>
        <v>26</v>
      </c>
      <c r="D63" s="18">
        <f>Tuts!J62</f>
        <v>21.414285714285715</v>
      </c>
      <c r="E63" s="13">
        <f>Tuts!D62</f>
        <v>14.99</v>
      </c>
    </row>
    <row r="64" spans="2:5" ht="15.75" hidden="1" customHeight="1">
      <c r="B64" t="str">
        <f>Tuts!B63</f>
        <v>ARCO DE SERRA 12'' VERMELHO LOTUS</v>
      </c>
      <c r="C64" s="13">
        <f>Tuts!E63</f>
        <v>42</v>
      </c>
      <c r="D64" s="18">
        <f>Tuts!J63</f>
        <v>37.128571428571426</v>
      </c>
      <c r="E64" s="13">
        <f>Tuts!D63</f>
        <v>25.99</v>
      </c>
    </row>
    <row r="65" spans="2:5" ht="15.75" hidden="1" customHeight="1">
      <c r="B65" t="str">
        <f>Tuts!B64</f>
        <v>AREIA GROSSA</v>
      </c>
      <c r="C65" s="13">
        <f>Tuts!E64</f>
        <v>90</v>
      </c>
      <c r="D65" s="18">
        <f>Tuts!J64</f>
        <v>101.42857142857143</v>
      </c>
      <c r="E65" s="13">
        <f>Tuts!D64</f>
        <v>71</v>
      </c>
    </row>
    <row r="66" spans="2:5" ht="15.75" hidden="1" customHeight="1">
      <c r="B66" t="str">
        <f>Tuts!B65</f>
        <v>AREIA LAVADA</v>
      </c>
      <c r="C66" s="13">
        <f>Tuts!E65</f>
        <v>90</v>
      </c>
      <c r="D66" s="18">
        <f>Tuts!J65</f>
        <v>94.285714285714292</v>
      </c>
      <c r="E66" s="13">
        <f>Tuts!D65</f>
        <v>66</v>
      </c>
    </row>
    <row r="67" spans="2:5" ht="15.75" hidden="1" customHeight="1">
      <c r="B67" t="str">
        <f>Tuts!B66</f>
        <v>AREJADOR TORNEIRA ANTIRRESPINGO</v>
      </c>
      <c r="C67" s="13">
        <f>Tuts!E66</f>
        <v>14</v>
      </c>
      <c r="D67" s="18">
        <f>Tuts!J66</f>
        <v>12.142857142857144</v>
      </c>
      <c r="E67" s="13">
        <f>Tuts!D66</f>
        <v>8.5</v>
      </c>
    </row>
    <row r="68" spans="2:5" ht="15.75" hidden="1" customHeight="1">
      <c r="B68" t="str">
        <f>Tuts!B67</f>
        <v>ARGAMASSA ARGACELIT AC2</v>
      </c>
      <c r="C68" s="13">
        <f>Tuts!E67</f>
        <v>25</v>
      </c>
      <c r="D68" s="18">
        <f>Tuts!J67</f>
        <v>22.714285714285715</v>
      </c>
      <c r="E68" s="13">
        <f>Tuts!D67</f>
        <v>15.9</v>
      </c>
    </row>
    <row r="69" spans="2:5" ht="15.75" hidden="1" customHeight="1">
      <c r="B69" t="str">
        <f>Tuts!B68</f>
        <v>ARGAMASSA ARGACELIT AC3 PSP</v>
      </c>
      <c r="C69" s="13">
        <f>Tuts!E68</f>
        <v>30</v>
      </c>
      <c r="D69" s="18">
        <f>Tuts!J68</f>
        <v>27</v>
      </c>
      <c r="E69" s="13">
        <f>Tuts!D68</f>
        <v>18.899999999999999</v>
      </c>
    </row>
    <row r="70" spans="2:5" ht="15.75" hidden="1" customHeight="1">
      <c r="B70" t="str">
        <f>Tuts!B69</f>
        <v>ARGAMASSA VOTOMASSA AC1 20KG</v>
      </c>
      <c r="C70" s="13">
        <f>Tuts!E69</f>
        <v>15.5</v>
      </c>
      <c r="D70" s="18">
        <f>Tuts!J69</f>
        <v>15.471428571428573</v>
      </c>
      <c r="E70" s="13">
        <f>Tuts!D69</f>
        <v>10.83</v>
      </c>
    </row>
    <row r="71" spans="2:5" ht="15.75" hidden="1" customHeight="1">
      <c r="B71" t="str">
        <f>Tuts!B70</f>
        <v>ARGAMASSA VOTOMASSA AC2 20KG</v>
      </c>
      <c r="C71" s="13">
        <f>Tuts!E70</f>
        <v>28</v>
      </c>
      <c r="D71" s="18">
        <f>Tuts!J70</f>
        <v>28.642857142857146</v>
      </c>
      <c r="E71" s="13">
        <f>Tuts!D70</f>
        <v>20.05</v>
      </c>
    </row>
    <row r="72" spans="2:5" ht="15.75" hidden="1" customHeight="1">
      <c r="B72" t="str">
        <f>Tuts!B71</f>
        <v>ARGAMASSA VOTOMASSA AC3 20KG</v>
      </c>
      <c r="C72" s="13">
        <f>Tuts!E71</f>
        <v>32</v>
      </c>
      <c r="D72" s="18">
        <f>Tuts!J71</f>
        <v>39.571428571428569</v>
      </c>
      <c r="E72" s="13">
        <f>Tuts!D71</f>
        <v>27.7</v>
      </c>
    </row>
    <row r="73" spans="2:5" ht="15.75" hidden="1" customHeight="1">
      <c r="B73" t="str">
        <f>Tuts!B72</f>
        <v>ARMARIO PLASTICO ASTRA A52*BR1</v>
      </c>
      <c r="C73" s="13">
        <f>Tuts!E72</f>
        <v>77.3</v>
      </c>
      <c r="D73" s="18">
        <f>Tuts!J72</f>
        <v>68.428571428571431</v>
      </c>
      <c r="E73" s="13">
        <f>Tuts!D72</f>
        <v>47.9</v>
      </c>
    </row>
    <row r="74" spans="2:5" ht="15.75" hidden="1" customHeight="1">
      <c r="B74" t="str">
        <f>Tuts!B73</f>
        <v xml:space="preserve">ARMARIO PLASTICO ATLAS BANHEIRO </v>
      </c>
      <c r="C74" s="13">
        <f>Tuts!E73</f>
        <v>65</v>
      </c>
      <c r="D74" s="18">
        <f>Tuts!J73</f>
        <v>59.271428571428579</v>
      </c>
      <c r="E74" s="13">
        <f>Tuts!D73</f>
        <v>41.49</v>
      </c>
    </row>
    <row r="75" spans="2:5" ht="15.75" hidden="1" customHeight="1">
      <c r="B75" t="str">
        <f>Tuts!B74</f>
        <v>ARMARIO PLASTICO HERCBANHEIRO 34X37</v>
      </c>
      <c r="C75" s="13">
        <f>Tuts!E74</f>
        <v>67</v>
      </c>
      <c r="D75" s="18">
        <f>Tuts!J74</f>
        <v>61.228571428571435</v>
      </c>
      <c r="E75" s="13">
        <f>Tuts!D74</f>
        <v>42.86</v>
      </c>
    </row>
    <row r="76" spans="2:5" ht="15.75" hidden="1" customHeight="1">
      <c r="B76" t="str">
        <f>Tuts!B75</f>
        <v>ARO RODA CARRIOLA UNIVERSAL FERJA</v>
      </c>
      <c r="C76" s="13">
        <f>Tuts!E75</f>
        <v>53</v>
      </c>
      <c r="D76" s="18">
        <f>Tuts!J75</f>
        <v>49.2</v>
      </c>
      <c r="E76" s="13">
        <f>Tuts!D75</f>
        <v>34.44</v>
      </c>
    </row>
    <row r="77" spans="2:5" ht="15.75" hidden="1" customHeight="1">
      <c r="B77" t="str">
        <f>Tuts!B76</f>
        <v>ARRUELA ELETRODUTO CONDUITE 1.1/4 ALUMINIO</v>
      </c>
      <c r="C77" s="13">
        <f>Tuts!E76</f>
        <v>2.5</v>
      </c>
      <c r="D77" s="18">
        <f>Tuts!J76</f>
        <v>1.9571428571428575</v>
      </c>
      <c r="E77" s="13">
        <f>Tuts!D76</f>
        <v>1.37</v>
      </c>
    </row>
    <row r="78" spans="2:5" ht="15.75" hidden="1" customHeight="1">
      <c r="B78" t="str">
        <f>Tuts!B77</f>
        <v>ARRUELA LISA PRESSAO 5/16</v>
      </c>
      <c r="C78" s="13">
        <f>Tuts!E77</f>
        <v>0.18</v>
      </c>
      <c r="D78" s="18">
        <f>Tuts!J77</f>
        <v>0.14285714285714288</v>
      </c>
      <c r="E78" s="13">
        <f>Tuts!D77</f>
        <v>0.1</v>
      </c>
    </row>
    <row r="79" spans="2:5" ht="15.75" hidden="1" customHeight="1">
      <c r="B79" t="str">
        <f>Tuts!B78</f>
        <v>ARRUELA LISA ZINCADA 1/2</v>
      </c>
      <c r="C79" s="13">
        <f>Tuts!E78</f>
        <v>0.9</v>
      </c>
      <c r="D79" s="18">
        <f>Tuts!J78</f>
        <v>0.62857142857142867</v>
      </c>
      <c r="E79" s="13">
        <f>Tuts!D78</f>
        <v>0.44</v>
      </c>
    </row>
    <row r="80" spans="2:5" ht="15.75" hidden="1" customHeight="1">
      <c r="B80" t="str">
        <f>Tuts!B79</f>
        <v>ARRUELA LISA ZINCADA 1/4</v>
      </c>
      <c r="C80" s="13">
        <f>Tuts!E79</f>
        <v>0.15</v>
      </c>
      <c r="D80" s="18">
        <f>Tuts!J79</f>
        <v>0.10000000000000002</v>
      </c>
      <c r="E80" s="13">
        <f>Tuts!D79</f>
        <v>7.0000000000000007E-2</v>
      </c>
    </row>
    <row r="81" spans="2:5" ht="15.75" hidden="1" customHeight="1">
      <c r="B81" t="str">
        <f>Tuts!B80</f>
        <v>ARRUELA LISA ZINCADA 3/4</v>
      </c>
      <c r="C81" s="13">
        <f>Tuts!E80</f>
        <v>3.5</v>
      </c>
      <c r="D81" s="18">
        <f>Tuts!J80</f>
        <v>2.4</v>
      </c>
      <c r="E81" s="13">
        <f>Tuts!D80</f>
        <v>1.68</v>
      </c>
    </row>
    <row r="82" spans="2:5" ht="15.75" hidden="1" customHeight="1">
      <c r="B82" t="str">
        <f>Tuts!B81</f>
        <v xml:space="preserve">ARRUELA LISA ZINCADA 3/8 </v>
      </c>
      <c r="C82" s="13">
        <f>Tuts!E81</f>
        <v>0.25</v>
      </c>
      <c r="D82" s="18">
        <f>Tuts!J81</f>
        <v>0.22857142857142859</v>
      </c>
      <c r="E82" s="13">
        <f>Tuts!D81</f>
        <v>0.16</v>
      </c>
    </row>
    <row r="83" spans="2:5" ht="15.75" hidden="1" customHeight="1">
      <c r="B83" t="str">
        <f>Tuts!B82</f>
        <v xml:space="preserve">ARRUELA LISA ZINCADA 5/16 </v>
      </c>
      <c r="C83" s="13">
        <f>Tuts!E82</f>
        <v>0.2</v>
      </c>
      <c r="D83" s="18">
        <f>Tuts!J82</f>
        <v>0.12857142857142859</v>
      </c>
      <c r="E83" s="13">
        <f>Tuts!D82</f>
        <v>0.09</v>
      </c>
    </row>
    <row r="84" spans="2:5" ht="15.75" hidden="1" customHeight="1">
      <c r="B84" t="str">
        <f>Tuts!B83</f>
        <v>ASCCA GRELHA COM COLETOR ANTI INSETO MONTAVEL 15X25</v>
      </c>
      <c r="C84" s="13">
        <f>Tuts!E83</f>
        <v>35</v>
      </c>
      <c r="D84" s="18">
        <f>Tuts!J83</f>
        <v>31.3</v>
      </c>
      <c r="E84" s="13">
        <f>Tuts!D83</f>
        <v>21.91</v>
      </c>
    </row>
    <row r="85" spans="2:5" ht="15.75" hidden="1" customHeight="1">
      <c r="B85" t="str">
        <f>Tuts!B84</f>
        <v>ASSENTO SANITARIO ALUMASA ALMOFADADO</v>
      </c>
      <c r="C85" s="13">
        <f>Tuts!E84</f>
        <v>80</v>
      </c>
      <c r="D85" s="18">
        <f>Tuts!J84</f>
        <v>73.314285714285717</v>
      </c>
      <c r="E85" s="13">
        <f>Tuts!D84</f>
        <v>51.32</v>
      </c>
    </row>
    <row r="86" spans="2:5" ht="15.75" hidden="1" customHeight="1">
      <c r="B86" t="str">
        <f>Tuts!B85</f>
        <v>ASTRA ARMARIO BANHEIRO ALUMINIO AL41*BR1</v>
      </c>
      <c r="C86" s="13">
        <f>Tuts!E85</f>
        <v>115</v>
      </c>
      <c r="D86" s="18">
        <f>Tuts!J85</f>
        <v>104.57142857142858</v>
      </c>
      <c r="E86" s="13">
        <f>Tuts!D85</f>
        <v>73.2</v>
      </c>
    </row>
    <row r="87" spans="2:5" ht="15.75" hidden="1" customHeight="1">
      <c r="B87" t="str">
        <f>Tuts!B86</f>
        <v>ASTRA ASSENTO SANITAQIO QUADRADO THEMA TTH/PP</v>
      </c>
      <c r="C87" s="13">
        <f>Tuts!E86</f>
        <v>81.900000000000006</v>
      </c>
      <c r="D87" s="18">
        <f>Tuts!J86</f>
        <v>74.671428571428578</v>
      </c>
      <c r="E87" s="13">
        <f>Tuts!D86</f>
        <v>52.27</v>
      </c>
    </row>
    <row r="88" spans="2:5" ht="15.75" hidden="1" customHeight="1">
      <c r="B88" t="str">
        <f>Tuts!B87</f>
        <v>ASTRA ASSENTO SANITARIO ALMOFADADO PERFUMADO TPKP*BR1</v>
      </c>
      <c r="C88" s="13">
        <f>Tuts!E87</f>
        <v>112</v>
      </c>
      <c r="D88" s="18">
        <f>Tuts!J87</f>
        <v>103.9</v>
      </c>
      <c r="E88" s="13">
        <f>Tuts!D87</f>
        <v>72.73</v>
      </c>
    </row>
    <row r="89" spans="2:5" ht="15.75" hidden="1" customHeight="1">
      <c r="B89" t="str">
        <f>Tuts!B88</f>
        <v>ASTRA ASSENTO SANITARIO ALMOFADADO TPK/AS</v>
      </c>
      <c r="C89" s="13">
        <f>Tuts!E88</f>
        <v>89.9</v>
      </c>
      <c r="D89" s="18">
        <f>Tuts!J88</f>
        <v>83.328571428571436</v>
      </c>
      <c r="E89" s="13">
        <f>Tuts!D88</f>
        <v>58.33</v>
      </c>
    </row>
    <row r="90" spans="2:5" ht="15.75" hidden="1" customHeight="1">
      <c r="B90" t="str">
        <f>Tuts!B89</f>
        <v>ASTRA ASSENTO SANITARIO CLASSIQUE</v>
      </c>
      <c r="C90" s="13">
        <f>Tuts!E89</f>
        <v>53.9</v>
      </c>
      <c r="D90" s="18">
        <f>Tuts!J89</f>
        <v>50</v>
      </c>
      <c r="E90" s="13">
        <f>Tuts!D89</f>
        <v>35</v>
      </c>
    </row>
    <row r="91" spans="2:5" ht="15.75" hidden="1" customHeight="1">
      <c r="B91" t="str">
        <f>Tuts!B90</f>
        <v xml:space="preserve">ASTRA ASSENTO SANITARIO MASTER </v>
      </c>
      <c r="C91" s="13">
        <f>Tuts!E90</f>
        <v>79.900000000000006</v>
      </c>
      <c r="D91" s="18">
        <f>Tuts!J90</f>
        <v>73.242857142857147</v>
      </c>
      <c r="E91" s="13">
        <f>Tuts!D90</f>
        <v>51.27</v>
      </c>
    </row>
    <row r="92" spans="2:5" ht="15.75" hidden="1" customHeight="1">
      <c r="B92" t="str">
        <f>Tuts!B91</f>
        <v>ASTRA ASSENTO SANITARIO POP POPULAR</v>
      </c>
      <c r="C92" s="13">
        <f>Tuts!E91</f>
        <v>27.9</v>
      </c>
      <c r="D92" s="18">
        <f>Tuts!J91</f>
        <v>24.285714285714288</v>
      </c>
      <c r="E92" s="13">
        <f>Tuts!D91</f>
        <v>17</v>
      </c>
    </row>
    <row r="93" spans="2:5" ht="15.75" hidden="1" customHeight="1">
      <c r="B93" t="str">
        <f>Tuts!B92</f>
        <v>ASTRA ASSENTO SANITARIO QUADRADADO ALMOFADADO TTH/K*BCO-01</v>
      </c>
      <c r="C93" s="13">
        <f>Tuts!E92</f>
        <v>138</v>
      </c>
      <c r="D93" s="18">
        <f>Tuts!J92</f>
        <v>126.37142857142857</v>
      </c>
      <c r="E93" s="13">
        <f>Tuts!D92</f>
        <v>88.46</v>
      </c>
    </row>
    <row r="94" spans="2:5" ht="15.75" hidden="1" customHeight="1">
      <c r="B94" t="str">
        <f>Tuts!B93</f>
        <v>ASTRA ASSENTO SANITARIO QUADRADADO SOFT TTH/J*BCO-01</v>
      </c>
      <c r="C94" s="13">
        <f>Tuts!E93</f>
        <v>110</v>
      </c>
      <c r="D94" s="18">
        <f>Tuts!J93</f>
        <v>100.1</v>
      </c>
      <c r="E94" s="13">
        <f>Tuts!D93</f>
        <v>70.069999999999993</v>
      </c>
    </row>
    <row r="95" spans="2:5" ht="15.75" hidden="1" customHeight="1">
      <c r="B95" t="str">
        <f>Tuts!B94</f>
        <v>ASTRA ASSENTO SANITARIO SLIM TAJ/AS*BR1</v>
      </c>
      <c r="C95" s="13">
        <f>Tuts!E94</f>
        <v>79.900000000000006</v>
      </c>
      <c r="D95" s="18">
        <f>Tuts!J94</f>
        <v>73.171428571428578</v>
      </c>
      <c r="E95" s="13">
        <f>Tuts!D94</f>
        <v>51.22</v>
      </c>
    </row>
    <row r="96" spans="2:5" ht="15.75" hidden="1" customHeight="1">
      <c r="B96" t="str">
        <f>Tuts!B95</f>
        <v>ASTRA ASSENTO SANITARIO SOFT</v>
      </c>
      <c r="C96" s="13">
        <f>Tuts!E95</f>
        <v>41.9</v>
      </c>
      <c r="D96" s="18">
        <f>Tuts!J95</f>
        <v>38.128571428571433</v>
      </c>
      <c r="E96" s="13">
        <f>Tuts!D95</f>
        <v>26.69</v>
      </c>
    </row>
    <row r="97" spans="2:5" ht="15.75" hidden="1" customHeight="1">
      <c r="B97" t="str">
        <f>Tuts!B96</f>
        <v>ASTRA ASSENTO SANITARIO TALENTO OVAL</v>
      </c>
      <c r="C97" s="13">
        <f>Tuts!E96</f>
        <v>33.9</v>
      </c>
      <c r="D97" s="18">
        <f>Tuts!J96</f>
        <v>30.371428571428577</v>
      </c>
      <c r="E97" s="13">
        <f>Tuts!D96</f>
        <v>21.26</v>
      </c>
    </row>
    <row r="98" spans="2:5" ht="15.75" hidden="1" customHeight="1">
      <c r="B98" t="str">
        <f>Tuts!B97</f>
        <v>ASTRA BACIA 14L</v>
      </c>
      <c r="C98" s="13">
        <f>Tuts!E97</f>
        <v>32.9</v>
      </c>
      <c r="D98" s="18">
        <f>Tuts!J97</f>
        <v>30.228571428571431</v>
      </c>
      <c r="E98" s="13">
        <f>Tuts!D97</f>
        <v>21.16</v>
      </c>
    </row>
    <row r="99" spans="2:5" ht="15.75" hidden="1" customHeight="1">
      <c r="B99" t="str">
        <f>Tuts!B98</f>
        <v>ASTRA BACIA 20L</v>
      </c>
      <c r="C99" s="13">
        <f>Tuts!E98</f>
        <v>41.9</v>
      </c>
      <c r="D99" s="18">
        <f>Tuts!J98</f>
        <v>37.1</v>
      </c>
      <c r="E99" s="13">
        <f>Tuts!D98</f>
        <v>25.97</v>
      </c>
    </row>
    <row r="100" spans="2:5" ht="15.75" hidden="1" customHeight="1">
      <c r="B100" t="str">
        <f>Tuts!B99</f>
        <v>ASTRA BACIA 25L</v>
      </c>
      <c r="C100" s="13">
        <f>Tuts!E99</f>
        <v>48</v>
      </c>
      <c r="D100" s="18">
        <f>Tuts!J99</f>
        <v>44.528571428571432</v>
      </c>
      <c r="E100" s="13">
        <f>Tuts!D99</f>
        <v>31.17</v>
      </c>
    </row>
    <row r="101" spans="2:5" ht="15.75" hidden="1" customHeight="1">
      <c r="B101" t="str">
        <f>Tuts!B100</f>
        <v>ASTRA BOIA 3/4 x 1/2 TB1234</v>
      </c>
      <c r="C101" s="13">
        <f>Tuts!E100</f>
        <v>21</v>
      </c>
      <c r="D101" s="18">
        <f>Tuts!J100</f>
        <v>19.000000000000004</v>
      </c>
      <c r="E101" s="13">
        <f>Tuts!D100</f>
        <v>13.3</v>
      </c>
    </row>
    <row r="102" spans="2:5" ht="15.75" hidden="1" customHeight="1">
      <c r="B102" t="str">
        <f>Tuts!B101</f>
        <v>ASTRA CAIXA BAIXA DE DESCARGA</v>
      </c>
      <c r="C102" s="13">
        <f>Tuts!E101</f>
        <v>222</v>
      </c>
      <c r="D102" s="18">
        <f>Tuts!J101</f>
        <v>201.67142857142858</v>
      </c>
      <c r="E102" s="13">
        <f>Tuts!D101</f>
        <v>141.16999999999999</v>
      </c>
    </row>
    <row r="103" spans="2:5" ht="15.75" hidden="1" customHeight="1">
      <c r="B103" t="str">
        <f>Tuts!B102</f>
        <v>ASTRA CAIXA DE DESCARGA 9L</v>
      </c>
      <c r="C103" s="13">
        <f>Tuts!E102</f>
        <v>45</v>
      </c>
      <c r="D103" s="18">
        <f>Tuts!J102</f>
        <v>44.271428571428572</v>
      </c>
      <c r="E103" s="13">
        <f>Tuts!D102</f>
        <v>30.99</v>
      </c>
    </row>
    <row r="104" spans="2:5" ht="15.75" hidden="1" customHeight="1">
      <c r="B104" t="str">
        <f>Tuts!B103</f>
        <v>ASTRA CAIXA DE DESCARGA ACOPLADA DUPLO ACIONAMENTO CAU1</v>
      </c>
      <c r="C104" s="13">
        <f>Tuts!E103</f>
        <v>225</v>
      </c>
      <c r="D104" s="18">
        <f>Tuts!J103</f>
        <v>201.67142857142858</v>
      </c>
      <c r="E104" s="13">
        <f>Tuts!D103</f>
        <v>141.16999999999999</v>
      </c>
    </row>
    <row r="105" spans="2:5" ht="15.75" hidden="1" customHeight="1">
      <c r="B105" t="str">
        <f>Tuts!B104</f>
        <v>ASTRA CAIXA DE DESCARGA ACOPLADA DUPLO ACIONAMENTO CAU2</v>
      </c>
      <c r="C105" s="13">
        <f>Tuts!E104</f>
        <v>256</v>
      </c>
      <c r="D105" s="18">
        <f>Tuts!J104</f>
        <v>237.55714285714285</v>
      </c>
      <c r="E105" s="13">
        <f>Tuts!D104</f>
        <v>166.29</v>
      </c>
    </row>
    <row r="106" spans="2:5" ht="15.75" hidden="1" customHeight="1">
      <c r="B106" t="str">
        <f>Tuts!B105</f>
        <v>ASTRA SIFAO FLEXIVEL HORIZONTAL 1.1/2 BOCA LARGA</v>
      </c>
      <c r="C106" s="13">
        <f>Tuts!E105</f>
        <v>27</v>
      </c>
      <c r="D106" s="18">
        <f>Tuts!J105</f>
        <v>24.242857142857144</v>
      </c>
      <c r="E106" s="13">
        <f>Tuts!D105</f>
        <v>16.97</v>
      </c>
    </row>
    <row r="107" spans="2:5" ht="15.75" hidden="1" customHeight="1">
      <c r="B107" t="str">
        <f>Tuts!B106</f>
        <v>ASTRA SIFAO FLEXIVEL HORIZONTAL 7/8'' BOCA PEQUENA</v>
      </c>
      <c r="C107" s="13">
        <f>Tuts!E106</f>
        <v>26</v>
      </c>
      <c r="D107" s="18">
        <f>Tuts!J106</f>
        <v>23.285714285714288</v>
      </c>
      <c r="E107" s="13">
        <f>Tuts!D106</f>
        <v>16.3</v>
      </c>
    </row>
    <row r="108" spans="2:5" ht="15.75" hidden="1" customHeight="1">
      <c r="B108" t="str">
        <f>Tuts!B107</f>
        <v>ASTRA SIFAO SANFONADO CROMADO PRATA</v>
      </c>
      <c r="C108" s="13">
        <f>Tuts!E107</f>
        <v>19.899999999999999</v>
      </c>
      <c r="D108" s="18">
        <f>Tuts!J107</f>
        <v>15.057142857142857</v>
      </c>
      <c r="E108" s="13">
        <f>Tuts!D107</f>
        <v>10.54</v>
      </c>
    </row>
    <row r="109" spans="2:5" ht="15.75" hidden="1" customHeight="1">
      <c r="B109" t="str">
        <f>Tuts!B108</f>
        <v>ASTRA SIFAO SANFONADO PRETO</v>
      </c>
      <c r="C109" s="13">
        <f>Tuts!E108</f>
        <v>10</v>
      </c>
      <c r="D109" s="18">
        <f>Tuts!J108</f>
        <v>7.0285714285714294</v>
      </c>
      <c r="E109" s="13">
        <f>Tuts!D108</f>
        <v>4.92</v>
      </c>
    </row>
    <row r="110" spans="2:5" ht="15.75" hidden="1" customHeight="1">
      <c r="B110" t="str">
        <f>Tuts!B109</f>
        <v>ASTRA SUPORTE DE MANGUEIRA PLASTICO PMJ*VD5</v>
      </c>
      <c r="C110" s="13">
        <f>Tuts!E109</f>
        <v>21.9</v>
      </c>
      <c r="D110" s="18">
        <f>Tuts!J109</f>
        <v>19.557142857142857</v>
      </c>
      <c r="E110" s="13">
        <f>Tuts!D109</f>
        <v>13.69</v>
      </c>
    </row>
    <row r="111" spans="2:5" ht="15.75" hidden="1" customHeight="1">
      <c r="B111" t="str">
        <f>Tuts!B110</f>
        <v>ATLAS ASSENTO ALMOFADADO OVAL BRANCO</v>
      </c>
      <c r="C111" s="13">
        <f>Tuts!E110</f>
        <v>77</v>
      </c>
      <c r="D111" s="18">
        <f>Tuts!J110</f>
        <v>73.271428571428572</v>
      </c>
      <c r="E111" s="13">
        <f>Tuts!D110</f>
        <v>51.29</v>
      </c>
    </row>
    <row r="112" spans="2:5" ht="15.75" hidden="1" customHeight="1">
      <c r="B112" t="str">
        <f>Tuts!B111</f>
        <v>ATLAS ASSENTO SANITARIO ALMOFADADO QUADRADO</v>
      </c>
      <c r="C112" s="13">
        <f>Tuts!E111</f>
        <v>125</v>
      </c>
      <c r="D112" s="18">
        <f>Tuts!J111</f>
        <v>115.6857142857143</v>
      </c>
      <c r="E112" s="13">
        <f>Tuts!D111</f>
        <v>80.98</v>
      </c>
    </row>
    <row r="113" spans="2:5" ht="15.75" hidden="1" customHeight="1">
      <c r="B113" t="str">
        <f>Tuts!B112</f>
        <v>ATLAS ROLO 23CM RENDEPLUS</v>
      </c>
      <c r="C113" s="13">
        <f>Tuts!E112</f>
        <v>18</v>
      </c>
      <c r="D113" s="18">
        <f>Tuts!J112</f>
        <v>15.700000000000001</v>
      </c>
      <c r="E113" s="13">
        <f>Tuts!D112</f>
        <v>10.99</v>
      </c>
    </row>
    <row r="114" spans="2:5" ht="15.75" hidden="1" customHeight="1">
      <c r="B114" t="str">
        <f>Tuts!B113</f>
        <v>ATLAS ROLO DE TEXTURA 23CM MEDIA/RUSTICA</v>
      </c>
      <c r="C114" s="13">
        <f>Tuts!E113</f>
        <v>24</v>
      </c>
      <c r="D114" s="18">
        <f>Tuts!J113</f>
        <v>21.357142857142858</v>
      </c>
      <c r="E114" s="13">
        <f>Tuts!D113</f>
        <v>14.95</v>
      </c>
    </row>
    <row r="115" spans="2:5" ht="15.75" hidden="1" customHeight="1">
      <c r="B115" t="str">
        <f>Tuts!B114</f>
        <v>ATLAS ROLO ESPUMA AMARELA 15CM</v>
      </c>
      <c r="C115" s="13">
        <f>Tuts!E114</f>
        <v>10.199999999999999</v>
      </c>
      <c r="D115" s="18">
        <f>Tuts!J114</f>
        <v>9.4285714285714288</v>
      </c>
      <c r="E115" s="13">
        <f>Tuts!D114</f>
        <v>6.6</v>
      </c>
    </row>
    <row r="116" spans="2:5" ht="15.75" hidden="1" customHeight="1">
      <c r="B116" t="str">
        <f>Tuts!B115</f>
        <v>ATLAS ROLO ESPUMA CZ 23CM</v>
      </c>
      <c r="C116" s="13">
        <f>Tuts!E115</f>
        <v>17</v>
      </c>
      <c r="D116" s="18">
        <f>Tuts!J115</f>
        <v>15.014285714285714</v>
      </c>
      <c r="E116" s="13">
        <f>Tuts!D115</f>
        <v>10.51</v>
      </c>
    </row>
    <row r="117" spans="2:5" ht="15.75" hidden="1" customHeight="1">
      <c r="B117" t="str">
        <f>Tuts!B116</f>
        <v>ATLAS ROLO ESPUMA CZ 5CM</v>
      </c>
      <c r="C117" s="13">
        <f>Tuts!E116</f>
        <v>4.95</v>
      </c>
      <c r="D117" s="18">
        <f>Tuts!J116</f>
        <v>4.5714285714285721</v>
      </c>
      <c r="E117" s="13">
        <f>Tuts!D116</f>
        <v>3.2</v>
      </c>
    </row>
    <row r="118" spans="2:5" ht="15.75" hidden="1" customHeight="1">
      <c r="B118" t="str">
        <f>Tuts!B117</f>
        <v xml:space="preserve">ATLAS ROLO ESPUMA CZ 9CM </v>
      </c>
      <c r="C118" s="13">
        <f>Tuts!E117</f>
        <v>4.9000000000000004</v>
      </c>
      <c r="D118" s="18">
        <f>Tuts!J117</f>
        <v>4.4285714285714288</v>
      </c>
      <c r="E118" s="13">
        <f>Tuts!D117</f>
        <v>3.1</v>
      </c>
    </row>
    <row r="119" spans="2:5" ht="15.75" hidden="1" customHeight="1">
      <c r="B119" t="str">
        <f>Tuts!B118</f>
        <v xml:space="preserve">ATLAS ROLO LÃ ANTI-GOTA 23CM </v>
      </c>
      <c r="C119" s="13">
        <f>Tuts!E118</f>
        <v>27</v>
      </c>
      <c r="D119" s="18">
        <f>Tuts!J118</f>
        <v>24.88571428571429</v>
      </c>
      <c r="E119" s="13">
        <f>Tuts!D118</f>
        <v>17.420000000000002</v>
      </c>
    </row>
    <row r="120" spans="2:5" ht="15.75" hidden="1" customHeight="1">
      <c r="B120" t="str">
        <f>Tuts!B119</f>
        <v>ATLAS ROLO LA ANTI-RESPINGO ECONOMICO 23CM RED 773/10</v>
      </c>
      <c r="C120" s="13">
        <f>Tuts!E119</f>
        <v>12.9</v>
      </c>
      <c r="D120" s="18">
        <f>Tuts!J119</f>
        <v>11.414285714285715</v>
      </c>
      <c r="E120" s="13">
        <f>Tuts!D119</f>
        <v>7.99</v>
      </c>
    </row>
    <row r="121" spans="2:5" ht="15.75" hidden="1" customHeight="1">
      <c r="B121" t="str">
        <f>Tuts!B120</f>
        <v>ATLAS ROLO LA MISTA 15CM</v>
      </c>
      <c r="C121" s="13">
        <f>Tuts!E120</f>
        <v>15.5</v>
      </c>
      <c r="D121" s="18">
        <f>Tuts!J120</f>
        <v>13.100000000000001</v>
      </c>
      <c r="E121" s="13">
        <f>Tuts!D120</f>
        <v>9.17</v>
      </c>
    </row>
    <row r="122" spans="2:5" ht="15.75" hidden="1" customHeight="1">
      <c r="B122" t="str">
        <f>Tuts!B121</f>
        <v>ATLAS ROLO LA MISTA 9CM</v>
      </c>
      <c r="C122" s="13">
        <f>Tuts!E121</f>
        <v>11.5</v>
      </c>
      <c r="D122" s="18">
        <f>Tuts!J121</f>
        <v>10.428571428571429</v>
      </c>
      <c r="E122" s="13">
        <f>Tuts!D121</f>
        <v>7.3</v>
      </c>
    </row>
    <row r="123" spans="2:5" ht="15.75" hidden="1" customHeight="1">
      <c r="B123" t="str">
        <f>Tuts!B122</f>
        <v>ATLAS SUPORTE ROLO DE PINTURA GARFO GAIOLA 23CM</v>
      </c>
      <c r="C123" s="13">
        <f>Tuts!E122</f>
        <v>12</v>
      </c>
      <c r="D123" s="18">
        <f>Tuts!J122</f>
        <v>10.071428571428571</v>
      </c>
      <c r="E123" s="13">
        <f>Tuts!D122</f>
        <v>7.05</v>
      </c>
    </row>
    <row r="124" spans="2:5" ht="15.75" hidden="1" customHeight="1">
      <c r="B124" t="str">
        <f>Tuts!B123</f>
        <v xml:space="preserve">ATLAS SUPORTE ROLO PINTURA GARFO 23CM </v>
      </c>
      <c r="C124" s="13">
        <f>Tuts!E123</f>
        <v>14</v>
      </c>
      <c r="D124" s="18">
        <f>Tuts!J123</f>
        <v>12.985714285714286</v>
      </c>
      <c r="E124" s="13">
        <f>Tuts!D123</f>
        <v>9.09</v>
      </c>
    </row>
    <row r="125" spans="2:5" ht="15.75" hidden="1" customHeight="1">
      <c r="B125" t="str">
        <f>Tuts!B124</f>
        <v>ATLAS TRINCHA 1</v>
      </c>
      <c r="C125" s="13">
        <f>Tuts!E124</f>
        <v>3.85</v>
      </c>
      <c r="D125" s="18">
        <f>Tuts!J124</f>
        <v>3.5714285714285716</v>
      </c>
      <c r="E125" s="13">
        <f>Tuts!D124</f>
        <v>2.5</v>
      </c>
    </row>
    <row r="126" spans="2:5" ht="15.75" hidden="1" customHeight="1">
      <c r="B126" t="str">
        <f>Tuts!B125</f>
        <v>ATLAS TRINCHA 1.1/2</v>
      </c>
      <c r="C126" s="13">
        <f>Tuts!E125</f>
        <v>5.5</v>
      </c>
      <c r="D126" s="18">
        <f>Tuts!J125</f>
        <v>5</v>
      </c>
      <c r="E126" s="13">
        <f>Tuts!D125</f>
        <v>3.5</v>
      </c>
    </row>
    <row r="127" spans="2:5" ht="15.75" hidden="1" customHeight="1">
      <c r="B127" t="str">
        <f>Tuts!B126</f>
        <v>ATLAS TRINCHA 1/2</v>
      </c>
      <c r="C127" s="13">
        <f>Tuts!E126</f>
        <v>2.65</v>
      </c>
      <c r="D127" s="18">
        <f>Tuts!J126</f>
        <v>2.4285714285714288</v>
      </c>
      <c r="E127" s="13">
        <f>Tuts!D126</f>
        <v>1.7</v>
      </c>
    </row>
    <row r="128" spans="2:5" ht="15.75" hidden="1" customHeight="1">
      <c r="B128" t="str">
        <f>Tuts!B127</f>
        <v>ATLAS TRINCHA 2</v>
      </c>
      <c r="C128" s="13">
        <f>Tuts!E127</f>
        <v>7</v>
      </c>
      <c r="D128" s="18">
        <f>Tuts!J127</f>
        <v>6.5714285714285712</v>
      </c>
      <c r="E128" s="13">
        <f>Tuts!D127</f>
        <v>4.5999999999999996</v>
      </c>
    </row>
    <row r="129" spans="2:5" ht="15.75" hidden="1" customHeight="1">
      <c r="B129" t="str">
        <f>Tuts!B128</f>
        <v>ATLAS TRINCHA 2.1/2</v>
      </c>
      <c r="C129" s="13">
        <f>Tuts!E128</f>
        <v>8.5</v>
      </c>
      <c r="D129" s="18">
        <f>Tuts!J128</f>
        <v>7.8571428571428577</v>
      </c>
      <c r="E129" s="13">
        <f>Tuts!D128</f>
        <v>5.5</v>
      </c>
    </row>
    <row r="130" spans="2:5" ht="15.75" hidden="1" customHeight="1">
      <c r="B130" t="str">
        <f>Tuts!B129</f>
        <v>ATLAS TRINCHA 3</v>
      </c>
      <c r="C130" s="13">
        <f>Tuts!E129</f>
        <v>12</v>
      </c>
      <c r="D130" s="18">
        <f>Tuts!J129</f>
        <v>11.142857142857144</v>
      </c>
      <c r="E130" s="13">
        <f>Tuts!D129</f>
        <v>7.8</v>
      </c>
    </row>
    <row r="131" spans="2:5" ht="15.75" hidden="1" customHeight="1">
      <c r="B131" t="str">
        <f>Tuts!B130</f>
        <v>ATLAS TRINCHA 3/4</v>
      </c>
      <c r="C131" s="13">
        <f>Tuts!E130</f>
        <v>2.8</v>
      </c>
      <c r="D131" s="18">
        <f>Tuts!J130</f>
        <v>2.5857142857142859</v>
      </c>
      <c r="E131" s="13">
        <f>Tuts!D130</f>
        <v>1.81</v>
      </c>
    </row>
    <row r="132" spans="2:5" ht="15.75" hidden="1" customHeight="1">
      <c r="B132" t="str">
        <f>Tuts!B131</f>
        <v>ATLAS TRINCHA 4</v>
      </c>
      <c r="C132" s="13">
        <f>Tuts!E131</f>
        <v>15.4</v>
      </c>
      <c r="D132" s="18">
        <f>Tuts!J131</f>
        <v>14.285714285714286</v>
      </c>
      <c r="E132" s="13">
        <f>Tuts!D131</f>
        <v>10</v>
      </c>
    </row>
    <row r="133" spans="2:5" ht="15.75" hidden="1" customHeight="1">
      <c r="B133" t="str">
        <f>Tuts!B132</f>
        <v>AUMENTO AMARELO MEDIO 1/2</v>
      </c>
      <c r="C133" s="13">
        <f>Tuts!E132</f>
        <v>9.5</v>
      </c>
      <c r="D133" s="18">
        <f>Tuts!J132</f>
        <v>8.4285714285714288</v>
      </c>
      <c r="E133" s="13">
        <f>Tuts!D132</f>
        <v>5.9</v>
      </c>
    </row>
    <row r="134" spans="2:5" ht="15.75" hidden="1" customHeight="1">
      <c r="B134" t="str">
        <f>Tuts!B133</f>
        <v>Aumento Amarelo Reverso 1/2x3/4</v>
      </c>
      <c r="C134" s="13">
        <f>Tuts!E133</f>
        <v>10</v>
      </c>
      <c r="D134" s="18">
        <f>Tuts!J133</f>
        <v>10.571428571428573</v>
      </c>
      <c r="E134" s="13">
        <f>Tuts!D133</f>
        <v>7.4</v>
      </c>
    </row>
    <row r="135" spans="2:5" ht="15.75" hidden="1" customHeight="1">
      <c r="B135" t="str">
        <f>Tuts!B134</f>
        <v>BACIA QUAD INCEPA THEMA C/ FURO P/ CX ACOPLADA</v>
      </c>
      <c r="C135" s="13">
        <f>Tuts!E134</f>
        <v>525</v>
      </c>
      <c r="D135" s="18">
        <f>Tuts!J134</f>
        <v>484.28571428571433</v>
      </c>
      <c r="E135" s="13">
        <f>Tuts!D134</f>
        <v>339</v>
      </c>
    </row>
    <row r="136" spans="2:5" ht="15.75" hidden="1" customHeight="1">
      <c r="B136" t="str">
        <f>Tuts!B135</f>
        <v>BALDE CRISTAL 23KG</v>
      </c>
      <c r="C136" s="13">
        <f>Tuts!E135</f>
        <v>138</v>
      </c>
      <c r="D136" s="18">
        <f>Tuts!J135</f>
        <v>164.28571428571431</v>
      </c>
      <c r="E136" s="13">
        <f>Tuts!D135</f>
        <v>115</v>
      </c>
    </row>
    <row r="137" spans="2:5" ht="15.75" hidden="1" customHeight="1">
      <c r="B137" t="str">
        <f>Tuts!B136</f>
        <v>BALDE METALICO 12L</v>
      </c>
      <c r="C137" s="13">
        <f>Tuts!E136</f>
        <v>30</v>
      </c>
      <c r="D137" s="18">
        <f>Tuts!J136</f>
        <v>28.428571428571427</v>
      </c>
      <c r="E137" s="13">
        <f>Tuts!D136</f>
        <v>19.899999999999999</v>
      </c>
    </row>
    <row r="138" spans="2:5" ht="15.75" hidden="1" customHeight="1">
      <c r="B138" t="str">
        <f>Tuts!B137</f>
        <v>BALDE PLASTICO C/ ALÇA</v>
      </c>
      <c r="C138" s="13">
        <f>Tuts!E137</f>
        <v>15</v>
      </c>
      <c r="D138" s="18">
        <f>Tuts!J137</f>
        <v>9.7714285714285722</v>
      </c>
      <c r="E138" s="13">
        <f>Tuts!D137</f>
        <v>6.84</v>
      </c>
    </row>
    <row r="139" spans="2:5" ht="15.75" hidden="1" customHeight="1">
      <c r="B139" t="str">
        <f>Tuts!B138</f>
        <v>BARICAR BARRA DE APOIO 040CM BRANCO</v>
      </c>
      <c r="C139" s="13">
        <f>Tuts!E138</f>
        <v>49.9</v>
      </c>
      <c r="D139" s="18">
        <f>Tuts!J138</f>
        <v>44.742857142857147</v>
      </c>
      <c r="E139" s="13">
        <f>Tuts!D138</f>
        <v>31.32</v>
      </c>
    </row>
    <row r="140" spans="2:5" ht="15.75" hidden="1" customHeight="1">
      <c r="B140" t="str">
        <f>Tuts!B139</f>
        <v>BARICAR BARRA DE APOIO 060CM BRANCO</v>
      </c>
      <c r="C140" s="13">
        <f>Tuts!E139</f>
        <v>52.8</v>
      </c>
      <c r="D140" s="18">
        <f>Tuts!J139</f>
        <v>47.828571428571429</v>
      </c>
      <c r="E140" s="13">
        <f>Tuts!D139</f>
        <v>33.479999999999997</v>
      </c>
    </row>
    <row r="141" spans="2:5" ht="15.75" hidden="1" customHeight="1">
      <c r="B141" t="str">
        <f>Tuts!B140</f>
        <v>BARICAR BARRA DE APOIO 060CM CROMADO</v>
      </c>
      <c r="C141" s="13">
        <f>Tuts!E140</f>
        <v>79.900000000000006</v>
      </c>
      <c r="D141" s="18">
        <f>Tuts!J140</f>
        <v>74.028571428571439</v>
      </c>
      <c r="E141" s="13">
        <f>Tuts!D140</f>
        <v>51.82</v>
      </c>
    </row>
    <row r="142" spans="2:5" ht="15.75" hidden="1" customHeight="1">
      <c r="B142" t="str">
        <f>Tuts!B141</f>
        <v>BARICAR BARRA DE APOIO 080CM BRANCO</v>
      </c>
      <c r="C142" s="13">
        <f>Tuts!E141</f>
        <v>59.9</v>
      </c>
      <c r="D142" s="18">
        <f>Tuts!J141</f>
        <v>54.585714285714289</v>
      </c>
      <c r="E142" s="13">
        <f>Tuts!D141</f>
        <v>38.21</v>
      </c>
    </row>
    <row r="143" spans="2:5" ht="15.75" hidden="1" customHeight="1">
      <c r="B143" t="str">
        <f>Tuts!B142</f>
        <v>BARICAR BARRA DE APOIO 100CM BRANCO</v>
      </c>
      <c r="C143" s="13">
        <f>Tuts!E142</f>
        <v>73.650000000000006</v>
      </c>
      <c r="D143" s="18">
        <f>Tuts!J142</f>
        <v>63.457142857142863</v>
      </c>
      <c r="E143" s="13">
        <f>Tuts!D142</f>
        <v>44.42</v>
      </c>
    </row>
    <row r="144" spans="2:5" ht="15.75" hidden="1" customHeight="1">
      <c r="B144" t="str">
        <f>Tuts!B143</f>
        <v>BARICAR DESEMPENADEIRA AZUL 18X30</v>
      </c>
      <c r="C144" s="13">
        <f>Tuts!E143</f>
        <v>13.9</v>
      </c>
      <c r="D144" s="18">
        <f>Tuts!J143</f>
        <v>12.571428571428573</v>
      </c>
      <c r="E144" s="13">
        <f>Tuts!D143</f>
        <v>8.8000000000000007</v>
      </c>
    </row>
    <row r="145" spans="2:5" ht="15.75" hidden="1" customHeight="1">
      <c r="B145" t="str">
        <f>Tuts!B144</f>
        <v>BARICAR ESPATULA AÇO 10CM</v>
      </c>
      <c r="C145" s="13">
        <f>Tuts!E144</f>
        <v>8</v>
      </c>
      <c r="D145" s="18">
        <f>Tuts!J144</f>
        <v>7.0000000000000009</v>
      </c>
      <c r="E145" s="13">
        <f>Tuts!D144</f>
        <v>4.9000000000000004</v>
      </c>
    </row>
    <row r="146" spans="2:5" ht="15.75" hidden="1" customHeight="1">
      <c r="B146" t="str">
        <f>Tuts!B145</f>
        <v>BARICAR ESPATULA AÇO 12CM</v>
      </c>
      <c r="C146" s="13">
        <f>Tuts!E145</f>
        <v>9</v>
      </c>
      <c r="D146" s="18">
        <f>Tuts!J145</f>
        <v>7.7142857142857153</v>
      </c>
      <c r="E146" s="13">
        <f>Tuts!D145</f>
        <v>5.4</v>
      </c>
    </row>
    <row r="147" spans="2:5" ht="15.75" hidden="1" customHeight="1">
      <c r="B147" t="str">
        <f>Tuts!B146</f>
        <v>BARICAR ESPATULA AÇO 8CM</v>
      </c>
      <c r="C147" s="13">
        <f>Tuts!E146</f>
        <v>7.5</v>
      </c>
      <c r="D147" s="18">
        <f>Tuts!J146</f>
        <v>6.5714285714285712</v>
      </c>
      <c r="E147" s="13">
        <f>Tuts!D146</f>
        <v>4.5999999999999996</v>
      </c>
    </row>
    <row r="148" spans="2:5" ht="15.75" hidden="1" customHeight="1">
      <c r="B148" t="str">
        <f>Tuts!B147</f>
        <v>BARICAR ESPATULA SILICONE</v>
      </c>
      <c r="C148" s="13">
        <f>Tuts!E147</f>
        <v>5</v>
      </c>
      <c r="D148" s="18">
        <f>Tuts!J147</f>
        <v>2.5714285714285716</v>
      </c>
      <c r="E148" s="13">
        <f>Tuts!D147</f>
        <v>1.8</v>
      </c>
    </row>
    <row r="149" spans="2:5" ht="15.75" hidden="1" customHeight="1">
      <c r="B149" t="str">
        <f>Tuts!B148</f>
        <v>BARRA ROSCADA POLIDA  1/2</v>
      </c>
      <c r="C149" s="13">
        <f>Tuts!E148</f>
        <v>29.8</v>
      </c>
      <c r="D149" s="18">
        <f>Tuts!J148</f>
        <v>26.428571428571431</v>
      </c>
      <c r="E149" s="13">
        <f>Tuts!D148</f>
        <v>18.5</v>
      </c>
    </row>
    <row r="150" spans="2:5" ht="15.75" hidden="1" customHeight="1">
      <c r="B150" t="str">
        <f>Tuts!B149</f>
        <v>BARRA ROSCADA POLIDA  1/4</v>
      </c>
      <c r="C150" s="13">
        <f>Tuts!E149</f>
        <v>7.8</v>
      </c>
      <c r="D150" s="18">
        <f>Tuts!J149</f>
        <v>4.2857142857142856</v>
      </c>
      <c r="E150" s="13">
        <f>Tuts!D149</f>
        <v>3</v>
      </c>
    </row>
    <row r="151" spans="2:5" ht="15.75" hidden="1" customHeight="1">
      <c r="B151" t="str">
        <f>Tuts!B150</f>
        <v>BARRA ROSCADA POLIDA  3/8</v>
      </c>
      <c r="C151" s="13">
        <f>Tuts!E150</f>
        <v>14.2</v>
      </c>
      <c r="D151" s="18">
        <f>Tuts!J150</f>
        <v>8.8000000000000007</v>
      </c>
      <c r="E151" s="13">
        <f>Tuts!D150</f>
        <v>6.16</v>
      </c>
    </row>
    <row r="152" spans="2:5" ht="15.75" hidden="1" customHeight="1">
      <c r="B152" t="str">
        <f>Tuts!B151</f>
        <v>BARRA ROSCADA POLIDA  5/16</v>
      </c>
      <c r="C152" s="13">
        <f>Tuts!E151</f>
        <v>10.199999999999999</v>
      </c>
      <c r="D152" s="18">
        <f>Tuts!J151</f>
        <v>6.8142857142857141</v>
      </c>
      <c r="E152" s="13">
        <f>Tuts!D151</f>
        <v>4.7699999999999996</v>
      </c>
    </row>
    <row r="153" spans="2:5" ht="15.75" hidden="1" customHeight="1">
      <c r="B153" t="str">
        <f>Tuts!B152</f>
        <v>BARRA ROSCADA POLIDA 3/16</v>
      </c>
      <c r="C153" s="13">
        <f>Tuts!E152</f>
        <v>5</v>
      </c>
      <c r="D153" s="18">
        <f>Tuts!J152</f>
        <v>3.8571428571428577</v>
      </c>
      <c r="E153" s="13">
        <f>Tuts!D152</f>
        <v>2.7</v>
      </c>
    </row>
    <row r="154" spans="2:5" ht="15.75" hidden="1" customHeight="1">
      <c r="B154" t="str">
        <f>Tuts!B153</f>
        <v>BARRAMENTO PENTE BIPOLAR CM</v>
      </c>
      <c r="C154" s="13">
        <f>Tuts!E153</f>
        <v>1.2</v>
      </c>
      <c r="D154" s="18">
        <f>Tuts!J153</f>
        <v>0.98571428571428565</v>
      </c>
      <c r="E154" s="13">
        <f>Tuts!D153</f>
        <v>0.69</v>
      </c>
    </row>
    <row r="155" spans="2:5" ht="15.75" hidden="1" customHeight="1">
      <c r="B155" t="str">
        <f>Tuts!B154</f>
        <v>BARRAMENTO PENTE TRIPOLAR CM</v>
      </c>
      <c r="C155" s="13">
        <f>Tuts!E154</f>
        <v>1.6</v>
      </c>
      <c r="D155" s="18">
        <f>Tuts!J154</f>
        <v>1.4142857142857144</v>
      </c>
      <c r="E155" s="13">
        <f>Tuts!D154</f>
        <v>0.99</v>
      </c>
    </row>
    <row r="156" spans="2:5" ht="15.75" hidden="1" customHeight="1">
      <c r="B156" t="str">
        <f>Tuts!B155</f>
        <v>BARRAMENTO PENTE UNIPOLAR CM</v>
      </c>
      <c r="C156" s="13">
        <f>Tuts!E155</f>
        <v>0.8</v>
      </c>
      <c r="D156" s="18">
        <f>Tuts!J155</f>
        <v>0.44285714285714289</v>
      </c>
      <c r="E156" s="13">
        <f>Tuts!D155</f>
        <v>0.31</v>
      </c>
    </row>
    <row r="157" spans="2:5" ht="15.75" hidden="1" customHeight="1">
      <c r="B157" t="str">
        <f>Tuts!B156</f>
        <v>BASE DISCO 4'' BORRACHA COM VELCRO COM ADAPTADOR</v>
      </c>
      <c r="C157" s="13">
        <f>Tuts!E156</f>
        <v>40</v>
      </c>
      <c r="D157" s="18">
        <f>Tuts!J156</f>
        <v>36.242857142857147</v>
      </c>
      <c r="E157" s="13">
        <f>Tuts!D156</f>
        <v>25.37</v>
      </c>
    </row>
    <row r="158" spans="2:5" ht="15.75" hidden="1" customHeight="1">
      <c r="B158" t="str">
        <f>Tuts!B157</f>
        <v>BASE DISCO 4'' BORRACHA COM VELCRO SEM ADAPTADOR</v>
      </c>
      <c r="C158" s="13">
        <f>Tuts!E157</f>
        <v>19.5</v>
      </c>
      <c r="D158" s="18">
        <f>Tuts!J157</f>
        <v>17.142857142857142</v>
      </c>
      <c r="E158" s="13">
        <f>Tuts!D157</f>
        <v>12</v>
      </c>
    </row>
    <row r="159" spans="2:5" ht="15.75" hidden="1" customHeight="1">
      <c r="B159" t="str">
        <f>Tuts!B158</f>
        <v>BASE DISCO 7'' BORRACHA COM VELCRO COM ADAPTADOR</v>
      </c>
      <c r="C159" s="13">
        <f>Tuts!E158</f>
        <v>48</v>
      </c>
      <c r="D159" s="18">
        <f>Tuts!J158</f>
        <v>43.742857142857147</v>
      </c>
      <c r="E159" s="13">
        <f>Tuts!D158</f>
        <v>30.62</v>
      </c>
    </row>
    <row r="160" spans="2:5" ht="15.75" hidden="1" customHeight="1">
      <c r="B160" t="str">
        <f>Tuts!B159</f>
        <v>BASE DISCO 7'' BORRACHA COM VELCRO SEM ADAPTADOR</v>
      </c>
      <c r="C160" s="13">
        <f>Tuts!E159</f>
        <v>28</v>
      </c>
      <c r="D160" s="18">
        <f>Tuts!J159</f>
        <v>25.571428571428569</v>
      </c>
      <c r="E160" s="13">
        <f>Tuts!D159</f>
        <v>17.899999999999999</v>
      </c>
    </row>
    <row r="161" spans="2:5" ht="15.75" hidden="1" customHeight="1">
      <c r="B161" t="str">
        <f>Tuts!B160</f>
        <v>BASE REGISTRO GAVETA 3/4 DECA</v>
      </c>
      <c r="C161" s="13">
        <f>Tuts!E160</f>
        <v>42</v>
      </c>
      <c r="D161" s="18">
        <f>Tuts!J160</f>
        <v>38.428571428571431</v>
      </c>
      <c r="E161" s="13">
        <f>Tuts!D160</f>
        <v>26.9</v>
      </c>
    </row>
    <row r="162" spans="2:5" ht="15.75" hidden="1" customHeight="1">
      <c r="B162" t="str">
        <f>Tuts!B161</f>
        <v>BASE REGISTRO PRESSAO 3/4 DECA S/ ACABAMENTO</v>
      </c>
      <c r="C162" s="13">
        <f>Tuts!E161</f>
        <v>60</v>
      </c>
      <c r="D162" s="18">
        <f>Tuts!J161</f>
        <v>55.671428571428571</v>
      </c>
      <c r="E162" s="13">
        <f>Tuts!D161</f>
        <v>38.97</v>
      </c>
    </row>
    <row r="163" spans="2:5" ht="15.75" hidden="1" customHeight="1">
      <c r="B163" t="str">
        <f>Tuts!B162</f>
        <v>BASE VALVULA DOCOL</v>
      </c>
      <c r="C163" s="13">
        <f>Tuts!E162</f>
        <v>167</v>
      </c>
      <c r="D163" s="18">
        <f>Tuts!J162</f>
        <v>154.14285714285717</v>
      </c>
      <c r="E163" s="13">
        <f>Tuts!D162</f>
        <v>107.9</v>
      </c>
    </row>
    <row r="164" spans="2:5" ht="15.75" hidden="1" customHeight="1">
      <c r="B164" t="str">
        <f>Tuts!B163</f>
        <v>BATALHAO MAXIM-AR CRYSTAL QUAD 50X50X12</v>
      </c>
      <c r="C164" s="13">
        <f>Tuts!E163</f>
        <v>210</v>
      </c>
      <c r="D164" s="18">
        <f>Tuts!J163</f>
        <v>191.41428571428574</v>
      </c>
      <c r="E164" s="13">
        <f>Tuts!D163</f>
        <v>133.99</v>
      </c>
    </row>
    <row r="165" spans="2:5" ht="15.75" hidden="1" customHeight="1">
      <c r="B165" t="str">
        <f>Tuts!B164</f>
        <v>BATALHAO MAXIM-AR CRYSTAL QUAD 60X60X12</v>
      </c>
      <c r="C165" s="13">
        <f>Tuts!E164</f>
        <v>272</v>
      </c>
      <c r="D165" s="18">
        <f>Tuts!J164</f>
        <v>247.30000000000004</v>
      </c>
      <c r="E165" s="13">
        <f>Tuts!D164</f>
        <v>173.11</v>
      </c>
    </row>
    <row r="166" spans="2:5" ht="15.75" hidden="1" customHeight="1">
      <c r="B166" t="str">
        <f>Tuts!B165</f>
        <v>BATALHAO MAXIM-AR STAN QUAD 50X50X12 CRU</v>
      </c>
      <c r="C166" s="13">
        <f>Tuts!E165</f>
        <v>135</v>
      </c>
      <c r="D166" s="18">
        <f>Tuts!J165</f>
        <v>110.34285714285714</v>
      </c>
      <c r="E166" s="13">
        <f>Tuts!D165</f>
        <v>77.239999999999995</v>
      </c>
    </row>
    <row r="167" spans="2:5" ht="15.75" hidden="1" customHeight="1">
      <c r="B167" t="str">
        <f>Tuts!B166</f>
        <v>BATALHAO PORTA C/ GRADE QUAD CRYSAL 80</v>
      </c>
      <c r="C167" s="13">
        <f>Tuts!E166</f>
        <v>860</v>
      </c>
      <c r="D167" s="18">
        <f>Tuts!J166</f>
        <v>991.65714285714284</v>
      </c>
      <c r="E167" s="13">
        <f>Tuts!D166</f>
        <v>694.16</v>
      </c>
    </row>
    <row r="168" spans="2:5" ht="15.75" hidden="1" customHeight="1">
      <c r="B168" t="str">
        <f>Tuts!B167</f>
        <v>BATALHAO PORTA LAMINADA POP 80 BATENTE 12 (CRUA)</v>
      </c>
      <c r="C168" s="13">
        <f>Tuts!E167</f>
        <v>320</v>
      </c>
      <c r="D168" s="18">
        <f>Tuts!J167</f>
        <v>257.14285714285717</v>
      </c>
      <c r="E168" s="13">
        <f>Tuts!D167</f>
        <v>180</v>
      </c>
    </row>
    <row r="169" spans="2:5" ht="15.75" hidden="1" customHeight="1">
      <c r="B169" t="str">
        <f>Tuts!B168</f>
        <v>BATALHAO PORTA LAMINADA PREMIUM 80 BATENTE 12 (CRUA)</v>
      </c>
      <c r="C169" s="13">
        <f>Tuts!E168</f>
        <v>480</v>
      </c>
      <c r="D169" s="18">
        <f>Tuts!J168</f>
        <v>420.7714285714286</v>
      </c>
      <c r="E169" s="13">
        <f>Tuts!D168</f>
        <v>294.54000000000002</v>
      </c>
    </row>
    <row r="170" spans="2:5" ht="15.75" hidden="1" customHeight="1">
      <c r="B170" t="str">
        <f>Tuts!B169</f>
        <v>BATALHAO PORTA LAMINADA SLIM 80/70 BATENTE 12 (CRUA)</v>
      </c>
      <c r="C170" s="13">
        <f>Tuts!E169</f>
        <v>350</v>
      </c>
      <c r="D170" s="18">
        <f>Tuts!J169</f>
        <v>323.10000000000002</v>
      </c>
      <c r="E170" s="13">
        <f>Tuts!D169</f>
        <v>226.17</v>
      </c>
    </row>
    <row r="171" spans="2:5" ht="15.75" hidden="1" customHeight="1">
      <c r="B171" t="str">
        <f>Tuts!B170</f>
        <v>BATALHAO PORTA MADEIRA C/ PORTAL 80</v>
      </c>
      <c r="C171" s="13">
        <f>Tuts!E170</f>
        <v>370</v>
      </c>
      <c r="D171" s="18">
        <f>Tuts!J170</f>
        <v>342.71428571428572</v>
      </c>
      <c r="E171" s="13">
        <f>Tuts!D170</f>
        <v>239.9</v>
      </c>
    </row>
    <row r="172" spans="2:5" ht="15.75" hidden="1" customHeight="1">
      <c r="B172" t="str">
        <f>Tuts!B171</f>
        <v>BATALHAO PORTA PRONTA MADEIRA 70/80 CM CEREJEIRA/MOGNO/IMBUIA</v>
      </c>
      <c r="C172" s="13">
        <f>Tuts!E171</f>
        <v>205</v>
      </c>
      <c r="D172" s="18">
        <f>Tuts!J171</f>
        <v>177.14285714285717</v>
      </c>
      <c r="E172" s="13">
        <f>Tuts!D171</f>
        <v>124</v>
      </c>
    </row>
    <row r="173" spans="2:5" ht="15.75" hidden="1" customHeight="1">
      <c r="B173" t="str">
        <f>Tuts!B172</f>
        <v>BATALHAO PORTA PTA CRYSTAL LAMINADA PRONTA BRANCA 84X215X12</v>
      </c>
      <c r="C173" s="13">
        <f>Tuts!E172</f>
        <v>790</v>
      </c>
      <c r="D173" s="18">
        <f>Tuts!J172</f>
        <v>731.28571428571433</v>
      </c>
      <c r="E173" s="13">
        <f>Tuts!D172</f>
        <v>511.9</v>
      </c>
    </row>
    <row r="174" spans="2:5" ht="15.75" hidden="1" customHeight="1">
      <c r="B174" t="str">
        <f>Tuts!B173</f>
        <v>BATALHAO VENEZIANA CRYSTAL QUAD 120X100X12</v>
      </c>
      <c r="C174" s="13">
        <f>Tuts!E173</f>
        <v>810</v>
      </c>
      <c r="D174" s="18">
        <f>Tuts!J173</f>
        <v>749.42857142857156</v>
      </c>
      <c r="E174" s="13">
        <f>Tuts!D173</f>
        <v>524.6</v>
      </c>
    </row>
    <row r="175" spans="2:5" ht="15.75" hidden="1" customHeight="1">
      <c r="B175" t="str">
        <f>Tuts!B174</f>
        <v>BATALHAO VENEZIANA CRYSTAL QUAD 150X100X12</v>
      </c>
      <c r="C175" s="13">
        <f>Tuts!E174</f>
        <v>860</v>
      </c>
      <c r="D175" s="18">
        <f>Tuts!J174</f>
        <v>796.5857142857144</v>
      </c>
      <c r="E175" s="13">
        <f>Tuts!D174</f>
        <v>557.61</v>
      </c>
    </row>
    <row r="176" spans="2:5" ht="15.75" hidden="1" customHeight="1">
      <c r="B176" t="str">
        <f>Tuts!B175</f>
        <v>BATALHAO VENEZIANA SLIM QUAD 120X100X12 (CRU)</v>
      </c>
      <c r="C176" s="13">
        <f>Tuts!E175</f>
        <v>320</v>
      </c>
      <c r="D176" s="18">
        <f>Tuts!J175</f>
        <v>278.60000000000002</v>
      </c>
      <c r="E176" s="13">
        <f>Tuts!D175</f>
        <v>195.02</v>
      </c>
    </row>
    <row r="177" spans="2:5" ht="15.75" hidden="1" customHeight="1">
      <c r="B177" t="str">
        <f>Tuts!B176</f>
        <v>BATALHAO VITRO 4FOLHAS C/ GRADE LISO 120X100X80 BRC L16</v>
      </c>
      <c r="C177" s="13">
        <f>Tuts!E176</f>
        <v>665</v>
      </c>
      <c r="D177" s="18">
        <f>Tuts!J176</f>
        <v>613.5428571428572</v>
      </c>
      <c r="E177" s="13">
        <f>Tuts!D176</f>
        <v>429.48</v>
      </c>
    </row>
    <row r="178" spans="2:5" ht="15.75" hidden="1" customHeight="1">
      <c r="B178" t="str">
        <f>Tuts!B177</f>
        <v>BATALHAO VITRO 4FOLHAS C/ GRADE LISO 150X100X80 BRC L16</v>
      </c>
      <c r="C178" s="13">
        <f>Tuts!E177</f>
        <v>762</v>
      </c>
      <c r="D178" s="18">
        <f>Tuts!J177</f>
        <v>701.85714285714289</v>
      </c>
      <c r="E178" s="13">
        <f>Tuts!D177</f>
        <v>491.3</v>
      </c>
    </row>
    <row r="179" spans="2:5" ht="15.75" hidden="1" customHeight="1">
      <c r="B179" t="str">
        <f>Tuts!B178</f>
        <v>BATALHAO VITRO SLIM QUAD 120X100X12 (CRU)</v>
      </c>
      <c r="C179" s="13">
        <f>Tuts!E178</f>
        <v>300</v>
      </c>
      <c r="D179" s="18">
        <f>Tuts!J178</f>
        <v>274.12857142857143</v>
      </c>
      <c r="E179" s="13">
        <f>Tuts!D178</f>
        <v>191.89</v>
      </c>
    </row>
    <row r="180" spans="2:5" ht="15.75" hidden="1" customHeight="1">
      <c r="B180" t="str">
        <f>Tuts!B179</f>
        <v>BATALHAO VITRO SLIM QUAD 150X100X12 (CRU)</v>
      </c>
      <c r="C180" s="13">
        <f>Tuts!E179</f>
        <v>330</v>
      </c>
      <c r="D180" s="18">
        <f>Tuts!J179</f>
        <v>302.72857142857146</v>
      </c>
      <c r="E180" s="13">
        <f>Tuts!D179</f>
        <v>211.91</v>
      </c>
    </row>
    <row r="181" spans="2:5" ht="15.75" hidden="1" customHeight="1">
      <c r="B181" t="str">
        <f>Tuts!B180</f>
        <v>BATEDOR DE TINTA</v>
      </c>
      <c r="C181" s="13">
        <f>Tuts!E180</f>
        <v>50</v>
      </c>
      <c r="D181" s="18">
        <f>Tuts!J180</f>
        <v>45.714285714285715</v>
      </c>
      <c r="E181" s="13">
        <f>Tuts!D180</f>
        <v>32</v>
      </c>
    </row>
    <row r="182" spans="2:5" ht="15.75" hidden="1" customHeight="1">
      <c r="B182" t="str">
        <f>Tuts!B181</f>
        <v>BATERIA PILHA ENERGIZER 2025</v>
      </c>
      <c r="C182" s="13">
        <f>Tuts!E181</f>
        <v>8</v>
      </c>
      <c r="D182" s="18">
        <f>Tuts!J181</f>
        <v>4.9142857142857146</v>
      </c>
      <c r="E182" s="13">
        <f>Tuts!D181</f>
        <v>3.44</v>
      </c>
    </row>
    <row r="183" spans="2:5" ht="15.75" hidden="1" customHeight="1">
      <c r="B183" t="str">
        <f>Tuts!B182</f>
        <v>BETUME NOVATINTAS 100ML</v>
      </c>
      <c r="C183" s="13">
        <f>Tuts!E182</f>
        <v>10.5</v>
      </c>
      <c r="D183" s="18">
        <f>Tuts!J182</f>
        <v>9.5857142857142854</v>
      </c>
      <c r="E183" s="13">
        <f>Tuts!D182</f>
        <v>6.71</v>
      </c>
    </row>
    <row r="184" spans="2:5" ht="15.75" hidden="1" customHeight="1">
      <c r="B184" t="str">
        <f>Tuts!B183</f>
        <v>BICO TORNEIRA METAL</v>
      </c>
      <c r="C184" s="13">
        <f>Tuts!E183</f>
        <v>5</v>
      </c>
      <c r="D184" s="18">
        <f>Tuts!J183</f>
        <v>3.5714285714285716</v>
      </c>
      <c r="E184" s="13">
        <f>Tuts!D183</f>
        <v>2.5</v>
      </c>
    </row>
    <row r="185" spans="2:5" ht="15.75" hidden="1" customHeight="1">
      <c r="B185" t="str">
        <f>Tuts!B184</f>
        <v>BICO TORNEIRA PVC</v>
      </c>
      <c r="C185" s="13">
        <f>Tuts!E184</f>
        <v>5</v>
      </c>
      <c r="D185" s="18">
        <f>Tuts!J184</f>
        <v>1.4285714285714286</v>
      </c>
      <c r="E185" s="13">
        <f>Tuts!D184</f>
        <v>1</v>
      </c>
    </row>
    <row r="186" spans="2:5" ht="15.75" hidden="1" customHeight="1">
      <c r="B186" t="str">
        <f>Tuts!B185</f>
        <v>BLACK DECKER ESMERILHADEIRA ANGULAR 4.1/2 650W 127V</v>
      </c>
      <c r="C186" s="13">
        <f>Tuts!E185</f>
        <v>235</v>
      </c>
      <c r="D186" s="18">
        <f>Tuts!J185</f>
        <v>213.8</v>
      </c>
      <c r="E186" s="13">
        <f>Tuts!D185</f>
        <v>149.66</v>
      </c>
    </row>
    <row r="187" spans="2:5" ht="15.75" hidden="1" customHeight="1">
      <c r="B187" t="str">
        <f>Tuts!B186</f>
        <v>BLACK DECKER FURADEIRA IMPACTO 1/2 560W 127V C/ MALETA</v>
      </c>
      <c r="C187" s="13">
        <f>Tuts!E186</f>
        <v>297</v>
      </c>
      <c r="D187" s="18">
        <f>Tuts!J186</f>
        <v>265.37142857142857</v>
      </c>
      <c r="E187" s="13">
        <f>Tuts!D186</f>
        <v>185.76</v>
      </c>
    </row>
    <row r="188" spans="2:5" ht="15.75" hidden="1" customHeight="1">
      <c r="B188" t="str">
        <f>Tuts!B187</f>
        <v>BLACK DECKER FURADEIRA IMPACTO 3/8 (10MM) 560W 127V</v>
      </c>
      <c r="C188" s="13">
        <f>Tuts!E187</f>
        <v>228</v>
      </c>
      <c r="D188" s="18">
        <f>Tuts!J187</f>
        <v>187.42857142857142</v>
      </c>
      <c r="E188" s="13">
        <f>Tuts!D187</f>
        <v>131.19999999999999</v>
      </c>
    </row>
    <row r="189" spans="2:5" ht="15.75" hidden="1" customHeight="1">
      <c r="B189" t="str">
        <f>Tuts!B188</f>
        <v>BLACK DECKER PARAFUSAD/FURAD.12V C/13 ACESS+CAIXA</v>
      </c>
      <c r="C189" s="13">
        <f>Tuts!E188</f>
        <v>310</v>
      </c>
      <c r="D189" s="18">
        <f>Tuts!J188</f>
        <v>285.2</v>
      </c>
      <c r="E189" s="13">
        <f>Tuts!D188</f>
        <v>199.64</v>
      </c>
    </row>
    <row r="190" spans="2:5" ht="15.75" hidden="1" customHeight="1">
      <c r="B190" t="str">
        <f>Tuts!B189</f>
        <v>BLACK DECKER PARAFUSAD/FURAD.12V C/31 ACESS+MALETA</v>
      </c>
      <c r="C190" s="13">
        <f>Tuts!E189</f>
        <v>345.9</v>
      </c>
      <c r="D190" s="18">
        <f>Tuts!J189</f>
        <v>307.04285714285714</v>
      </c>
      <c r="E190" s="13">
        <f>Tuts!D189</f>
        <v>214.93</v>
      </c>
    </row>
    <row r="191" spans="2:5" ht="15.75" hidden="1" customHeight="1">
      <c r="B191" t="str">
        <f>Tuts!B190</f>
        <v>BLACK DECKER SERRA TICO TICO 400W 127V</v>
      </c>
      <c r="C191" s="13">
        <f>Tuts!E190</f>
        <v>325</v>
      </c>
      <c r="D191" s="18">
        <f>Tuts!J190</f>
        <v>287.08571428571429</v>
      </c>
      <c r="E191" s="13">
        <f>Tuts!D190</f>
        <v>200.96</v>
      </c>
    </row>
    <row r="192" spans="2:5" ht="15.75" hidden="1" customHeight="1">
      <c r="B192" t="str">
        <f>Tuts!B191</f>
        <v>BLOCO 6 FUROS</v>
      </c>
      <c r="C192" s="13">
        <f>Tuts!E191</f>
        <v>1</v>
      </c>
      <c r="D192" s="18">
        <f>Tuts!J191</f>
        <v>1.1857142857142857</v>
      </c>
      <c r="E192" s="13">
        <f>Tuts!D191</f>
        <v>0.83</v>
      </c>
    </row>
    <row r="193" spans="2:5" ht="15.75" hidden="1" customHeight="1">
      <c r="B193" t="str">
        <f>Tuts!B192</f>
        <v>BLOCO 8 FUROS</v>
      </c>
      <c r="C193" s="13">
        <f>Tuts!E192</f>
        <v>0.8</v>
      </c>
      <c r="D193" s="18">
        <f>Tuts!J192</f>
        <v>0.85714285714285721</v>
      </c>
      <c r="E193" s="13">
        <f>Tuts!D192</f>
        <v>0.6</v>
      </c>
    </row>
    <row r="194" spans="2:5" ht="15.75" hidden="1" customHeight="1">
      <c r="B194" t="str">
        <f>Tuts!B193</f>
        <v>BLUKIT REPARO CAIXA ACOPLADA MECANISMO DE SAIDA SUPERIOR</v>
      </c>
      <c r="C194" s="13">
        <f>Tuts!E193</f>
        <v>56</v>
      </c>
      <c r="D194" s="18">
        <f>Tuts!J193</f>
        <v>51.285714285714285</v>
      </c>
      <c r="E194" s="13">
        <f>Tuts!D193</f>
        <v>35.9</v>
      </c>
    </row>
    <row r="195" spans="2:5" ht="15.75" hidden="1" customHeight="1">
      <c r="B195" t="str">
        <f>Tuts!B194</f>
        <v>BLUKIT REPARO CAIXA ACOPLADA MECANISMO ENTRADA</v>
      </c>
      <c r="C195" s="13">
        <f>Tuts!E194</f>
        <v>68</v>
      </c>
      <c r="D195" s="18">
        <f>Tuts!J194</f>
        <v>62.714285714285715</v>
      </c>
      <c r="E195" s="13">
        <f>Tuts!D194</f>
        <v>43.9</v>
      </c>
    </row>
    <row r="196" spans="2:5" ht="15.75" hidden="1" customHeight="1">
      <c r="B196" t="str">
        <f>Tuts!B195</f>
        <v>BOIA BEBEDOURO PEQUENA</v>
      </c>
      <c r="C196" s="13">
        <f>Tuts!E195</f>
        <v>9</v>
      </c>
      <c r="D196" s="18">
        <f>Tuts!J195</f>
        <v>8.2857142857142865</v>
      </c>
      <c r="E196" s="13">
        <f>Tuts!D195</f>
        <v>5.8</v>
      </c>
    </row>
    <row r="197" spans="2:5" ht="15.75" hidden="1" customHeight="1">
      <c r="B197" t="str">
        <f>Tuts!B196</f>
        <v>BOIA CAIXA DESCARGA ALUMASA</v>
      </c>
      <c r="C197" s="13">
        <f>Tuts!E196</f>
        <v>16.5</v>
      </c>
      <c r="D197" s="18">
        <f>Tuts!J196</f>
        <v>15.114285714285716</v>
      </c>
      <c r="E197" s="13">
        <f>Tuts!D196</f>
        <v>10.58</v>
      </c>
    </row>
    <row r="198" spans="2:5" ht="15.75" hidden="1" customHeight="1">
      <c r="B198" t="str">
        <f>Tuts!B197</f>
        <v>BOMBA MANUAL E MANOMETRO 32X500MM</v>
      </c>
      <c r="C198" s="13">
        <f>Tuts!E197</f>
        <v>92</v>
      </c>
      <c r="D198" s="18">
        <f>Tuts!J197</f>
        <v>84.985714285714295</v>
      </c>
      <c r="E198" s="13">
        <f>Tuts!D197</f>
        <v>59.49</v>
      </c>
    </row>
    <row r="199" spans="2:5" ht="15.75" hidden="1" customHeight="1">
      <c r="B199" t="str">
        <f>Tuts!B198</f>
        <v>BORRACHA ANEL LUVA DE CORRER ESG 100</v>
      </c>
      <c r="C199" s="13">
        <f>Tuts!E198</f>
        <v>5</v>
      </c>
      <c r="D199" s="18">
        <f>Tuts!J198</f>
        <v>4.4285714285714288</v>
      </c>
      <c r="E199" s="13">
        <f>Tuts!D198</f>
        <v>3.1</v>
      </c>
    </row>
    <row r="200" spans="2:5" ht="15.75" hidden="1" customHeight="1">
      <c r="B200" t="str">
        <f>Tuts!B199</f>
        <v>BORRACHA ANEL LUVA DE CORRER ESG 40 PLASTILIT</v>
      </c>
      <c r="C200" s="13">
        <f>Tuts!E199</f>
        <v>1.3</v>
      </c>
      <c r="D200" s="18">
        <f>Tuts!J199</f>
        <v>1.1857142857142857</v>
      </c>
      <c r="E200" s="13">
        <f>Tuts!D199</f>
        <v>0.83</v>
      </c>
    </row>
    <row r="201" spans="2:5" ht="15.75" hidden="1" customHeight="1">
      <c r="B201" t="str">
        <f>Tuts!B200</f>
        <v>BORRACHA ANEL LUVA DE CORRER ESG 50 PLASTILIT</v>
      </c>
      <c r="C201" s="13">
        <f>Tuts!E200</f>
        <v>1.5</v>
      </c>
      <c r="D201" s="18">
        <f>Tuts!J200</f>
        <v>1.3571428571428572</v>
      </c>
      <c r="E201" s="13">
        <f>Tuts!D200</f>
        <v>0.95</v>
      </c>
    </row>
    <row r="202" spans="2:5" ht="15.75" hidden="1" customHeight="1">
      <c r="B202" t="str">
        <f>Tuts!B201</f>
        <v>BORRACHA ANEL LUVA DE CORRER ESG 75 PLASTILIT</v>
      </c>
      <c r="C202" s="13">
        <f>Tuts!E201</f>
        <v>2</v>
      </c>
      <c r="D202" s="18">
        <f>Tuts!J201</f>
        <v>1.8571428571428574</v>
      </c>
      <c r="E202" s="13">
        <f>Tuts!D201</f>
        <v>1.3</v>
      </c>
    </row>
    <row r="203" spans="2:5" ht="15.75" hidden="1" customHeight="1">
      <c r="B203" t="str">
        <f>Tuts!B202</f>
        <v>BORRACHA ANEL LUVA DE CORRER SOLD 20 1/2 555</v>
      </c>
      <c r="C203" s="13">
        <f>Tuts!E202</f>
        <v>5</v>
      </c>
      <c r="D203" s="18">
        <f>Tuts!J202</f>
        <v>3.7142857142857149</v>
      </c>
      <c r="E203" s="13">
        <f>Tuts!D202</f>
        <v>2.6</v>
      </c>
    </row>
    <row r="204" spans="2:5" ht="15.75" hidden="1" customHeight="1">
      <c r="B204" t="str">
        <f>Tuts!B203</f>
        <v>BORRACHA ANEL LUVA DE CORRER SOLD 25</v>
      </c>
      <c r="C204" s="13">
        <f>Tuts!E203</f>
        <v>3</v>
      </c>
      <c r="D204" s="18">
        <f>Tuts!J203</f>
        <v>1.6428571428571428</v>
      </c>
      <c r="E204" s="13">
        <f>Tuts!D203</f>
        <v>1.1499999999999999</v>
      </c>
    </row>
    <row r="205" spans="2:5" ht="15.75" hidden="1" customHeight="1">
      <c r="B205" t="str">
        <f>Tuts!B204</f>
        <v>BOTA PVC SOLA AMARELA</v>
      </c>
      <c r="C205" s="13">
        <f>Tuts!E204</f>
        <v>50</v>
      </c>
      <c r="D205" s="18">
        <f>Tuts!J204</f>
        <v>43.028571428571432</v>
      </c>
      <c r="E205" s="13">
        <f>Tuts!D204</f>
        <v>30.12</v>
      </c>
    </row>
    <row r="206" spans="2:5" ht="15.75" hidden="1" customHeight="1">
      <c r="B206" t="str">
        <f>Tuts!B205</f>
        <v>BOTA PVC SOLA AMARELA MOTOSAFE</v>
      </c>
      <c r="C206" s="13">
        <f>Tuts!E205</f>
        <v>125</v>
      </c>
      <c r="D206" s="18">
        <f>Tuts!J205</f>
        <v>114.31428571428572</v>
      </c>
      <c r="E206" s="13">
        <f>Tuts!D205</f>
        <v>80.02</v>
      </c>
    </row>
    <row r="207" spans="2:5" ht="15.75" hidden="1" customHeight="1">
      <c r="B207" t="str">
        <f>Tuts!B206</f>
        <v>BOTAO FRANCES METAL CROMADO</v>
      </c>
      <c r="C207" s="13">
        <f>Tuts!E206</f>
        <v>5.8</v>
      </c>
      <c r="D207" s="18">
        <f>Tuts!J206</f>
        <v>5.3000000000000007</v>
      </c>
      <c r="E207" s="13">
        <f>Tuts!D206</f>
        <v>3.71</v>
      </c>
    </row>
    <row r="208" spans="2:5" ht="15.75" hidden="1" customHeight="1">
      <c r="B208" t="str">
        <f>Tuts!B207</f>
        <v>BOTINA COURO S/ BICO FERRO PRETA</v>
      </c>
      <c r="C208" s="13">
        <f>Tuts!E207</f>
        <v>62</v>
      </c>
      <c r="D208" s="18">
        <f>Tuts!J207</f>
        <v>61.414285714285718</v>
      </c>
      <c r="E208" s="13">
        <f>Tuts!D207</f>
        <v>42.99</v>
      </c>
    </row>
    <row r="209" spans="2:5" ht="15.75" hidden="1" customHeight="1">
      <c r="B209" t="str">
        <f>Tuts!B208</f>
        <v>BRAÇO DE CHUVEIRO ALUMÍNIO 40CM</v>
      </c>
      <c r="C209" s="13">
        <f>Tuts!E208</f>
        <v>10.5</v>
      </c>
      <c r="D209" s="18">
        <f>Tuts!J208</f>
        <v>9.4</v>
      </c>
      <c r="E209" s="13">
        <f>Tuts!D208</f>
        <v>6.58</v>
      </c>
    </row>
    <row r="210" spans="2:5" ht="15.75" hidden="1" customHeight="1">
      <c r="B210" t="str">
        <f>Tuts!B209</f>
        <v>BRAÇO DE CHUVEIRO ALUMINIO REFORÇADO 30CM</v>
      </c>
      <c r="C210" s="13">
        <f>Tuts!E209</f>
        <v>20.9</v>
      </c>
      <c r="D210" s="18">
        <f>Tuts!J209</f>
        <v>18.571428571428573</v>
      </c>
      <c r="E210" s="13">
        <f>Tuts!D209</f>
        <v>13</v>
      </c>
    </row>
    <row r="211" spans="2:5" ht="15.75" hidden="1" customHeight="1">
      <c r="B211" t="str">
        <f>Tuts!B210</f>
        <v>BRASFORT CANETA PARA MARCAR PISO</v>
      </c>
      <c r="C211" s="13">
        <f>Tuts!E210</f>
        <v>3</v>
      </c>
      <c r="D211" s="18">
        <f>Tuts!J210</f>
        <v>2.6</v>
      </c>
      <c r="E211" s="13">
        <f>Tuts!D210</f>
        <v>1.82</v>
      </c>
    </row>
    <row r="212" spans="2:5" ht="15.75" hidden="1" customHeight="1">
      <c r="B212" t="str">
        <f>Tuts!B211</f>
        <v>BRASFORT FIODE NYLON ROÇADEIRA</v>
      </c>
      <c r="C212" s="13">
        <f>Tuts!E211</f>
        <v>12</v>
      </c>
      <c r="D212" s="18">
        <f>Tuts!J211</f>
        <v>8.1142857142857139</v>
      </c>
      <c r="E212" s="13">
        <f>Tuts!D211</f>
        <v>5.68</v>
      </c>
    </row>
    <row r="213" spans="2:5" ht="15.75" hidden="1" customHeight="1">
      <c r="B213" t="str">
        <f>Tuts!B212</f>
        <v>BRASFORT FITA DEMARCAÇAO  150M ZEBRADA</v>
      </c>
      <c r="C213" s="13">
        <f>Tuts!E212</f>
        <v>18</v>
      </c>
      <c r="D213" s="18">
        <f>Tuts!J212</f>
        <v>16.571428571428573</v>
      </c>
      <c r="E213" s="13">
        <f>Tuts!D212</f>
        <v>11.6</v>
      </c>
    </row>
    <row r="214" spans="2:5" ht="15.75" hidden="1" customHeight="1">
      <c r="B214" t="str">
        <f>Tuts!B213</f>
        <v>BROCA 3 PONTAS IRWIN 10MM</v>
      </c>
      <c r="C214" s="13">
        <f>Tuts!E213</f>
        <v>12.9</v>
      </c>
      <c r="D214" s="18">
        <f>Tuts!J213</f>
        <v>10.9</v>
      </c>
      <c r="E214" s="13">
        <f>Tuts!D213</f>
        <v>7.63</v>
      </c>
    </row>
    <row r="215" spans="2:5" ht="15.75" hidden="1" customHeight="1">
      <c r="B215" t="str">
        <f>Tuts!B214</f>
        <v>BROCA 3 PONTAS IRWIN 4MM</v>
      </c>
      <c r="C215" s="13">
        <f>Tuts!E214</f>
        <v>8.8000000000000007</v>
      </c>
      <c r="D215" s="18">
        <f>Tuts!J214</f>
        <v>8.1571428571428584</v>
      </c>
      <c r="E215" s="13">
        <f>Tuts!D214</f>
        <v>5.71</v>
      </c>
    </row>
    <row r="216" spans="2:5" ht="15.75" hidden="1" customHeight="1">
      <c r="B216" t="str">
        <f>Tuts!B215</f>
        <v>BROCA 3 PONTAS IRWIN 5MM</v>
      </c>
      <c r="C216" s="13">
        <f>Tuts!E215</f>
        <v>9</v>
      </c>
      <c r="D216" s="18">
        <f>Tuts!J215</f>
        <v>8.3571428571428577</v>
      </c>
      <c r="E216" s="13">
        <f>Tuts!D215</f>
        <v>5.85</v>
      </c>
    </row>
    <row r="217" spans="2:5" ht="15.75" hidden="1" customHeight="1">
      <c r="B217" t="str">
        <f>Tuts!B216</f>
        <v>BROCA 3 PONTAS IRWIN 6MM</v>
      </c>
      <c r="C217" s="13">
        <f>Tuts!E216</f>
        <v>3.5</v>
      </c>
      <c r="D217" s="18">
        <f>Tuts!J216</f>
        <v>3.2142857142857144</v>
      </c>
      <c r="E217" s="13">
        <f>Tuts!D216</f>
        <v>2.25</v>
      </c>
    </row>
    <row r="218" spans="2:5" ht="15.75" hidden="1" customHeight="1">
      <c r="B218" t="str">
        <f>Tuts!B217</f>
        <v>BROCA 3 PONTAS WURTH 3MM</v>
      </c>
      <c r="C218" s="13">
        <f>Tuts!E217</f>
        <v>2.5</v>
      </c>
      <c r="D218" s="18">
        <f>Tuts!J217</f>
        <v>1.8714285714285717</v>
      </c>
      <c r="E218" s="13">
        <f>Tuts!D217</f>
        <v>1.31</v>
      </c>
    </row>
    <row r="219" spans="2:5" ht="15.75" hidden="1" customHeight="1">
      <c r="B219" t="str">
        <f>Tuts!B218</f>
        <v>BROCA 3 PONTAS WURTH 8MM</v>
      </c>
      <c r="C219" s="13">
        <f>Tuts!E218</f>
        <v>10.5</v>
      </c>
      <c r="D219" s="18">
        <f>Tuts!J218</f>
        <v>5.257142857142858</v>
      </c>
      <c r="E219" s="13">
        <f>Tuts!D218</f>
        <v>3.68</v>
      </c>
    </row>
    <row r="220" spans="2:5" ht="15.75" hidden="1" customHeight="1">
      <c r="B220" t="str">
        <f>Tuts!B219</f>
        <v>BROCA CHATA 1/2</v>
      </c>
      <c r="C220" s="13">
        <f>Tuts!E219</f>
        <v>12</v>
      </c>
      <c r="D220" s="18">
        <f>Tuts!J219</f>
        <v>10.285714285714286</v>
      </c>
      <c r="E220" s="13">
        <f>Tuts!D219</f>
        <v>7.2</v>
      </c>
    </row>
    <row r="221" spans="2:5" ht="15.75" hidden="1" customHeight="1">
      <c r="B221" t="str">
        <f>Tuts!B220</f>
        <v>BROCA CHATA 1/4</v>
      </c>
      <c r="C221" s="13">
        <f>Tuts!E220</f>
        <v>10.5</v>
      </c>
      <c r="D221" s="18">
        <f>Tuts!J220</f>
        <v>9.7142857142857153</v>
      </c>
      <c r="E221" s="13">
        <f>Tuts!D220</f>
        <v>6.8</v>
      </c>
    </row>
    <row r="222" spans="2:5" ht="15.75" hidden="1" customHeight="1">
      <c r="B222" t="str">
        <f>Tuts!B221</f>
        <v>BROCA CHATA 3/8</v>
      </c>
      <c r="C222" s="13">
        <f>Tuts!E221</f>
        <v>12</v>
      </c>
      <c r="D222" s="18">
        <f>Tuts!J221</f>
        <v>10.285714285714286</v>
      </c>
      <c r="E222" s="13">
        <f>Tuts!D221</f>
        <v>7.2</v>
      </c>
    </row>
    <row r="223" spans="2:5" ht="15.75" hidden="1" customHeight="1">
      <c r="B223" t="str">
        <f>Tuts!B222</f>
        <v>BROCA CHATA 5/16</v>
      </c>
      <c r="C223" s="13">
        <f>Tuts!E222</f>
        <v>10.5</v>
      </c>
      <c r="D223" s="18">
        <f>Tuts!J222</f>
        <v>9.7142857142857153</v>
      </c>
      <c r="E223" s="13">
        <f>Tuts!D222</f>
        <v>6.8</v>
      </c>
    </row>
    <row r="224" spans="2:5" ht="15.75" hidden="1" customHeight="1">
      <c r="B224" t="str">
        <f>Tuts!B223</f>
        <v>BROCA CONCRETO 6MM</v>
      </c>
      <c r="C224" s="13">
        <f>Tuts!E223</f>
        <v>9.1999999999999993</v>
      </c>
      <c r="D224" s="18">
        <f>Tuts!J223</f>
        <v>8.6857142857142868</v>
      </c>
      <c r="E224" s="13">
        <f>Tuts!D223</f>
        <v>6.08</v>
      </c>
    </row>
    <row r="225" spans="2:5" ht="15.75" hidden="1" customHeight="1">
      <c r="B225" t="str">
        <f>Tuts!B224</f>
        <v>BROCA CONCRETO WURTH 8MM</v>
      </c>
      <c r="C225" s="13">
        <f>Tuts!E224</f>
        <v>11.5</v>
      </c>
      <c r="D225" s="18">
        <f>Tuts!J224</f>
        <v>10.157142857142858</v>
      </c>
      <c r="E225" s="13">
        <f>Tuts!D224</f>
        <v>7.11</v>
      </c>
    </row>
    <row r="226" spans="2:5" ht="15.75" hidden="1" customHeight="1">
      <c r="B226" t="str">
        <f>Tuts!B225</f>
        <v>BROCA HSS 9/64</v>
      </c>
      <c r="C226" s="13">
        <f>Tuts!E225</f>
        <v>7.9</v>
      </c>
      <c r="D226" s="18">
        <f>Tuts!J225</f>
        <v>5.3857142857142861</v>
      </c>
      <c r="E226" s="13">
        <f>Tuts!D225</f>
        <v>3.77</v>
      </c>
    </row>
    <row r="227" spans="2:5" ht="15.75" hidden="1" customHeight="1">
      <c r="B227" t="str">
        <f>Tuts!B226</f>
        <v>BROCA HSS FERRO 1/16</v>
      </c>
      <c r="C227" s="13">
        <f>Tuts!E226</f>
        <v>3.9</v>
      </c>
      <c r="D227" s="18">
        <f>Tuts!J226</f>
        <v>3.4</v>
      </c>
      <c r="E227" s="13">
        <f>Tuts!D226</f>
        <v>2.38</v>
      </c>
    </row>
    <row r="228" spans="2:5" ht="15.75" hidden="1" customHeight="1">
      <c r="B228" t="str">
        <f>Tuts!B227</f>
        <v>BROCA HSS FERRO 1/4</v>
      </c>
      <c r="C228" s="13">
        <f>Tuts!E227</f>
        <v>15.4</v>
      </c>
      <c r="D228" s="18">
        <f>Tuts!J227</f>
        <v>14.285714285714286</v>
      </c>
      <c r="E228" s="13">
        <f>Tuts!D227</f>
        <v>10</v>
      </c>
    </row>
    <row r="229" spans="2:5" ht="15.75" hidden="1" customHeight="1">
      <c r="B229" t="str">
        <f>Tuts!B228</f>
        <v>BROCA HSS FERRO 1/8</v>
      </c>
      <c r="C229" s="13">
        <f>Tuts!E228</f>
        <v>5.3</v>
      </c>
      <c r="D229" s="18">
        <f>Tuts!J228</f>
        <v>4.9142857142857146</v>
      </c>
      <c r="E229" s="13">
        <f>Tuts!D228</f>
        <v>3.44</v>
      </c>
    </row>
    <row r="230" spans="2:5" ht="15.75" hidden="1" customHeight="1">
      <c r="B230" t="str">
        <f>Tuts!B229</f>
        <v>BROCA HSS FERRO 3/8</v>
      </c>
      <c r="C230" s="13">
        <f>Tuts!E229</f>
        <v>15.6</v>
      </c>
      <c r="D230" s="18">
        <f>Tuts!J229</f>
        <v>13.142857142857142</v>
      </c>
      <c r="E230" s="13">
        <f>Tuts!D229</f>
        <v>9.1999999999999993</v>
      </c>
    </row>
    <row r="231" spans="2:5" ht="15.75" hidden="1" customHeight="1">
      <c r="B231" t="str">
        <f>Tuts!B230</f>
        <v>BROCA HSS FERRO 5/16</v>
      </c>
      <c r="C231" s="13">
        <f>Tuts!E230</f>
        <v>14.9</v>
      </c>
      <c r="D231" s="18">
        <f>Tuts!J230</f>
        <v>13.742857142857142</v>
      </c>
      <c r="E231" s="13">
        <f>Tuts!D230</f>
        <v>9.6199999999999992</v>
      </c>
    </row>
    <row r="232" spans="2:5" ht="15.75" hidden="1" customHeight="1">
      <c r="B232" t="str">
        <f>Tuts!B231</f>
        <v>BROCA HSS FERRO 5/32</v>
      </c>
      <c r="C232" s="13">
        <f>Tuts!E231</f>
        <v>6.5</v>
      </c>
      <c r="D232" s="18">
        <f>Tuts!J231</f>
        <v>5.7714285714285722</v>
      </c>
      <c r="E232" s="13">
        <f>Tuts!D231</f>
        <v>4.04</v>
      </c>
    </row>
    <row r="233" spans="2:5" ht="15.75" hidden="1" customHeight="1">
      <c r="B233" t="str">
        <f>Tuts!B232</f>
        <v>BROCA HSS FERRO WURTH 3/16</v>
      </c>
      <c r="C233" s="13">
        <f>Tuts!E232</f>
        <v>12.5</v>
      </c>
      <c r="D233" s="18">
        <f>Tuts!J232</f>
        <v>10.757142857142858</v>
      </c>
      <c r="E233" s="13">
        <f>Tuts!D232</f>
        <v>7.53</v>
      </c>
    </row>
    <row r="234" spans="2:5" ht="15.75" hidden="1" customHeight="1">
      <c r="B234" t="str">
        <f>Tuts!B233</f>
        <v>Broca Longa 3/8 Videa - Concreto</v>
      </c>
      <c r="C234" s="13">
        <f>Tuts!E233</f>
        <v>24.6</v>
      </c>
      <c r="D234" s="18">
        <f>Tuts!J233</f>
        <v>22.857142857142858</v>
      </c>
      <c r="E234" s="13">
        <f>Tuts!D233</f>
        <v>16</v>
      </c>
    </row>
    <row r="235" spans="2:5" ht="15.75" hidden="1" customHeight="1">
      <c r="B235" t="str">
        <f>Tuts!B234</f>
        <v>Broca Longa 5/16 Videa - Concreto</v>
      </c>
      <c r="C235" s="13">
        <f>Tuts!E234</f>
        <v>17.8</v>
      </c>
      <c r="D235" s="18">
        <f>Tuts!J234</f>
        <v>18.085714285714285</v>
      </c>
      <c r="E235" s="13">
        <f>Tuts!D234</f>
        <v>12.66</v>
      </c>
    </row>
    <row r="236" spans="2:5" ht="15.75" hidden="1" customHeight="1">
      <c r="B236" t="str">
        <f>Tuts!B235</f>
        <v>BROCA MOURAO MADEIRA 1/2 PROFIELD</v>
      </c>
      <c r="C236" s="13">
        <f>Tuts!E235</f>
        <v>38</v>
      </c>
      <c r="D236" s="18">
        <f>Tuts!J235</f>
        <v>32.385714285714293</v>
      </c>
      <c r="E236" s="13">
        <f>Tuts!D235</f>
        <v>22.67</v>
      </c>
    </row>
    <row r="237" spans="2:5" ht="15.75" hidden="1" customHeight="1">
      <c r="B237" t="str">
        <f>Tuts!B236</f>
        <v>BROCA MOURAO MADEIRA 3/8 MELFI</v>
      </c>
      <c r="C237" s="13">
        <f>Tuts!E236</f>
        <v>35.9</v>
      </c>
      <c r="D237" s="18">
        <f>Tuts!J236</f>
        <v>32.142857142857146</v>
      </c>
      <c r="E237" s="13">
        <f>Tuts!D236</f>
        <v>22.5</v>
      </c>
    </row>
    <row r="238" spans="2:5" ht="15.75" hidden="1" customHeight="1">
      <c r="B238" t="str">
        <f>Tuts!B237</f>
        <v>BROXA RETANGULAR PLASTICO</v>
      </c>
      <c r="C238" s="13">
        <f>Tuts!E237</f>
        <v>9</v>
      </c>
      <c r="D238" s="18">
        <f>Tuts!J237</f>
        <v>7.7142857142857153</v>
      </c>
      <c r="E238" s="13">
        <f>Tuts!D237</f>
        <v>5.4</v>
      </c>
    </row>
    <row r="239" spans="2:5" ht="15.75" hidden="1" customHeight="1">
      <c r="B239" t="str">
        <f>Tuts!B238</f>
        <v>BUCHA BLOCO BRANCA 10MM</v>
      </c>
      <c r="C239" s="13">
        <f>Tuts!E238</f>
        <v>0.65</v>
      </c>
      <c r="D239" s="18">
        <f>Tuts!J238</f>
        <v>0.57142857142857151</v>
      </c>
      <c r="E239" s="13">
        <f>Tuts!D238</f>
        <v>0.4</v>
      </c>
    </row>
    <row r="240" spans="2:5" ht="15.75" hidden="1" customHeight="1">
      <c r="B240" t="str">
        <f>Tuts!B239</f>
        <v>BUCHA BLOCO BRANCA 12MM</v>
      </c>
      <c r="C240" s="13">
        <f>Tuts!E239</f>
        <v>0.85</v>
      </c>
      <c r="D240" s="18">
        <f>Tuts!J239</f>
        <v>0.78571428571428581</v>
      </c>
      <c r="E240" s="13">
        <f>Tuts!D239</f>
        <v>0.55000000000000004</v>
      </c>
    </row>
    <row r="241" spans="2:5" ht="15.75" hidden="1" customHeight="1">
      <c r="B241" t="str">
        <f>Tuts!B240</f>
        <v>BUCHA BLOCO BRANCA 6MM</v>
      </c>
      <c r="C241" s="13">
        <f>Tuts!E240</f>
        <v>0.15</v>
      </c>
      <c r="D241" s="18">
        <f>Tuts!J240</f>
        <v>0.12857142857142859</v>
      </c>
      <c r="E241" s="13">
        <f>Tuts!D240</f>
        <v>0.09</v>
      </c>
    </row>
    <row r="242" spans="2:5" ht="15.75" hidden="1" customHeight="1">
      <c r="B242" t="str">
        <f>Tuts!B241</f>
        <v>BUCHA BLOCO BRANCA 8MM</v>
      </c>
      <c r="C242" s="13">
        <f>Tuts!E241</f>
        <v>0.45</v>
      </c>
      <c r="D242" s="18">
        <f>Tuts!J241</f>
        <v>0.4285714285714286</v>
      </c>
      <c r="E242" s="13">
        <f>Tuts!D241</f>
        <v>0.3</v>
      </c>
    </row>
    <row r="243" spans="2:5" ht="15.75" hidden="1" customHeight="1">
      <c r="B243" t="str">
        <f>Tuts!B242</f>
        <v>BUCHA ELETRODUTO CONDUITE 1.1/4 ALUMINIO</v>
      </c>
      <c r="C243" s="13">
        <f>Tuts!E242</f>
        <v>2.5</v>
      </c>
      <c r="D243" s="18">
        <f>Tuts!J242</f>
        <v>2.1571428571428575</v>
      </c>
      <c r="E243" s="13">
        <f>Tuts!D242</f>
        <v>1.51</v>
      </c>
    </row>
    <row r="244" spans="2:5" ht="15.75" hidden="1" customHeight="1">
      <c r="B244" t="str">
        <f>Tuts!B243</f>
        <v>BUCHA REDUÇAO 3/4X1/2 AMARELA</v>
      </c>
      <c r="C244" s="13">
        <f>Tuts!E243</f>
        <v>6</v>
      </c>
      <c r="D244" s="18">
        <f>Tuts!J243</f>
        <v>5.5714285714285721</v>
      </c>
      <c r="E244" s="13">
        <f>Tuts!D243</f>
        <v>3.9</v>
      </c>
    </row>
    <row r="245" spans="2:5" ht="15.75" hidden="1" customHeight="1">
      <c r="B245" t="str">
        <f>Tuts!B244</f>
        <v>BUCHA TIJOLO 10,0MM</v>
      </c>
      <c r="C245" s="13">
        <f>Tuts!E244</f>
        <v>0.15</v>
      </c>
      <c r="D245" s="18">
        <f>Tuts!J244</f>
        <v>0.14285714285714288</v>
      </c>
      <c r="E245" s="13">
        <f>Tuts!D244</f>
        <v>0.1</v>
      </c>
    </row>
    <row r="246" spans="2:5" ht="15.75" hidden="1" customHeight="1">
      <c r="B246" t="str">
        <f>Tuts!B245</f>
        <v>BUCHA TIJOLO 8,0MM</v>
      </c>
      <c r="C246" s="13">
        <f>Tuts!E245</f>
        <v>0.15</v>
      </c>
      <c r="D246" s="18">
        <f>Tuts!J245</f>
        <v>7.1428571428571438E-2</v>
      </c>
      <c r="E246" s="13">
        <f>Tuts!D245</f>
        <v>0.05</v>
      </c>
    </row>
    <row r="247" spans="2:5" ht="15.75" hidden="1" customHeight="1">
      <c r="B247" t="str">
        <f>Tuts!B246</f>
        <v>Bucha W UM Pead 6,0mm</v>
      </c>
      <c r="C247" s="13">
        <f>Tuts!E246</f>
        <v>0.4</v>
      </c>
      <c r="D247" s="18">
        <f>Tuts!J246</f>
        <v>0.34285714285714286</v>
      </c>
      <c r="E247" s="13">
        <f>Tuts!D246</f>
        <v>0.24</v>
      </c>
    </row>
    <row r="248" spans="2:5" ht="15.75" hidden="1" customHeight="1">
      <c r="B248" t="str">
        <f>Tuts!B247</f>
        <v>BUCHA W-UM PEAD C/ ANEL 8</v>
      </c>
      <c r="C248" s="13">
        <f>Tuts!E247</f>
        <v>0.5</v>
      </c>
      <c r="D248" s="18">
        <f>Tuts!J247</f>
        <v>0.45714285714285718</v>
      </c>
      <c r="E248" s="13">
        <f>Tuts!D247</f>
        <v>0.32</v>
      </c>
    </row>
    <row r="249" spans="2:5" ht="15.75" hidden="1" customHeight="1">
      <c r="B249" t="str">
        <f>Tuts!B248</f>
        <v>BUCHA W-Z WURTH 14MM</v>
      </c>
      <c r="C249" s="13">
        <f>Tuts!E248</f>
        <v>8.5</v>
      </c>
      <c r="D249" s="18">
        <f>Tuts!J248</f>
        <v>8.9714285714285715</v>
      </c>
      <c r="E249" s="13">
        <f>Tuts!D248</f>
        <v>6.28</v>
      </c>
    </row>
    <row r="250" spans="2:5" ht="15.75" hidden="1" customHeight="1">
      <c r="B250" t="str">
        <f>Tuts!B249</f>
        <v>CABIDE COLANTE ASTRA CARTELA C/ 2</v>
      </c>
      <c r="C250" s="13">
        <f>Tuts!E249</f>
        <v>22</v>
      </c>
      <c r="D250" s="18">
        <f>Tuts!J249</f>
        <v>20.400000000000002</v>
      </c>
      <c r="E250" s="13">
        <f>Tuts!D249</f>
        <v>14.28</v>
      </c>
    </row>
    <row r="251" spans="2:5" ht="15.75" hidden="1" customHeight="1">
      <c r="B251" t="str">
        <f>Tuts!B250</f>
        <v>CABIDE COLANTE ASTRA CARTELA C/ 4</v>
      </c>
      <c r="C251" s="13">
        <f>Tuts!E250</f>
        <v>29</v>
      </c>
      <c r="D251" s="18">
        <f>Tuts!J250</f>
        <v>26.385714285714286</v>
      </c>
      <c r="E251" s="13">
        <f>Tuts!D250</f>
        <v>18.47</v>
      </c>
    </row>
    <row r="252" spans="2:5" ht="15.75" hidden="1" customHeight="1">
      <c r="B252" t="str">
        <f>Tuts!B251</f>
        <v>CABIDE DUPLO ALIANÇA</v>
      </c>
      <c r="C252" s="13">
        <f>Tuts!E251</f>
        <v>15.8</v>
      </c>
      <c r="D252" s="18">
        <f>Tuts!J251</f>
        <v>9.9857142857142858</v>
      </c>
      <c r="E252" s="13">
        <f>Tuts!D251</f>
        <v>6.99</v>
      </c>
    </row>
    <row r="253" spans="2:5" ht="15.75" hidden="1" customHeight="1">
      <c r="B253" t="str">
        <f>Tuts!B252</f>
        <v>Cabide Metal 5 Gancho</v>
      </c>
      <c r="C253" s="13">
        <f>Tuts!E252</f>
        <v>15</v>
      </c>
      <c r="D253" s="18">
        <f>Tuts!J252</f>
        <v>12.857142857142858</v>
      </c>
      <c r="E253" s="13">
        <f>Tuts!D252</f>
        <v>9</v>
      </c>
    </row>
    <row r="254" spans="2:5" ht="15.75" hidden="1" customHeight="1">
      <c r="B254" t="str">
        <f>Tuts!B253</f>
        <v>CABO CAVADEIRA ARTICULADA</v>
      </c>
      <c r="C254" s="13">
        <f>Tuts!E253</f>
        <v>16</v>
      </c>
      <c r="D254" s="18">
        <f>Tuts!J253</f>
        <v>14.085714285714285</v>
      </c>
      <c r="E254" s="13">
        <f>Tuts!D253</f>
        <v>9.86</v>
      </c>
    </row>
    <row r="255" spans="2:5" ht="15.75" hidden="1" customHeight="1">
      <c r="B255" t="str">
        <f>Tuts!B254</f>
        <v>CABO COAXIAL 95% FOXLUX</v>
      </c>
      <c r="C255" s="13">
        <f>Tuts!E254</f>
        <v>2.2000000000000002</v>
      </c>
      <c r="D255" s="18">
        <f>Tuts!J254</f>
        <v>2</v>
      </c>
      <c r="E255" s="13">
        <f>Tuts!D254</f>
        <v>1.4</v>
      </c>
    </row>
    <row r="256" spans="2:5" ht="15.75" hidden="1" customHeight="1">
      <c r="B256" t="str">
        <f>Tuts!B255</f>
        <v>CABO DE REDE MONTADO 10M</v>
      </c>
      <c r="C256" s="13">
        <f>Tuts!E255</f>
        <v>18.899999999999999</v>
      </c>
      <c r="D256" s="18">
        <f>Tuts!J255</f>
        <v>18.428571428571431</v>
      </c>
      <c r="E256" s="13">
        <f>Tuts!D255</f>
        <v>12.9</v>
      </c>
    </row>
    <row r="257" spans="2:5" ht="15.75" hidden="1" customHeight="1">
      <c r="B257" t="str">
        <f>Tuts!B256</f>
        <v>CABO DE VASSOURA</v>
      </c>
      <c r="C257" s="13">
        <f>Tuts!E256</f>
        <v>8</v>
      </c>
      <c r="D257" s="18">
        <f>Tuts!J256</f>
        <v>7.3000000000000007</v>
      </c>
      <c r="E257" s="13">
        <f>Tuts!D256</f>
        <v>5.1100000000000003</v>
      </c>
    </row>
    <row r="258" spans="2:5" ht="15.75" hidden="1" customHeight="1">
      <c r="B258" t="str">
        <f>Tuts!B257</f>
        <v>CABO ENXADA 120CM</v>
      </c>
      <c r="C258" s="13">
        <f>Tuts!E257</f>
        <v>20</v>
      </c>
      <c r="D258" s="18">
        <f>Tuts!J257</f>
        <v>18.314285714285717</v>
      </c>
      <c r="E258" s="13">
        <f>Tuts!D257</f>
        <v>12.82</v>
      </c>
    </row>
    <row r="259" spans="2:5" ht="15.75" hidden="1" customHeight="1">
      <c r="B259" t="str">
        <f>Tuts!B258</f>
        <v>CABO ENXADA 150CM</v>
      </c>
      <c r="C259" s="13">
        <f>Tuts!E258</f>
        <v>15</v>
      </c>
      <c r="D259" s="18">
        <f>Tuts!J258</f>
        <v>13.585714285714285</v>
      </c>
      <c r="E259" s="13">
        <f>Tuts!D258</f>
        <v>9.51</v>
      </c>
    </row>
    <row r="260" spans="2:5" ht="15.75" hidden="1" customHeight="1">
      <c r="B260" t="str">
        <f>Tuts!B259</f>
        <v>CABO EXTENSOR PROLONGADOR ATLAS 2 METROS</v>
      </c>
      <c r="C260" s="13">
        <f>Tuts!E259</f>
        <v>35</v>
      </c>
      <c r="D260" s="18">
        <f>Tuts!J259</f>
        <v>31.600000000000005</v>
      </c>
      <c r="E260" s="13">
        <f>Tuts!D259</f>
        <v>22.12</v>
      </c>
    </row>
    <row r="261" spans="2:5" ht="15.75" hidden="1" customHeight="1">
      <c r="B261" t="str">
        <f>Tuts!B260</f>
        <v>CABO EXTENSOR PROLONGADOR TIGRE 3 METROS</v>
      </c>
      <c r="C261" s="13">
        <f>Tuts!E260</f>
        <v>42</v>
      </c>
      <c r="D261" s="18">
        <f>Tuts!J260</f>
        <v>37.628571428571433</v>
      </c>
      <c r="E261" s="13">
        <f>Tuts!D260</f>
        <v>26.34</v>
      </c>
    </row>
    <row r="262" spans="2:5" ht="15.75" hidden="1" customHeight="1">
      <c r="B262" t="str">
        <f>Tuts!B261</f>
        <v xml:space="preserve">CABO FLEXIVEL AA 1,5MM </v>
      </c>
      <c r="C262" s="13">
        <f>Tuts!E261</f>
        <v>1.5</v>
      </c>
      <c r="D262" s="18">
        <f>Tuts!J261</f>
        <v>1.3857142857142857</v>
      </c>
      <c r="E262" s="13">
        <f>Tuts!D261</f>
        <v>0.97</v>
      </c>
    </row>
    <row r="263" spans="2:5" ht="15.75" hidden="1" customHeight="1">
      <c r="B263" t="str">
        <f>Tuts!B262</f>
        <v xml:space="preserve">CABO FLEXIVEL AB 2,5MM </v>
      </c>
      <c r="C263" s="13">
        <f>Tuts!E262</f>
        <v>2.5</v>
      </c>
      <c r="D263" s="18">
        <f>Tuts!J262</f>
        <v>2.2142857142857144</v>
      </c>
      <c r="E263" s="13">
        <f>Tuts!D262</f>
        <v>1.55</v>
      </c>
    </row>
    <row r="264" spans="2:5" ht="15.75" hidden="1" customHeight="1">
      <c r="B264" t="str">
        <f>Tuts!B263</f>
        <v xml:space="preserve">CABO FLEXIVEL B 4MM </v>
      </c>
      <c r="C264" s="13">
        <f>Tuts!E263</f>
        <v>3.9</v>
      </c>
      <c r="D264" s="18">
        <f>Tuts!J263</f>
        <v>3.6</v>
      </c>
      <c r="E264" s="13">
        <f>Tuts!D263</f>
        <v>2.52</v>
      </c>
    </row>
    <row r="265" spans="2:5" ht="15.75" hidden="1" customHeight="1">
      <c r="B265" t="str">
        <f>Tuts!B264</f>
        <v>CABO FLEXIVEL C 6MM</v>
      </c>
      <c r="C265" s="13">
        <f>Tuts!E264</f>
        <v>5.95</v>
      </c>
      <c r="D265" s="18">
        <f>Tuts!J264</f>
        <v>5.5000000000000009</v>
      </c>
      <c r="E265" s="13">
        <f>Tuts!D264</f>
        <v>3.85</v>
      </c>
    </row>
    <row r="266" spans="2:5" ht="15.75" hidden="1" customHeight="1">
      <c r="B266" t="str">
        <f>Tuts!B265</f>
        <v>CABO FLEXIVEL D 10MM</v>
      </c>
      <c r="C266" s="13">
        <f>Tuts!E265</f>
        <v>9.9</v>
      </c>
      <c r="D266" s="18">
        <f>Tuts!J265</f>
        <v>9.1571428571428584</v>
      </c>
      <c r="E266" s="13">
        <f>Tuts!D265</f>
        <v>6.41</v>
      </c>
    </row>
    <row r="267" spans="2:5" ht="15.75" hidden="1" customHeight="1">
      <c r="B267" t="str">
        <f>Tuts!B266</f>
        <v xml:space="preserve">CABO FLEXIVEL E 16MM </v>
      </c>
      <c r="C267" s="13">
        <f>Tuts!E266</f>
        <v>12.4</v>
      </c>
      <c r="D267" s="18">
        <f>Tuts!J266</f>
        <v>11.12857142857143</v>
      </c>
      <c r="E267" s="13">
        <f>Tuts!D266</f>
        <v>7.79</v>
      </c>
    </row>
    <row r="268" spans="2:5" ht="15.75" customHeight="1">
      <c r="B268" t="str">
        <f>Tuts!B267</f>
        <v xml:space="preserve">CABO PARALELO  1,5MM </v>
      </c>
      <c r="C268" s="13">
        <f>Tuts!E267</f>
        <v>3.5</v>
      </c>
      <c r="D268" s="18">
        <f>Tuts!J267</f>
        <v>3.2142857142857144</v>
      </c>
      <c r="E268" s="13">
        <f>Tuts!D267</f>
        <v>2.25</v>
      </c>
    </row>
    <row r="269" spans="2:5" ht="15.75" customHeight="1">
      <c r="B269" t="str">
        <f>Tuts!B268</f>
        <v xml:space="preserve">CABO PARALELO  2,5MM </v>
      </c>
      <c r="C269" s="13">
        <f>Tuts!E268</f>
        <v>5.2</v>
      </c>
      <c r="D269" s="18">
        <f>Tuts!J268</f>
        <v>4.7428571428571429</v>
      </c>
      <c r="E269" s="13">
        <f>Tuts!D268</f>
        <v>3.32</v>
      </c>
    </row>
    <row r="270" spans="2:5" ht="15.75" hidden="1" customHeight="1">
      <c r="B270" t="str">
        <f>Tuts!B269</f>
        <v>CABO PP 2X1,5MM</v>
      </c>
      <c r="C270" s="13">
        <f>Tuts!E269</f>
        <v>4.3499999999999996</v>
      </c>
      <c r="D270" s="18">
        <f>Tuts!J269</f>
        <v>4</v>
      </c>
      <c r="E270" s="13">
        <f>Tuts!D269</f>
        <v>2.8</v>
      </c>
    </row>
    <row r="271" spans="2:5" ht="15.75" hidden="1" customHeight="1">
      <c r="B271" t="str">
        <f>Tuts!B270</f>
        <v>CABO PP 2X2,5MM</v>
      </c>
      <c r="C271" s="13">
        <f>Tuts!E270</f>
        <v>7.1</v>
      </c>
      <c r="D271" s="18">
        <f>Tuts!J270</f>
        <v>6.5714285714285712</v>
      </c>
      <c r="E271" s="13">
        <f>Tuts!D270</f>
        <v>4.5999999999999996</v>
      </c>
    </row>
    <row r="272" spans="2:5" ht="15.75" hidden="1" customHeight="1">
      <c r="B272" t="str">
        <f>Tuts!B271</f>
        <v>CABO SOM CRISTAL 2x1.5MM</v>
      </c>
      <c r="C272" s="13">
        <f>Tuts!E271</f>
        <v>3.2</v>
      </c>
      <c r="D272" s="18">
        <f>Tuts!J271</f>
        <v>2.9714285714285715</v>
      </c>
      <c r="E272" s="13">
        <f>Tuts!D271</f>
        <v>2.08</v>
      </c>
    </row>
    <row r="273" spans="2:5" ht="15.75" hidden="1" customHeight="1">
      <c r="B273" t="str">
        <f>Tuts!B272</f>
        <v>Cabo Transferência Barteria - Chupeta</v>
      </c>
      <c r="C273" s="13">
        <f>Tuts!E272</f>
        <v>72</v>
      </c>
      <c r="D273" s="18">
        <f>Tuts!J272</f>
        <v>70.285714285714292</v>
      </c>
      <c r="E273" s="13">
        <f>Tuts!D272</f>
        <v>49.2</v>
      </c>
    </row>
    <row r="274" spans="2:5" ht="15.75" hidden="1" customHeight="1">
      <c r="B274" t="str">
        <f>Tuts!B273</f>
        <v>Cadeado Haste Longa 30 Papaiz</v>
      </c>
      <c r="C274" s="13">
        <f>Tuts!E273</f>
        <v>36.799999999999997</v>
      </c>
      <c r="D274" s="18">
        <f>Tuts!J273</f>
        <v>37.714285714285715</v>
      </c>
      <c r="E274" s="13">
        <f>Tuts!D273</f>
        <v>26.4</v>
      </c>
    </row>
    <row r="275" spans="2:5" ht="15.75" hidden="1" customHeight="1">
      <c r="B275" t="str">
        <f>Tuts!B274</f>
        <v>CADEADO PADO LT-20MM</v>
      </c>
      <c r="C275" s="13">
        <f>Tuts!E274</f>
        <v>22</v>
      </c>
      <c r="D275" s="18">
        <f>Tuts!J274</f>
        <v>20.371428571428574</v>
      </c>
      <c r="E275" s="13">
        <f>Tuts!D274</f>
        <v>14.26</v>
      </c>
    </row>
    <row r="276" spans="2:5" ht="15.75" hidden="1" customHeight="1">
      <c r="B276" t="str">
        <f>Tuts!B275</f>
        <v>CADEADO PADO LT-25mm</v>
      </c>
      <c r="C276" s="13">
        <f>Tuts!E275</f>
        <v>26.8</v>
      </c>
      <c r="D276" s="18">
        <f>Tuts!J275</f>
        <v>23.685714285714283</v>
      </c>
      <c r="E276" s="13">
        <f>Tuts!D275</f>
        <v>16.579999999999998</v>
      </c>
    </row>
    <row r="277" spans="2:5" ht="15.75" hidden="1" customHeight="1">
      <c r="B277" t="str">
        <f>Tuts!B276</f>
        <v>CADEADO PADO LT-30mm</v>
      </c>
      <c r="C277" s="13">
        <f>Tuts!E276</f>
        <v>30</v>
      </c>
      <c r="D277" s="18">
        <f>Tuts!J276</f>
        <v>25</v>
      </c>
      <c r="E277" s="13">
        <f>Tuts!D276</f>
        <v>17.5</v>
      </c>
    </row>
    <row r="278" spans="2:5" ht="15.75" hidden="1" customHeight="1">
      <c r="B278" t="str">
        <f>Tuts!B277</f>
        <v>CADEADO PADO LT-35mm</v>
      </c>
      <c r="C278" s="13">
        <f>Tuts!E277</f>
        <v>40.799999999999997</v>
      </c>
      <c r="D278" s="18">
        <f>Tuts!J277</f>
        <v>36.971428571428575</v>
      </c>
      <c r="E278" s="13">
        <f>Tuts!D277</f>
        <v>25.88</v>
      </c>
    </row>
    <row r="279" spans="2:5" ht="15.75" hidden="1" customHeight="1">
      <c r="B279" t="str">
        <f>Tuts!B278</f>
        <v>CADEADO PADO LT-40mm</v>
      </c>
      <c r="C279" s="13">
        <f>Tuts!E278</f>
        <v>45</v>
      </c>
      <c r="D279" s="18">
        <f>Tuts!J278</f>
        <v>40.885714285714293</v>
      </c>
      <c r="E279" s="13">
        <f>Tuts!D278</f>
        <v>28.62</v>
      </c>
    </row>
    <row r="280" spans="2:5" ht="15.75" hidden="1" customHeight="1">
      <c r="B280" t="str">
        <f>Tuts!B279</f>
        <v>CADEADO PADO LT-50mm</v>
      </c>
      <c r="C280" s="13">
        <f>Tuts!E279</f>
        <v>55.6</v>
      </c>
      <c r="D280" s="18">
        <f>Tuts!J279</f>
        <v>58.757142857142867</v>
      </c>
      <c r="E280" s="13">
        <f>Tuts!D279</f>
        <v>41.13</v>
      </c>
    </row>
    <row r="281" spans="2:5" ht="15.75" hidden="1" customHeight="1">
      <c r="B281" t="str">
        <f>Tuts!B280</f>
        <v>CADEADO TRIANGLE 20MM</v>
      </c>
      <c r="C281" s="13">
        <f>Tuts!E280</f>
        <v>10.199999999999999</v>
      </c>
      <c r="D281" s="18">
        <f>Tuts!J280</f>
        <v>9.1428571428571441</v>
      </c>
      <c r="E281" s="13">
        <f>Tuts!D280</f>
        <v>6.4</v>
      </c>
    </row>
    <row r="282" spans="2:5" ht="15.75" hidden="1" customHeight="1">
      <c r="B282" t="str">
        <f>Tuts!B281</f>
        <v>CADEADO TRIANGLE 25MM</v>
      </c>
      <c r="C282" s="13">
        <f>Tuts!E281</f>
        <v>11.5</v>
      </c>
      <c r="D282" s="18">
        <f>Tuts!J281</f>
        <v>11.714285714285714</v>
      </c>
      <c r="E282" s="13">
        <f>Tuts!D281</f>
        <v>8.1999999999999993</v>
      </c>
    </row>
    <row r="283" spans="2:5" ht="15.75" hidden="1" customHeight="1">
      <c r="B283" t="str">
        <f>Tuts!B282</f>
        <v>CADEADO TRIANGLE 32MM</v>
      </c>
      <c r="C283" s="13">
        <f>Tuts!E282</f>
        <v>20</v>
      </c>
      <c r="D283" s="18">
        <f>Tuts!J282</f>
        <v>17.142857142857142</v>
      </c>
      <c r="E283" s="13">
        <f>Tuts!D282</f>
        <v>12</v>
      </c>
    </row>
    <row r="284" spans="2:5" ht="15.75" hidden="1" customHeight="1">
      <c r="B284" t="e">
        <f>Tuts!#REF!</f>
        <v>#REF!</v>
      </c>
      <c r="C284" s="13" t="e">
        <f>Tuts!#REF!</f>
        <v>#REF!</v>
      </c>
      <c r="D284" s="18" t="e">
        <f>Tuts!#REF!</f>
        <v>#REF!</v>
      </c>
      <c r="E284" s="13" t="e">
        <f>Tuts!#REF!</f>
        <v>#REF!</v>
      </c>
    </row>
    <row r="285" spans="2:5" ht="15.75" hidden="1" customHeight="1">
      <c r="B285" t="str">
        <f>Tuts!B283</f>
        <v>CADEADO TRIANGLE 38MM</v>
      </c>
      <c r="C285" s="13">
        <f>Tuts!E283</f>
        <v>17.899999999999999</v>
      </c>
      <c r="D285" s="18">
        <f>Tuts!J283</f>
        <v>16</v>
      </c>
      <c r="E285" s="13">
        <f>Tuts!D283</f>
        <v>11.2</v>
      </c>
    </row>
    <row r="286" spans="2:5" ht="15.75" hidden="1" customHeight="1">
      <c r="B286" t="str">
        <f>Tuts!B284</f>
        <v>CADEADO TRIANGLE 50MM</v>
      </c>
      <c r="C286" s="13">
        <f>Tuts!E284</f>
        <v>30</v>
      </c>
      <c r="D286" s="18">
        <f>Tuts!J284</f>
        <v>27</v>
      </c>
      <c r="E286" s="13">
        <f>Tuts!D284</f>
        <v>18.899999999999999</v>
      </c>
    </row>
    <row r="287" spans="2:5" ht="15.75" hidden="1" customHeight="1">
      <c r="B287" t="str">
        <f>Tuts!B285</f>
        <v>CADEADO TRIANGLE 75MM</v>
      </c>
      <c r="C287" s="13">
        <f>Tuts!E285</f>
        <v>58.9</v>
      </c>
      <c r="D287" s="18">
        <f>Tuts!J285</f>
        <v>52.714285714285715</v>
      </c>
      <c r="E287" s="13">
        <f>Tuts!D285</f>
        <v>36.9</v>
      </c>
    </row>
    <row r="288" spans="2:5" ht="15.75" hidden="1" customHeight="1">
      <c r="B288" t="str">
        <f>Tuts!B286</f>
        <v>CAIDA D'AGUA FORTLEV 100L</v>
      </c>
      <c r="C288" s="13">
        <f>Tuts!E286</f>
        <v>205</v>
      </c>
      <c r="D288" s="18">
        <f>Tuts!J286</f>
        <v>189.41428571428574</v>
      </c>
      <c r="E288" s="13">
        <f>Tuts!D286</f>
        <v>132.59</v>
      </c>
    </row>
    <row r="289" spans="2:5" ht="15.75" hidden="1" customHeight="1">
      <c r="B289" t="str">
        <f>Tuts!B287</f>
        <v>CAIDA D'AGUA FORTLEV 2000L</v>
      </c>
      <c r="C289" s="13">
        <f>Tuts!E287</f>
        <v>1250</v>
      </c>
      <c r="D289" s="18">
        <f>Tuts!J287</f>
        <v>1121.4142857142858</v>
      </c>
      <c r="E289" s="13">
        <f>Tuts!D287</f>
        <v>784.99</v>
      </c>
    </row>
    <row r="290" spans="2:5" ht="15.75" hidden="1" customHeight="1">
      <c r="B290" t="str">
        <f>Tuts!B288</f>
        <v>CAIXA ACOPLADA INCEPA THEMA P/ BACIA QUAD</v>
      </c>
      <c r="C290" s="13">
        <f>Tuts!E288</f>
        <v>320</v>
      </c>
      <c r="D290" s="18">
        <f>Tuts!J288</f>
        <v>295.42857142857144</v>
      </c>
      <c r="E290" s="13">
        <f>Tuts!D288</f>
        <v>206.8</v>
      </c>
    </row>
    <row r="291" spans="2:5" ht="15.75" hidden="1" customHeight="1">
      <c r="B291" t="str">
        <f>Tuts!B289</f>
        <v>CAIXA D'ADUA FORTLEV TANQUE TAMPA COM ROSCA 500L</v>
      </c>
      <c r="C291" s="13">
        <f>Tuts!E289</f>
        <v>515</v>
      </c>
      <c r="D291" s="18">
        <f>Tuts!J289</f>
        <v>477.31428571428575</v>
      </c>
      <c r="E291" s="13">
        <f>Tuts!D289</f>
        <v>334.12</v>
      </c>
    </row>
    <row r="292" spans="2:5" ht="15.75" hidden="1" customHeight="1">
      <c r="B292" t="str">
        <f>Tuts!B290</f>
        <v>CAIXA D'AGUA FORTLEV 1000L</v>
      </c>
      <c r="C292" s="13">
        <f>Tuts!E290</f>
        <v>475</v>
      </c>
      <c r="D292" s="18">
        <f>Tuts!J290</f>
        <v>436.8857142857143</v>
      </c>
      <c r="E292" s="13">
        <f>Tuts!D290</f>
        <v>305.82</v>
      </c>
    </row>
    <row r="293" spans="2:5" ht="15.75" hidden="1" customHeight="1">
      <c r="B293" t="str">
        <f>Tuts!B291</f>
        <v>CAIXA D'AGUA FORTLEV 250L</v>
      </c>
      <c r="C293" s="13">
        <f>Tuts!E291</f>
        <v>260</v>
      </c>
      <c r="D293" s="18">
        <f>Tuts!J291</f>
        <v>241.42857142857144</v>
      </c>
      <c r="E293" s="13">
        <f>Tuts!D291</f>
        <v>169</v>
      </c>
    </row>
    <row r="294" spans="2:5" ht="15.75" hidden="1" customHeight="1">
      <c r="B294" t="str">
        <f>Tuts!B292</f>
        <v>CAIXA D'AGUA FORTLEV 310L</v>
      </c>
      <c r="C294" s="13">
        <f>Tuts!E292</f>
        <v>280</v>
      </c>
      <c r="D294" s="18">
        <f>Tuts!J292</f>
        <v>256.20000000000005</v>
      </c>
      <c r="E294" s="13">
        <f>Tuts!D292</f>
        <v>179.34</v>
      </c>
    </row>
    <row r="295" spans="2:5" ht="15.75" hidden="1" customHeight="1">
      <c r="B295" t="str">
        <f>Tuts!B293</f>
        <v>CAIXA D'AGUA FORTLEV 500L</v>
      </c>
      <c r="C295" s="13">
        <f>Tuts!E293</f>
        <v>300</v>
      </c>
      <c r="D295" s="18">
        <f>Tuts!J293</f>
        <v>271.42857142857144</v>
      </c>
      <c r="E295" s="13">
        <f>Tuts!D293</f>
        <v>190</v>
      </c>
    </row>
    <row r="296" spans="2:5" ht="15.75" hidden="1" customHeight="1">
      <c r="B296" t="str">
        <f>Tuts!B294</f>
        <v>CAIXA DE CORREIO CORRESPONDENCIA VERTICAL</v>
      </c>
      <c r="C296" s="13">
        <f>Tuts!E294</f>
        <v>38.9</v>
      </c>
      <c r="D296" s="18">
        <f>Tuts!J294</f>
        <v>34.1</v>
      </c>
      <c r="E296" s="13">
        <f>Tuts!D294</f>
        <v>23.87</v>
      </c>
    </row>
    <row r="297" spans="2:5" ht="15.75" hidden="1" customHeight="1">
      <c r="B297" t="str">
        <f>Tuts!B295</f>
        <v>CAIXA DE CORREIO PVC PRIME</v>
      </c>
      <c r="C297" s="13">
        <f>Tuts!E295</f>
        <v>46</v>
      </c>
      <c r="D297" s="18">
        <f>Tuts!J295</f>
        <v>42.628571428571433</v>
      </c>
      <c r="E297" s="13">
        <f>Tuts!D295</f>
        <v>29.84</v>
      </c>
    </row>
    <row r="298" spans="2:5" ht="15.75" hidden="1" customHeight="1">
      <c r="B298" t="str">
        <f>Tuts!B296</f>
        <v>CAIXA DE CORREIO REVISTA</v>
      </c>
      <c r="C298" s="13">
        <f>Tuts!E296</f>
        <v>95.8</v>
      </c>
      <c r="D298" s="18">
        <f>Tuts!J296</f>
        <v>93.94285714285715</v>
      </c>
      <c r="E298" s="13">
        <f>Tuts!D296</f>
        <v>65.760000000000005</v>
      </c>
    </row>
    <row r="299" spans="2:5" ht="15.75" hidden="1" customHeight="1">
      <c r="B299" t="str">
        <f>Tuts!B297</f>
        <v>CAIXA DE CORREIO TIJOLINHO</v>
      </c>
      <c r="C299" s="13">
        <f>Tuts!E297</f>
        <v>66</v>
      </c>
      <c r="D299" s="18">
        <f>Tuts!J297</f>
        <v>61.20000000000001</v>
      </c>
      <c r="E299" s="13">
        <f>Tuts!D297</f>
        <v>42.84</v>
      </c>
    </row>
    <row r="300" spans="2:5" ht="15.75" hidden="1" customHeight="1">
      <c r="B300" t="str">
        <f>Tuts!B298</f>
        <v>CAIXA DE GORDURA COM CESTO</v>
      </c>
      <c r="C300" s="13">
        <f>Tuts!E298</f>
        <v>92</v>
      </c>
      <c r="D300" s="18">
        <f>Tuts!J298</f>
        <v>81.671428571428578</v>
      </c>
      <c r="E300" s="13">
        <f>Tuts!D298</f>
        <v>57.17</v>
      </c>
    </row>
    <row r="301" spans="2:5" ht="15.75" hidden="1" customHeight="1">
      <c r="B301" t="str">
        <f>Tuts!B299</f>
        <v xml:space="preserve">CAIXA DE INSPECAO </v>
      </c>
      <c r="C301" s="13">
        <f>Tuts!E299</f>
        <v>90</v>
      </c>
      <c r="D301" s="18">
        <f>Tuts!J299</f>
        <v>77.185714285714297</v>
      </c>
      <c r="E301" s="13">
        <f>Tuts!D299</f>
        <v>54.03</v>
      </c>
    </row>
    <row r="302" spans="2:5" ht="15.75" hidden="1" customHeight="1">
      <c r="B302" t="str">
        <f>Tuts!B300</f>
        <v>CAIXA DE PASSAGEM</v>
      </c>
      <c r="C302" s="13">
        <f>Tuts!E300</f>
        <v>162</v>
      </c>
      <c r="D302" s="18">
        <f>Tuts!J300</f>
        <v>150</v>
      </c>
      <c r="E302" s="13">
        <f>Tuts!D300</f>
        <v>105</v>
      </c>
    </row>
    <row r="303" spans="2:5" ht="15.75" hidden="1" customHeight="1">
      <c r="B303" t="str">
        <f>Tuts!B301</f>
        <v>CAIXA FERRAMENTA 5 GAVETAS N07 METAL 50X20X21</v>
      </c>
      <c r="C303" s="13">
        <f>Tuts!E301</f>
        <v>210</v>
      </c>
      <c r="D303" s="18">
        <f>Tuts!J301</f>
        <v>194.98571428571432</v>
      </c>
      <c r="E303" s="13">
        <f>Tuts!D301</f>
        <v>136.49</v>
      </c>
    </row>
    <row r="304" spans="2:5" ht="15.75" hidden="1" customHeight="1">
      <c r="B304" t="str">
        <f>Tuts!B302</f>
        <v>CAIXA FERRAMENTA BAU N02 METAL 40X16X15</v>
      </c>
      <c r="C304" s="13">
        <f>Tuts!E302</f>
        <v>110</v>
      </c>
      <c r="D304" s="18">
        <f>Tuts!J302</f>
        <v>101.27142857142857</v>
      </c>
      <c r="E304" s="13">
        <f>Tuts!D302</f>
        <v>70.89</v>
      </c>
    </row>
    <row r="305" spans="2:5" ht="15.75" hidden="1" customHeight="1">
      <c r="B305" t="str">
        <f>Tuts!B303</f>
        <v>CAIXA LUZ TOMADA EMBUTIR AMARELA TRAMONTINA</v>
      </c>
      <c r="C305" s="13">
        <f>Tuts!E303</f>
        <v>2</v>
      </c>
      <c r="D305" s="18">
        <f>Tuts!J303</f>
        <v>1.5000000000000002</v>
      </c>
      <c r="E305" s="13">
        <f>Tuts!D303</f>
        <v>1.05</v>
      </c>
    </row>
    <row r="306" spans="2:5" ht="15.75" hidden="1" customHeight="1">
      <c r="B306" t="str">
        <f>Tuts!B304</f>
        <v>CAIXA LUZ TOMADA EMBUTIR ESMALTADA FERRO</v>
      </c>
      <c r="C306" s="13">
        <f>Tuts!E304</f>
        <v>3.5</v>
      </c>
      <c r="D306" s="18">
        <f>Tuts!J304</f>
        <v>3.1571428571428575</v>
      </c>
      <c r="E306" s="13">
        <f>Tuts!D304</f>
        <v>2.21</v>
      </c>
    </row>
    <row r="307" spans="2:5" ht="15.75" hidden="1" customHeight="1">
      <c r="B307" t="str">
        <f>Tuts!B305</f>
        <v>CAIXA LUZ TOMADA EMBUTIR LEGRAND PRETA</v>
      </c>
      <c r="C307" s="13">
        <f>Tuts!E305</f>
        <v>1.5</v>
      </c>
      <c r="D307" s="18">
        <f>Tuts!J305</f>
        <v>1.3</v>
      </c>
      <c r="E307" s="13">
        <f>Tuts!D305</f>
        <v>0.91</v>
      </c>
    </row>
    <row r="308" spans="2:5" ht="15.75" hidden="1" customHeight="1">
      <c r="B308" t="str">
        <f>Tuts!B306</f>
        <v>CAIXA MEDICAO ACRILICA ELEKTRO</v>
      </c>
      <c r="C308" s="13">
        <f>Tuts!E306</f>
        <v>170</v>
      </c>
      <c r="D308" s="18">
        <f>Tuts!J306</f>
        <v>157.00000000000003</v>
      </c>
      <c r="E308" s="13">
        <f>Tuts!D306</f>
        <v>109.9</v>
      </c>
    </row>
    <row r="309" spans="2:5" ht="15.75" hidden="1" customHeight="1">
      <c r="B309" t="str">
        <f>Tuts!B307</f>
        <v>CAIXA PADRAO SABESP</v>
      </c>
      <c r="C309" s="13">
        <f>Tuts!E307</f>
        <v>145</v>
      </c>
      <c r="D309" s="18">
        <f>Tuts!J307</f>
        <v>123.02857142857144</v>
      </c>
      <c r="E309" s="13">
        <f>Tuts!D307</f>
        <v>86.12</v>
      </c>
    </row>
    <row r="310" spans="2:5" ht="15.75" hidden="1" customHeight="1">
      <c r="B310" t="str">
        <f>Tuts!B308</f>
        <v>CAIXA PASSAGEM EXTERNA VENTILADOR</v>
      </c>
      <c r="C310" s="13">
        <f>Tuts!E308</f>
        <v>6</v>
      </c>
      <c r="D310" s="18">
        <f>Tuts!J308</f>
        <v>4</v>
      </c>
      <c r="E310" s="13">
        <f>Tuts!D308</f>
        <v>2.8</v>
      </c>
    </row>
    <row r="311" spans="2:5" ht="15.75" hidden="1" customHeight="1">
      <c r="B311" t="str">
        <f>Tuts!B309</f>
        <v>CAIXA PROTECAO 2 DISJUNTOR STECK AR CONDICIONADO</v>
      </c>
      <c r="C311" s="13">
        <f>Tuts!E309</f>
        <v>15.8</v>
      </c>
      <c r="D311" s="18">
        <f>Tuts!J309</f>
        <v>12.714285714285715</v>
      </c>
      <c r="E311" s="13">
        <f>Tuts!D309</f>
        <v>8.9</v>
      </c>
    </row>
    <row r="312" spans="2:5" ht="15.75" hidden="1" customHeight="1">
      <c r="B312" t="str">
        <f>Tuts!B310</f>
        <v>CAIXA SIFONADA  100x100x50 HERC</v>
      </c>
      <c r="C312" s="13">
        <f>Tuts!E310</f>
        <v>19.5</v>
      </c>
      <c r="D312" s="18">
        <f>Tuts!J310</f>
        <v>17.428571428571427</v>
      </c>
      <c r="E312" s="13">
        <f>Tuts!D310</f>
        <v>12.2</v>
      </c>
    </row>
    <row r="313" spans="2:5" ht="15.75" hidden="1" customHeight="1">
      <c r="B313" t="str">
        <f>Tuts!B311</f>
        <v>Caixa Sifonada 250x230x75 Quad Branca</v>
      </c>
      <c r="C313" s="13">
        <f>Tuts!E311</f>
        <v>85.5</v>
      </c>
      <c r="D313" s="18">
        <f>Tuts!J311</f>
        <v>90.414285714285725</v>
      </c>
      <c r="E313" s="13">
        <f>Tuts!D311</f>
        <v>63.29</v>
      </c>
    </row>
    <row r="314" spans="2:5" ht="15.75" hidden="1" customHeight="1">
      <c r="B314" t="str">
        <f>Tuts!B312</f>
        <v>CAIXA SIFONADA ASTRA COM FECHO 150X150X50 CROMADA</v>
      </c>
      <c r="C314" s="13">
        <f>Tuts!E312</f>
        <v>59</v>
      </c>
      <c r="D314" s="18">
        <f>Tuts!J312</f>
        <v>54.128571428571433</v>
      </c>
      <c r="E314" s="13">
        <f>Tuts!D312</f>
        <v>37.89</v>
      </c>
    </row>
    <row r="315" spans="2:5" ht="15.75" hidden="1" customHeight="1">
      <c r="B315" t="str">
        <f>Tuts!B313</f>
        <v>CAIXA SIFONADA ASTRA SIMPLES 150X150X50 CROMADA</v>
      </c>
      <c r="C315" s="13">
        <f>Tuts!E313</f>
        <v>51</v>
      </c>
      <c r="D315" s="18">
        <f>Tuts!J313</f>
        <v>46.628571428571433</v>
      </c>
      <c r="E315" s="13">
        <f>Tuts!D313</f>
        <v>32.64</v>
      </c>
    </row>
    <row r="316" spans="2:5" ht="15.75" hidden="1" customHeight="1">
      <c r="B316" t="str">
        <f>Tuts!B314</f>
        <v>CAIXA SIFONADA BRANCA INJEREST 100 QUAD</v>
      </c>
      <c r="C316" s="13">
        <f>Tuts!E314</f>
        <v>19.899999999999999</v>
      </c>
      <c r="D316" s="18">
        <f>Tuts!J314</f>
        <v>16.785714285714288</v>
      </c>
      <c r="E316" s="13">
        <f>Tuts!D314</f>
        <v>11.75</v>
      </c>
    </row>
    <row r="317" spans="2:5" ht="15.75" hidden="1" customHeight="1">
      <c r="B317" t="str">
        <f>Tuts!B315</f>
        <v>CAIXA SIFONADA C/ TAMPA QUADRADA 150X150X50 HERC</v>
      </c>
      <c r="C317" s="13">
        <f>Tuts!E315</f>
        <v>45.8</v>
      </c>
      <c r="D317" s="18">
        <f>Tuts!J315</f>
        <v>40.171428571428578</v>
      </c>
      <c r="E317" s="13">
        <f>Tuts!D315</f>
        <v>28.12</v>
      </c>
    </row>
    <row r="318" spans="2:5" ht="15.75" hidden="1" customHeight="1">
      <c r="B318" t="str">
        <f>Tuts!B316</f>
        <v>CAIXA SIFONADA C/ TAMPA QUADRADA 250X172X50 HERC</v>
      </c>
      <c r="C318" s="13">
        <f>Tuts!E316</f>
        <v>91.5</v>
      </c>
      <c r="D318" s="18">
        <f>Tuts!J316</f>
        <v>95.471428571428575</v>
      </c>
      <c r="E318" s="13">
        <f>Tuts!D316</f>
        <v>66.83</v>
      </c>
    </row>
    <row r="319" spans="2:5" ht="15.75" hidden="1" customHeight="1">
      <c r="B319" t="str">
        <f>Tuts!B317</f>
        <v>CAIXA SIFONADA CROMADA INJEREST 100 QUAD</v>
      </c>
      <c r="C319" s="13">
        <f>Tuts!E317</f>
        <v>24.8</v>
      </c>
      <c r="D319" s="18">
        <f>Tuts!J317</f>
        <v>21.957142857142859</v>
      </c>
      <c r="E319" s="13">
        <f>Tuts!D317</f>
        <v>15.37</v>
      </c>
    </row>
    <row r="320" spans="2:5" ht="15.75" hidden="1" customHeight="1">
      <c r="B320" t="str">
        <f>Tuts!B318</f>
        <v>CAL HIDRATADA CH lll ITAU 20KG</v>
      </c>
      <c r="C320" s="13">
        <f>Tuts!E318</f>
        <v>20</v>
      </c>
      <c r="D320" s="18">
        <f>Tuts!J318</f>
        <v>22.457142857142859</v>
      </c>
      <c r="E320" s="13">
        <f>Tuts!D318</f>
        <v>15.72</v>
      </c>
    </row>
    <row r="321" spans="2:5" ht="15.75" hidden="1" customHeight="1">
      <c r="B321" t="str">
        <f>Tuts!B319</f>
        <v>CAL HIDRATADA TRADICAL</v>
      </c>
      <c r="C321" s="13">
        <f>Tuts!E319</f>
        <v>16</v>
      </c>
      <c r="D321" s="18">
        <f>Tuts!J319</f>
        <v>15.814285714285715</v>
      </c>
      <c r="E321" s="13">
        <f>Tuts!D319</f>
        <v>11.07</v>
      </c>
    </row>
    <row r="322" spans="2:5" ht="15.75" hidden="1" customHeight="1">
      <c r="B322" t="str">
        <f>Tuts!B320</f>
        <v>CAL PINTURA 8KG</v>
      </c>
      <c r="C322" s="13">
        <f>Tuts!E320</f>
        <v>15</v>
      </c>
      <c r="D322" s="18">
        <f>Tuts!J320</f>
        <v>14.457142857142857</v>
      </c>
      <c r="E322" s="13">
        <f>Tuts!D320</f>
        <v>10.119999999999999</v>
      </c>
    </row>
    <row r="323" spans="2:5" ht="15.75" hidden="1" customHeight="1">
      <c r="B323" t="str">
        <f>Tuts!B321</f>
        <v>CAMISETA CAMISA PESCA</v>
      </c>
      <c r="C323" s="13">
        <f>Tuts!E321</f>
        <v>65</v>
      </c>
      <c r="D323" s="18">
        <f>Tuts!J321</f>
        <v>57</v>
      </c>
      <c r="E323" s="13">
        <f>Tuts!D321</f>
        <v>39.9</v>
      </c>
    </row>
    <row r="324" spans="2:5" ht="15.75" hidden="1" customHeight="1">
      <c r="B324" t="str">
        <f>Tuts!B322</f>
        <v>CANAA TUBO ESGOTO RECICLADO 100MM</v>
      </c>
      <c r="C324" s="13">
        <f>Tuts!E322</f>
        <v>72</v>
      </c>
      <c r="D324" s="18">
        <f>Tuts!J322</f>
        <v>57.75714285714286</v>
      </c>
      <c r="E324" s="13">
        <f>Tuts!D322</f>
        <v>40.43</v>
      </c>
    </row>
    <row r="325" spans="2:5" ht="15.75" hidden="1" customHeight="1">
      <c r="B325" t="str">
        <f>Tuts!B323</f>
        <v>CANAA TUBO ESGOTO RECICLADO 150MM</v>
      </c>
      <c r="C325" s="13">
        <f>Tuts!E323</f>
        <v>220</v>
      </c>
      <c r="D325" s="18">
        <f>Tuts!J323</f>
        <v>203.35714285714286</v>
      </c>
      <c r="E325" s="13">
        <f>Tuts!D323</f>
        <v>142.35</v>
      </c>
    </row>
    <row r="326" spans="2:5" ht="15.75" hidden="1" customHeight="1">
      <c r="B326" t="str">
        <f>Tuts!B324</f>
        <v>CANAA TUBO ESGOTO RECICLADO 40MM</v>
      </c>
      <c r="C326" s="13">
        <f>Tuts!E324</f>
        <v>34</v>
      </c>
      <c r="D326" s="18">
        <f>Tuts!J324</f>
        <v>22.5</v>
      </c>
      <c r="E326" s="13">
        <f>Tuts!D324</f>
        <v>15.75</v>
      </c>
    </row>
    <row r="327" spans="2:5" ht="15.75" hidden="1" customHeight="1">
      <c r="B327" t="str">
        <f>Tuts!B325</f>
        <v>CANAA TUBO ESGOTO RECICLADO 50MM</v>
      </c>
      <c r="C327" s="13">
        <f>Tuts!E325</f>
        <v>53</v>
      </c>
      <c r="D327" s="18">
        <f>Tuts!J325</f>
        <v>47.814285714285717</v>
      </c>
      <c r="E327" s="13">
        <f>Tuts!D325</f>
        <v>33.47</v>
      </c>
    </row>
    <row r="328" spans="2:5" ht="15.75" hidden="1" customHeight="1">
      <c r="B328" t="str">
        <f>Tuts!B326</f>
        <v>CANAA TUBO ESGOTO RECICLADO 75MM</v>
      </c>
      <c r="C328" s="13">
        <f>Tuts!E326</f>
        <v>62</v>
      </c>
      <c r="D328" s="18">
        <f>Tuts!J326</f>
        <v>51.68571428571429</v>
      </c>
      <c r="E328" s="13">
        <f>Tuts!D326</f>
        <v>36.18</v>
      </c>
    </row>
    <row r="329" spans="2:5" ht="15.75" hidden="1" customHeight="1">
      <c r="B329" t="str">
        <f>Tuts!B327</f>
        <v>CANAA TUBO SOLDAVEL 25MM</v>
      </c>
      <c r="C329" s="13">
        <f>Tuts!E327</f>
        <v>23</v>
      </c>
      <c r="D329" s="18">
        <f>Tuts!J327</f>
        <v>17.62857142857143</v>
      </c>
      <c r="E329" s="13">
        <f>Tuts!D327</f>
        <v>12.34</v>
      </c>
    </row>
    <row r="330" spans="2:5" ht="15.75" hidden="1" customHeight="1">
      <c r="B330" t="str">
        <f>Tuts!B328</f>
        <v>CANAA TUBO SOLDAVEL 50MM</v>
      </c>
      <c r="C330" s="13">
        <f>Tuts!E328</f>
        <v>70</v>
      </c>
      <c r="D330" s="18">
        <f>Tuts!J328</f>
        <v>63.842857142857142</v>
      </c>
      <c r="E330" s="13">
        <f>Tuts!D328</f>
        <v>44.69</v>
      </c>
    </row>
    <row r="331" spans="2:5" ht="15.75" hidden="1" customHeight="1">
      <c r="B331" t="str">
        <f>Tuts!B329</f>
        <v>CANALETA  BR 10X10X2M</v>
      </c>
      <c r="C331" s="13">
        <f>Tuts!E329</f>
        <v>8</v>
      </c>
      <c r="D331" s="18">
        <f>Tuts!J329</f>
        <v>7.0857142857142863</v>
      </c>
      <c r="E331" s="13">
        <f>Tuts!D329</f>
        <v>4.96</v>
      </c>
    </row>
    <row r="332" spans="2:5" ht="15.75" hidden="1" customHeight="1">
      <c r="B332" t="str">
        <f>Tuts!B330</f>
        <v>CANALETA BR 20X10X1M</v>
      </c>
      <c r="C332" s="13">
        <f>Tuts!E330</f>
        <v>5.2</v>
      </c>
      <c r="D332" s="18">
        <f>Tuts!J330</f>
        <v>4.2142857142857144</v>
      </c>
      <c r="E332" s="13">
        <f>Tuts!D330</f>
        <v>2.95</v>
      </c>
    </row>
    <row r="333" spans="2:5" ht="15.75" hidden="1" customHeight="1">
      <c r="B333" t="str">
        <f>Tuts!B331</f>
        <v>CANALETA BR 20X10X2M</v>
      </c>
      <c r="C333" s="13">
        <f>Tuts!E331</f>
        <v>9</v>
      </c>
      <c r="D333" s="18">
        <f>Tuts!J331</f>
        <v>7.0000000000000009</v>
      </c>
      <c r="E333" s="13">
        <f>Tuts!D331</f>
        <v>4.9000000000000004</v>
      </c>
    </row>
    <row r="334" spans="2:5" ht="15.75" hidden="1" customHeight="1">
      <c r="B334" t="str">
        <f>Tuts!B332</f>
        <v>CANIVETE</v>
      </c>
      <c r="C334" s="13">
        <f>Tuts!E332</f>
        <v>26.9</v>
      </c>
      <c r="D334" s="18">
        <f>Tuts!J332</f>
        <v>24.142857142857142</v>
      </c>
      <c r="E334" s="13">
        <f>Tuts!D332</f>
        <v>16.899999999999999</v>
      </c>
    </row>
    <row r="335" spans="2:5" ht="15.75" hidden="1" customHeight="1">
      <c r="B335" t="str">
        <f>Tuts!B333</f>
        <v>CANTONEIRA ABAS IGUAIS 1''</v>
      </c>
      <c r="C335" s="13">
        <f>Tuts!E333</f>
        <v>1.8</v>
      </c>
      <c r="D335" s="18">
        <f>Tuts!J333</f>
        <v>1.4285714285714286</v>
      </c>
      <c r="E335" s="13">
        <f>Tuts!D333</f>
        <v>1</v>
      </c>
    </row>
    <row r="336" spans="2:5" ht="15.75" hidden="1" customHeight="1">
      <c r="B336" t="str">
        <f>Tuts!B334</f>
        <v>CANTONEIRA ABAS IGUAIS 2''</v>
      </c>
      <c r="C336" s="13">
        <f>Tuts!E334</f>
        <v>2.5</v>
      </c>
      <c r="D336" s="18">
        <f>Tuts!J334</f>
        <v>1.9571428571428575</v>
      </c>
      <c r="E336" s="13">
        <f>Tuts!D334</f>
        <v>1.37</v>
      </c>
    </row>
    <row r="337" spans="2:5" ht="15.75" hidden="1" customHeight="1">
      <c r="B337" t="str">
        <f>Tuts!B335</f>
        <v>CANTONEIRA ABAS IGUAIS 3''</v>
      </c>
      <c r="C337" s="13">
        <f>Tuts!E335</f>
        <v>3</v>
      </c>
      <c r="D337" s="18">
        <f>Tuts!J335</f>
        <v>2.6428571428571432</v>
      </c>
      <c r="E337" s="13">
        <f>Tuts!D335</f>
        <v>1.85</v>
      </c>
    </row>
    <row r="338" spans="2:5" ht="15.75" hidden="1" customHeight="1">
      <c r="B338" t="str">
        <f>Tuts!B336</f>
        <v>CANTONEIRA ABAS IGUAIS 4''</v>
      </c>
      <c r="C338" s="13">
        <f>Tuts!E336</f>
        <v>3.5</v>
      </c>
      <c r="D338" s="18">
        <f>Tuts!J336</f>
        <v>3.1285714285714286</v>
      </c>
      <c r="E338" s="13">
        <f>Tuts!D336</f>
        <v>2.19</v>
      </c>
    </row>
    <row r="339" spans="2:5" ht="15.75" hidden="1" customHeight="1">
      <c r="B339" t="str">
        <f>Tuts!B337</f>
        <v>CANTONEIRA BRANCA 1/2 3 METROS</v>
      </c>
      <c r="C339" s="13">
        <f>Tuts!E337</f>
        <v>15</v>
      </c>
      <c r="D339" s="18">
        <f>Tuts!J337</f>
        <v>11.814285714285715</v>
      </c>
      <c r="E339" s="13">
        <f>Tuts!D337</f>
        <v>8.27</v>
      </c>
    </row>
    <row r="340" spans="2:5" ht="15.75" hidden="1" customHeight="1">
      <c r="B340" t="str">
        <f>Tuts!B338</f>
        <v>CANTONEIRA BRANCA 3/4 3 METROS</v>
      </c>
      <c r="C340" s="13">
        <f>Tuts!E338</f>
        <v>18</v>
      </c>
      <c r="D340" s="18">
        <f>Tuts!J338</f>
        <v>16.428571428571431</v>
      </c>
      <c r="E340" s="13">
        <f>Tuts!D338</f>
        <v>11.5</v>
      </c>
    </row>
    <row r="341" spans="2:5" ht="15.75" hidden="1" customHeight="1">
      <c r="B341" t="str">
        <f>Tuts!B339</f>
        <v>CANTONEIRA POLIDA 1/2 3 METROS</v>
      </c>
      <c r="C341" s="13">
        <f>Tuts!E339</f>
        <v>12.5</v>
      </c>
      <c r="D341" s="18">
        <f>Tuts!J339</f>
        <v>10.928571428571431</v>
      </c>
      <c r="E341" s="13">
        <f>Tuts!D339</f>
        <v>7.65</v>
      </c>
    </row>
    <row r="342" spans="2:5" ht="15.75" hidden="1" customHeight="1">
      <c r="B342" t="str">
        <f>Tuts!B340</f>
        <v>CANTONEIRA POLIDA 3/4 3 METROS</v>
      </c>
      <c r="C342" s="13">
        <f>Tuts!E340</f>
        <v>18</v>
      </c>
      <c r="D342" s="18">
        <f>Tuts!J340</f>
        <v>16.171428571428574</v>
      </c>
      <c r="E342" s="13">
        <f>Tuts!D340</f>
        <v>11.32</v>
      </c>
    </row>
    <row r="343" spans="2:5" ht="15.75" hidden="1" customHeight="1">
      <c r="B343" t="str">
        <f>Tuts!B341</f>
        <v>CANTONEIRA PRETA 3/4 3 METROS</v>
      </c>
      <c r="C343" s="13">
        <f>Tuts!E341</f>
        <v>18.5</v>
      </c>
      <c r="D343" s="18">
        <f>Tuts!J341</f>
        <v>16.857142857142858</v>
      </c>
      <c r="E343" s="13">
        <f>Tuts!D341</f>
        <v>11.8</v>
      </c>
    </row>
    <row r="344" spans="2:5" ht="15.75" hidden="1" customHeight="1">
      <c r="B344" t="str">
        <f>Tuts!B342</f>
        <v>CAPA LARGA/PAULISTINHA</v>
      </c>
      <c r="C344" s="13">
        <f>Tuts!E342</f>
        <v>3</v>
      </c>
      <c r="D344" s="18">
        <f>Tuts!J342</f>
        <v>2.6428571428571432</v>
      </c>
      <c r="E344" s="13">
        <f>Tuts!D342</f>
        <v>1.85</v>
      </c>
    </row>
    <row r="345" spans="2:5" ht="15.75" hidden="1" customHeight="1">
      <c r="B345" t="str">
        <f>Tuts!B343</f>
        <v>CAPACITOR 127V 3 FIOS</v>
      </c>
      <c r="C345" s="13">
        <f>Tuts!E343</f>
        <v>10</v>
      </c>
      <c r="D345" s="18">
        <f>Tuts!J343</f>
        <v>9.2857142857142865</v>
      </c>
      <c r="E345" s="13">
        <f>Tuts!D343</f>
        <v>6.5</v>
      </c>
    </row>
    <row r="346" spans="2:5" ht="15.75" hidden="1" customHeight="1">
      <c r="B346" t="str">
        <f>Tuts!B344</f>
        <v>CAPACITOR BIVOLT 2 FIOS</v>
      </c>
      <c r="C346" s="13">
        <f>Tuts!E344</f>
        <v>8</v>
      </c>
      <c r="D346" s="18">
        <f>Tuts!J344</f>
        <v>7.0000000000000009</v>
      </c>
      <c r="E346" s="13">
        <f>Tuts!D344</f>
        <v>4.9000000000000004</v>
      </c>
    </row>
    <row r="347" spans="2:5" ht="15.75" hidden="1" customHeight="1">
      <c r="B347" t="str">
        <f>Tuts!B345</f>
        <v>CARRIOLA FUZIL CHAPA 26</v>
      </c>
      <c r="C347" s="13">
        <f>Tuts!E345</f>
        <v>235</v>
      </c>
      <c r="D347" s="18">
        <f>Tuts!J345</f>
        <v>218.1</v>
      </c>
      <c r="E347" s="13">
        <f>Tuts!D345</f>
        <v>152.66999999999999</v>
      </c>
    </row>
    <row r="348" spans="2:5" ht="15.75" hidden="1" customHeight="1">
      <c r="B348" t="str">
        <f>Tuts!B346</f>
        <v>CARRIOLA QUADARADA REFORÇADA</v>
      </c>
      <c r="C348" s="13">
        <f>Tuts!E346</f>
        <v>385</v>
      </c>
      <c r="D348" s="18">
        <f>Tuts!J346</f>
        <v>353.22857142857146</v>
      </c>
      <c r="E348" s="13">
        <f>Tuts!D346</f>
        <v>247.26</v>
      </c>
    </row>
    <row r="349" spans="2:5" ht="15.75" hidden="1" customHeight="1">
      <c r="B349" t="str">
        <f>Tuts!B347</f>
        <v>CARVAO FURADEIRA</v>
      </c>
      <c r="C349" s="13">
        <f>Tuts!E347</f>
        <v>10</v>
      </c>
      <c r="D349" s="18">
        <f>Tuts!J347</f>
        <v>7.1428571428571432</v>
      </c>
      <c r="E349" s="13">
        <f>Tuts!D347</f>
        <v>5</v>
      </c>
    </row>
    <row r="350" spans="2:5" ht="15.75" hidden="1" customHeight="1">
      <c r="B350" t="str">
        <f>Tuts!B348</f>
        <v>CASTOR  ROLO NÃO RESPINGA ECONOMICO 23CM</v>
      </c>
      <c r="C350" s="13">
        <f>Tuts!E348</f>
        <v>12</v>
      </c>
      <c r="D350" s="18">
        <f>Tuts!J348</f>
        <v>8.7428571428571438</v>
      </c>
      <c r="E350" s="13">
        <f>Tuts!D348</f>
        <v>6.12</v>
      </c>
    </row>
    <row r="351" spans="2:5" ht="15.75" hidden="1" customHeight="1">
      <c r="B351" t="str">
        <f>Tuts!B349</f>
        <v>CASTOR BANDEJA 1000ML</v>
      </c>
      <c r="C351" s="13">
        <f>Tuts!E349</f>
        <v>13</v>
      </c>
      <c r="D351" s="18">
        <f>Tuts!J349</f>
        <v>8.6571428571428566</v>
      </c>
      <c r="E351" s="13">
        <f>Tuts!D349</f>
        <v>6.06</v>
      </c>
    </row>
    <row r="352" spans="2:5" ht="15.75" hidden="1" customHeight="1">
      <c r="B352" t="str">
        <f>Tuts!B350</f>
        <v>CASTOR MICROFIBRA PLUS 18X23</v>
      </c>
      <c r="C352" s="13">
        <f>Tuts!E350</f>
        <v>15</v>
      </c>
      <c r="D352" s="18">
        <f>Tuts!J350</f>
        <v>12.22857142857143</v>
      </c>
      <c r="E352" s="13">
        <f>Tuts!D350</f>
        <v>8.56</v>
      </c>
    </row>
    <row r="353" spans="2:5" ht="15.75" hidden="1" customHeight="1">
      <c r="B353" t="str">
        <f>Tuts!B351</f>
        <v>CASTOR ROLO ESPUMA POLIESTER 05CM</v>
      </c>
      <c r="C353" s="13">
        <f>Tuts!E351</f>
        <v>5.5</v>
      </c>
      <c r="D353" s="18">
        <f>Tuts!J351</f>
        <v>5.0142857142857142</v>
      </c>
      <c r="E353" s="13">
        <f>Tuts!D351</f>
        <v>3.51</v>
      </c>
    </row>
    <row r="354" spans="2:5" ht="15.75" hidden="1" customHeight="1">
      <c r="B354" t="str">
        <f>Tuts!B352</f>
        <v>CASTOR ROLO TEXTURA 23CM</v>
      </c>
      <c r="C354" s="13">
        <f>Tuts!E352</f>
        <v>18</v>
      </c>
      <c r="D354" s="18">
        <f>Tuts!J352</f>
        <v>15.514285714285714</v>
      </c>
      <c r="E354" s="13">
        <f>Tuts!D352</f>
        <v>10.86</v>
      </c>
    </row>
    <row r="355" spans="2:5" ht="15.75" hidden="1" customHeight="1">
      <c r="B355" t="str">
        <f>Tuts!B353</f>
        <v>CASTOR ROLO TOPA TUPO 6X15 NÃO RESPINGA</v>
      </c>
      <c r="C355" s="13">
        <f>Tuts!E353</f>
        <v>11.9</v>
      </c>
      <c r="D355" s="18">
        <f>Tuts!J353</f>
        <v>10.842857142857143</v>
      </c>
      <c r="E355" s="13">
        <f>Tuts!D353</f>
        <v>7.59</v>
      </c>
    </row>
    <row r="356" spans="2:5" ht="15.75" hidden="1" customHeight="1">
      <c r="B356" t="str">
        <f>Tuts!B354</f>
        <v>CASTOR ROLO TOPA TUPO 6X5 NÃO RESPINGA</v>
      </c>
      <c r="C356" s="13">
        <f>Tuts!E354</f>
        <v>7.8</v>
      </c>
      <c r="D356" s="18">
        <f>Tuts!J354</f>
        <v>7.1428571428571432</v>
      </c>
      <c r="E356" s="13">
        <f>Tuts!D354</f>
        <v>5</v>
      </c>
    </row>
    <row r="357" spans="2:5" ht="15.75" hidden="1" customHeight="1">
      <c r="B357" t="str">
        <f>Tuts!B355</f>
        <v>CASTOR ROLO TOPA TUPO 6X9 NÃO RESPINGA</v>
      </c>
      <c r="C357" s="13">
        <f>Tuts!E355</f>
        <v>10.5</v>
      </c>
      <c r="D357" s="18">
        <f>Tuts!J355</f>
        <v>9.4857142857142858</v>
      </c>
      <c r="E357" s="13">
        <f>Tuts!D355</f>
        <v>6.64</v>
      </c>
    </row>
    <row r="358" spans="2:5" ht="15.75" hidden="1" customHeight="1">
      <c r="B358" t="str">
        <f>Tuts!B356</f>
        <v>CATALISADOR ACELERADOR SECAGEM 100ML MOCOCA</v>
      </c>
      <c r="C358" s="13">
        <f>Tuts!E356</f>
        <v>13</v>
      </c>
      <c r="D358" s="18">
        <f>Tuts!J356</f>
        <v>11.62857142857143</v>
      </c>
      <c r="E358" s="13">
        <f>Tuts!D356</f>
        <v>8.14</v>
      </c>
    </row>
    <row r="359" spans="2:5" ht="15.75" hidden="1" customHeight="1">
      <c r="B359" t="str">
        <f>Tuts!B357</f>
        <v>CATALISADOR ACELERADOR SECAGEM 150ML MAX RUBBER</v>
      </c>
      <c r="C359" s="13">
        <f>Tuts!E357</f>
        <v>22.5</v>
      </c>
      <c r="D359" s="18">
        <f>Tuts!J357</f>
        <v>20.442857142857147</v>
      </c>
      <c r="E359" s="13">
        <f>Tuts!D357</f>
        <v>14.31</v>
      </c>
    </row>
    <row r="360" spans="2:5" ht="15.75" hidden="1" customHeight="1">
      <c r="B360" t="str">
        <f>Tuts!B358</f>
        <v xml:space="preserve">CATRACA CAÇULA P/ ARAME LISO </v>
      </c>
      <c r="C360" s="13">
        <f>Tuts!E358</f>
        <v>11.95</v>
      </c>
      <c r="D360" s="18">
        <f>Tuts!J358</f>
        <v>11.071428571428573</v>
      </c>
      <c r="E360" s="13">
        <f>Tuts!D358</f>
        <v>7.75</v>
      </c>
    </row>
    <row r="361" spans="2:5" ht="15.75" hidden="1" customHeight="1">
      <c r="B361" t="str">
        <f>Tuts!B359</f>
        <v>CATRACA PRENDEDOR DE CARGA 4,5M X 2,5CM</v>
      </c>
      <c r="C361" s="13">
        <f>Tuts!E359</f>
        <v>36.9</v>
      </c>
      <c r="D361" s="18">
        <f>Tuts!J359</f>
        <v>32.714285714285715</v>
      </c>
      <c r="E361" s="13">
        <f>Tuts!D359</f>
        <v>22.9</v>
      </c>
    </row>
    <row r="362" spans="2:5" ht="15.75" hidden="1" customHeight="1">
      <c r="B362" t="str">
        <f>Tuts!B360</f>
        <v>CAVADEIRA ARTICULADA REFORCADA PEGORARI</v>
      </c>
      <c r="C362" s="13">
        <f>Tuts!E360</f>
        <v>165</v>
      </c>
      <c r="D362" s="18">
        <f>Tuts!J360</f>
        <v>153.08571428571429</v>
      </c>
      <c r="E362" s="13">
        <f>Tuts!D360</f>
        <v>107.16</v>
      </c>
    </row>
    <row r="363" spans="2:5" ht="15.75" hidden="1" customHeight="1">
      <c r="B363" t="str">
        <f>Tuts!B361</f>
        <v>Cestinha Válvula Americana Metal Cromada 3.1/2</v>
      </c>
      <c r="C363" s="13">
        <f>Tuts!E361</f>
        <v>8</v>
      </c>
      <c r="D363" s="18">
        <f>Tuts!J361</f>
        <v>6.7000000000000011</v>
      </c>
      <c r="E363" s="13">
        <f>Tuts!D361</f>
        <v>4.6900000000000004</v>
      </c>
    </row>
    <row r="364" spans="2:5" ht="15.75" hidden="1" customHeight="1">
      <c r="B364" t="str">
        <f>Tuts!B362</f>
        <v>Cestinha Válvula Americana Plástico Cromada 3.1/2</v>
      </c>
      <c r="C364" s="13">
        <f>Tuts!E362</f>
        <v>5</v>
      </c>
      <c r="D364" s="18">
        <f>Tuts!J362</f>
        <v>3.1</v>
      </c>
      <c r="E364" s="13">
        <f>Tuts!D362</f>
        <v>2.17</v>
      </c>
    </row>
    <row r="365" spans="2:5" ht="15.75" hidden="1" customHeight="1">
      <c r="B365" t="str">
        <f>Tuts!B363</f>
        <v>CESTO C/ TAMPA 40L</v>
      </c>
      <c r="C365" s="13">
        <f>Tuts!E363</f>
        <v>73</v>
      </c>
      <c r="D365" s="18">
        <f>Tuts!J363</f>
        <v>64.385714285714286</v>
      </c>
      <c r="E365" s="13">
        <f>Tuts!D363</f>
        <v>45.07</v>
      </c>
    </row>
    <row r="366" spans="2:5" ht="15.75" hidden="1" customHeight="1">
      <c r="B366" t="str">
        <f>Tuts!B364</f>
        <v>CHAPEU 1031</v>
      </c>
      <c r="C366" s="13">
        <f>Tuts!E364</f>
        <v>27</v>
      </c>
      <c r="D366" s="18">
        <f>Tuts!J364</f>
        <v>24.142857142857142</v>
      </c>
      <c r="E366" s="13">
        <f>Tuts!D364</f>
        <v>16.899999999999999</v>
      </c>
    </row>
    <row r="367" spans="2:5" ht="15.75" hidden="1" customHeight="1">
      <c r="B367" t="str">
        <f>Tuts!B365</f>
        <v>CHAPEU 106</v>
      </c>
      <c r="C367" s="13">
        <f>Tuts!E365</f>
        <v>35</v>
      </c>
      <c r="D367" s="18">
        <f>Tuts!J365</f>
        <v>34.142857142857146</v>
      </c>
      <c r="E367" s="13">
        <f>Tuts!D365</f>
        <v>23.9</v>
      </c>
    </row>
    <row r="368" spans="2:5" ht="15.75" hidden="1" customHeight="1">
      <c r="B368" t="str">
        <f>Tuts!B366</f>
        <v>CHAPEU 108</v>
      </c>
      <c r="C368" s="13">
        <f>Tuts!E366</f>
        <v>30.5</v>
      </c>
      <c r="D368" s="18">
        <f>Tuts!J366</f>
        <v>31.285714285714285</v>
      </c>
      <c r="E368" s="13">
        <f>Tuts!D366</f>
        <v>21.9</v>
      </c>
    </row>
    <row r="369" spans="2:5" ht="15.75" hidden="1" customHeight="1">
      <c r="B369" t="str">
        <f>Tuts!B367</f>
        <v>CHAPEU 216</v>
      </c>
      <c r="C369" s="13">
        <f>Tuts!E367</f>
        <v>32</v>
      </c>
      <c r="D369" s="18">
        <f>Tuts!J367</f>
        <v>28.428571428571427</v>
      </c>
      <c r="E369" s="13">
        <f>Tuts!D367</f>
        <v>19.899999999999999</v>
      </c>
    </row>
    <row r="370" spans="2:5" ht="15.75" hidden="1" customHeight="1">
      <c r="B370" t="str">
        <f>Tuts!B368</f>
        <v>CHAPEU 306</v>
      </c>
      <c r="C370" s="13">
        <f>Tuts!E368</f>
        <v>28</v>
      </c>
      <c r="D370" s="18">
        <f>Tuts!J368</f>
        <v>25.571428571428569</v>
      </c>
      <c r="E370" s="13">
        <f>Tuts!D368</f>
        <v>17.899999999999999</v>
      </c>
    </row>
    <row r="371" spans="2:5" ht="15.75" hidden="1" customHeight="1">
      <c r="B371" t="str">
        <f>Tuts!B369</f>
        <v>CHAPEU 307</v>
      </c>
      <c r="C371" s="13">
        <f>Tuts!E369</f>
        <v>26.5</v>
      </c>
      <c r="D371" s="18">
        <f>Tuts!J369</f>
        <v>25.571428571428569</v>
      </c>
      <c r="E371" s="13">
        <f>Tuts!D369</f>
        <v>17.899999999999999</v>
      </c>
    </row>
    <row r="372" spans="2:5" ht="15.75" hidden="1" customHeight="1">
      <c r="B372" t="str">
        <f>Tuts!B370</f>
        <v>CHAPEU 324</v>
      </c>
      <c r="C372" s="13">
        <f>Tuts!E370</f>
        <v>27.8</v>
      </c>
      <c r="D372" s="18">
        <f>Tuts!J370</f>
        <v>27</v>
      </c>
      <c r="E372" s="13">
        <f>Tuts!D370</f>
        <v>18.899999999999999</v>
      </c>
    </row>
    <row r="373" spans="2:5" ht="15.75" hidden="1" customHeight="1">
      <c r="B373" t="str">
        <f>Tuts!B371</f>
        <v>CHAPEU 510</v>
      </c>
      <c r="C373" s="13">
        <f>Tuts!E371</f>
        <v>30</v>
      </c>
      <c r="D373" s="18">
        <f>Tuts!J371</f>
        <v>27</v>
      </c>
      <c r="E373" s="13">
        <f>Tuts!D371</f>
        <v>18.899999999999999</v>
      </c>
    </row>
    <row r="374" spans="2:5" ht="15.75" hidden="1" customHeight="1">
      <c r="B374" t="str">
        <f>Tuts!B372</f>
        <v>CHAPEU 704 / 703</v>
      </c>
      <c r="C374" s="13">
        <f>Tuts!E372</f>
        <v>51</v>
      </c>
      <c r="D374" s="18">
        <f>Tuts!J372</f>
        <v>47</v>
      </c>
      <c r="E374" s="13">
        <f>Tuts!D372</f>
        <v>32.9</v>
      </c>
    </row>
    <row r="375" spans="2:5" ht="15.75" hidden="1" customHeight="1">
      <c r="B375" t="str">
        <f>Tuts!B373</f>
        <v>CHAVE BITS CANHAO 5/16</v>
      </c>
      <c r="C375" s="13">
        <f>Tuts!E373</f>
        <v>10</v>
      </c>
      <c r="D375" s="18">
        <f>Tuts!J373</f>
        <v>9.1428571428571441</v>
      </c>
      <c r="E375" s="13">
        <f>Tuts!D373</f>
        <v>6.4</v>
      </c>
    </row>
    <row r="376" spans="2:5" ht="15.75" hidden="1" customHeight="1">
      <c r="B376" t="str">
        <f>Tuts!B374</f>
        <v>CHAVE BITS CANHAO 7/16</v>
      </c>
      <c r="C376" s="13">
        <f>Tuts!E374</f>
        <v>12.5</v>
      </c>
      <c r="D376" s="18">
        <f>Tuts!J374</f>
        <v>11.142857142857144</v>
      </c>
      <c r="E376" s="13">
        <f>Tuts!D374</f>
        <v>7.8</v>
      </c>
    </row>
    <row r="377" spans="2:5" ht="15.75" hidden="1" customHeight="1">
      <c r="B377" t="str">
        <f>Tuts!B375</f>
        <v>CHAVE BOIA MARGIRIUS</v>
      </c>
      <c r="C377" s="13">
        <f>Tuts!E375</f>
        <v>45</v>
      </c>
      <c r="D377" s="18">
        <f>Tuts!J375</f>
        <v>40.714285714285715</v>
      </c>
      <c r="E377" s="13">
        <f>Tuts!D375</f>
        <v>28.5</v>
      </c>
    </row>
    <row r="378" spans="2:5" ht="15.75" hidden="1" customHeight="1">
      <c r="B378" t="str">
        <f>Tuts!B376</f>
        <v>CHAVE CANHAO FOXLUX 6MM</v>
      </c>
      <c r="C378" s="13">
        <f>Tuts!E376</f>
        <v>29</v>
      </c>
      <c r="D378" s="18">
        <f>Tuts!J376</f>
        <v>26.242857142857147</v>
      </c>
      <c r="E378" s="13">
        <f>Tuts!D376</f>
        <v>18.37</v>
      </c>
    </row>
    <row r="379" spans="2:5" ht="15.75" hidden="1" customHeight="1">
      <c r="B379" t="str">
        <f>Tuts!B377</f>
        <v>CHAVE CANHAO PROFIELD 10MM</v>
      </c>
      <c r="C379" s="13">
        <f>Tuts!E377</f>
        <v>21</v>
      </c>
      <c r="D379" s="18">
        <f>Tuts!J377</f>
        <v>18.714285714285715</v>
      </c>
      <c r="E379" s="13">
        <f>Tuts!D377</f>
        <v>13.1</v>
      </c>
    </row>
    <row r="380" spans="2:5" ht="15.75" hidden="1" customHeight="1">
      <c r="B380" t="str">
        <f>Tuts!B378</f>
        <v>CHAVE CANHAO PROFIELD 11MM</v>
      </c>
      <c r="C380" s="13">
        <f>Tuts!E378</f>
        <v>21</v>
      </c>
      <c r="D380" s="18">
        <f>Tuts!J378</f>
        <v>19.000000000000004</v>
      </c>
      <c r="E380" s="13">
        <f>Tuts!D378</f>
        <v>13.3</v>
      </c>
    </row>
    <row r="381" spans="2:5" ht="15.75" hidden="1" customHeight="1">
      <c r="B381" t="str">
        <f>Tuts!B379</f>
        <v>CHAVE CANHAO PROFIELD 13MM</v>
      </c>
      <c r="C381" s="13">
        <f>Tuts!E379</f>
        <v>22</v>
      </c>
      <c r="D381" s="18">
        <f>Tuts!J379</f>
        <v>20.285714285714285</v>
      </c>
      <c r="E381" s="13">
        <f>Tuts!D379</f>
        <v>14.2</v>
      </c>
    </row>
    <row r="382" spans="2:5" ht="15.75" hidden="1" customHeight="1">
      <c r="B382" t="str">
        <f>Tuts!B380</f>
        <v>CHAVE CANHAO PROFIELD 6MM</v>
      </c>
      <c r="C382" s="13">
        <f>Tuts!E380</f>
        <v>20</v>
      </c>
      <c r="D382" s="18">
        <f>Tuts!J380</f>
        <v>18.142857142857142</v>
      </c>
      <c r="E382" s="13">
        <f>Tuts!D380</f>
        <v>12.7</v>
      </c>
    </row>
    <row r="383" spans="2:5" ht="15.75" hidden="1" customHeight="1">
      <c r="B383" t="str">
        <f>Tuts!B381</f>
        <v>CHAVE CANHAO PROFIELD 7MM</v>
      </c>
      <c r="C383" s="13">
        <f>Tuts!E381</f>
        <v>20</v>
      </c>
      <c r="D383" s="18">
        <f>Tuts!J381</f>
        <v>18.285714285714288</v>
      </c>
      <c r="E383" s="13">
        <f>Tuts!D381</f>
        <v>12.8</v>
      </c>
    </row>
    <row r="384" spans="2:5" ht="15.75" hidden="1" customHeight="1">
      <c r="B384" t="str">
        <f>Tuts!B382</f>
        <v>CHAVE CANHAO PROFIELD 8MM</v>
      </c>
      <c r="C384" s="13">
        <f>Tuts!E382</f>
        <v>20</v>
      </c>
      <c r="D384" s="18">
        <f>Tuts!J382</f>
        <v>18.428571428571431</v>
      </c>
      <c r="E384" s="13">
        <f>Tuts!D382</f>
        <v>12.9</v>
      </c>
    </row>
    <row r="385" spans="2:5" ht="15.75" hidden="1" customHeight="1">
      <c r="B385" t="str">
        <f>Tuts!B383</f>
        <v>CHAVE CATRACA 11</v>
      </c>
      <c r="C385" s="13">
        <f>Tuts!E383</f>
        <v>42</v>
      </c>
      <c r="D385" s="18">
        <f>Tuts!J383</f>
        <v>38.6</v>
      </c>
      <c r="E385" s="13">
        <f>Tuts!D383</f>
        <v>27.02</v>
      </c>
    </row>
    <row r="386" spans="2:5" ht="15.75" hidden="1" customHeight="1">
      <c r="B386" t="str">
        <f>Tuts!B384</f>
        <v>CHAVE COMBINADA 10MM</v>
      </c>
      <c r="C386" s="13">
        <f>Tuts!E384</f>
        <v>10.5</v>
      </c>
      <c r="D386" s="18">
        <f>Tuts!J384</f>
        <v>9.7142857142857153</v>
      </c>
      <c r="E386" s="13">
        <f>Tuts!D384</f>
        <v>6.8</v>
      </c>
    </row>
    <row r="387" spans="2:5" ht="15.75" hidden="1" customHeight="1">
      <c r="B387" t="str">
        <f>Tuts!B385</f>
        <v>CHAVE COMBINADA 11MM</v>
      </c>
      <c r="C387" s="13">
        <f>Tuts!E385</f>
        <v>8.9</v>
      </c>
      <c r="D387" s="18">
        <f>Tuts!J385</f>
        <v>8.2142857142857153</v>
      </c>
      <c r="E387" s="13">
        <f>Tuts!D385</f>
        <v>5.75</v>
      </c>
    </row>
    <row r="388" spans="2:5" ht="15.75" hidden="1" customHeight="1">
      <c r="B388" t="str">
        <f>Tuts!B386</f>
        <v>CHAVE COMBINADA 12MM</v>
      </c>
      <c r="C388" s="13">
        <f>Tuts!E386</f>
        <v>10.9</v>
      </c>
      <c r="D388" s="18">
        <f>Tuts!J386</f>
        <v>9.4428571428571431</v>
      </c>
      <c r="E388" s="13">
        <f>Tuts!D386</f>
        <v>6.61</v>
      </c>
    </row>
    <row r="389" spans="2:5" ht="15.75" hidden="1" customHeight="1">
      <c r="B389" t="str">
        <f>Tuts!B387</f>
        <v>CHAVE COMBINADA 13MM</v>
      </c>
      <c r="C389" s="13">
        <f>Tuts!E387</f>
        <v>10.9</v>
      </c>
      <c r="D389" s="18">
        <f>Tuts!J387</f>
        <v>10.071428571428571</v>
      </c>
      <c r="E389" s="13">
        <f>Tuts!D387</f>
        <v>7.05</v>
      </c>
    </row>
    <row r="390" spans="2:5" ht="15.75" hidden="1" customHeight="1">
      <c r="B390" t="str">
        <f>Tuts!B388</f>
        <v>CHAVE COMBINADA 15MM</v>
      </c>
      <c r="C390" s="13">
        <f>Tuts!E388</f>
        <v>13.5</v>
      </c>
      <c r="D390" s="18">
        <f>Tuts!J388</f>
        <v>12.285714285714286</v>
      </c>
      <c r="E390" s="13">
        <f>Tuts!D388</f>
        <v>8.6</v>
      </c>
    </row>
    <row r="391" spans="2:5" ht="15.75" hidden="1" customHeight="1">
      <c r="B391" t="str">
        <f>Tuts!B389</f>
        <v>CHAVE COMBINADA 17MM</v>
      </c>
      <c r="C391" s="13">
        <f>Tuts!E389</f>
        <v>16.5</v>
      </c>
      <c r="D391" s="18">
        <f>Tuts!J389</f>
        <v>15.100000000000001</v>
      </c>
      <c r="E391" s="13">
        <f>Tuts!D389</f>
        <v>10.57</v>
      </c>
    </row>
    <row r="392" spans="2:5" ht="15.75" hidden="1" customHeight="1">
      <c r="B392" t="str">
        <f>Tuts!B390</f>
        <v>CHAVE COMBINADA 19MM</v>
      </c>
      <c r="C392" s="13">
        <f>Tuts!E390</f>
        <v>18.2</v>
      </c>
      <c r="D392" s="18">
        <f>Tuts!J390</f>
        <v>16.785714285714288</v>
      </c>
      <c r="E392" s="13">
        <f>Tuts!D390</f>
        <v>11.75</v>
      </c>
    </row>
    <row r="393" spans="2:5" ht="15.75" hidden="1" customHeight="1">
      <c r="B393" t="str">
        <f>Tuts!B391</f>
        <v>CHAVE COMBINADA 21MM</v>
      </c>
      <c r="C393" s="13">
        <f>Tuts!E391</f>
        <v>28</v>
      </c>
      <c r="D393" s="18">
        <f>Tuts!J391</f>
        <v>25.171428571428574</v>
      </c>
      <c r="E393" s="13">
        <f>Tuts!D391</f>
        <v>17.62</v>
      </c>
    </row>
    <row r="394" spans="2:5" ht="15.75" hidden="1" customHeight="1">
      <c r="B394" t="str">
        <f>Tuts!B392</f>
        <v>CHAVE COMBINADA 24MM</v>
      </c>
      <c r="C394" s="13">
        <f>Tuts!E392</f>
        <v>34.5</v>
      </c>
      <c r="D394" s="18">
        <f>Tuts!J392</f>
        <v>31.88571428571429</v>
      </c>
      <c r="E394" s="13">
        <f>Tuts!D392</f>
        <v>22.32</v>
      </c>
    </row>
    <row r="395" spans="2:5" ht="15.75" hidden="1" customHeight="1">
      <c r="B395" t="str">
        <f>Tuts!B393</f>
        <v>CHAVE COMBINADA 8MM</v>
      </c>
      <c r="C395" s="13">
        <f>Tuts!E393</f>
        <v>7.9</v>
      </c>
      <c r="D395" s="18">
        <f>Tuts!J393</f>
        <v>7.5428571428571436</v>
      </c>
      <c r="E395" s="13">
        <f>Tuts!D393</f>
        <v>5.28</v>
      </c>
    </row>
    <row r="396" spans="2:5" ht="15.75" hidden="1" customHeight="1">
      <c r="B396" t="str">
        <f>Tuts!B394</f>
        <v>CHAVE DE CANO WURTH 10</v>
      </c>
      <c r="C396" s="13">
        <f>Tuts!E394</f>
        <v>96</v>
      </c>
      <c r="D396" s="18">
        <f>Tuts!J394</f>
        <v>96.95714285714287</v>
      </c>
      <c r="E396" s="13">
        <f>Tuts!D394</f>
        <v>67.87</v>
      </c>
    </row>
    <row r="397" spans="2:5" ht="15.75" hidden="1" customHeight="1">
      <c r="B397" t="str">
        <f>Tuts!B395</f>
        <v>CHAVE DE CANO WURTH 12</v>
      </c>
      <c r="C397" s="13">
        <f>Tuts!E395</f>
        <v>105</v>
      </c>
      <c r="D397" s="18">
        <f>Tuts!J395</f>
        <v>126.3</v>
      </c>
      <c r="E397" s="13">
        <f>Tuts!D395</f>
        <v>88.41</v>
      </c>
    </row>
    <row r="398" spans="2:5" ht="15.75" hidden="1" customHeight="1">
      <c r="B398" t="str">
        <f>Tuts!B396</f>
        <v>CHAVE INGLESA N08</v>
      </c>
      <c r="C398" s="13">
        <f>Tuts!E396</f>
        <v>39.9</v>
      </c>
      <c r="D398" s="18">
        <f>Tuts!J396</f>
        <v>35.6</v>
      </c>
      <c r="E398" s="13">
        <f>Tuts!D396</f>
        <v>24.92</v>
      </c>
    </row>
    <row r="399" spans="2:5" ht="15.75" hidden="1" customHeight="1">
      <c r="B399" t="str">
        <f>Tuts!B397</f>
        <v>CHAVE INGLESA N10</v>
      </c>
      <c r="C399" s="13">
        <f>Tuts!E397</f>
        <v>63.9</v>
      </c>
      <c r="D399" s="18">
        <f>Tuts!J397</f>
        <v>58.828571428571429</v>
      </c>
      <c r="E399" s="13">
        <f>Tuts!D397</f>
        <v>41.18</v>
      </c>
    </row>
    <row r="400" spans="2:5" ht="15.75" hidden="1" customHeight="1">
      <c r="B400" t="str">
        <f>Tuts!B398</f>
        <v>CHAVE INGLESA N12</v>
      </c>
      <c r="C400" s="13">
        <f>Tuts!E398</f>
        <v>82</v>
      </c>
      <c r="D400" s="18">
        <f>Tuts!J398</f>
        <v>75</v>
      </c>
      <c r="E400" s="13">
        <f>Tuts!D398</f>
        <v>52.5</v>
      </c>
    </row>
    <row r="401" spans="2:5" ht="15.75" hidden="1" customHeight="1">
      <c r="B401" t="str">
        <f>Tuts!B399</f>
        <v>CHAVE INGLESA N14</v>
      </c>
      <c r="C401" s="13">
        <f>Tuts!E399</f>
        <v>149.9</v>
      </c>
      <c r="D401" s="18">
        <f>Tuts!J399</f>
        <v>137.85714285714286</v>
      </c>
      <c r="E401" s="13">
        <f>Tuts!D399</f>
        <v>96.5</v>
      </c>
    </row>
    <row r="402" spans="2:5" ht="15.75" hidden="1" customHeight="1">
      <c r="B402" t="str">
        <f>Tuts!B400</f>
        <v>CHAVE L LONGA 10</v>
      </c>
      <c r="C402" s="13">
        <f>Tuts!E400</f>
        <v>25</v>
      </c>
      <c r="D402" s="18">
        <f>Tuts!J400</f>
        <v>23.142857142857142</v>
      </c>
      <c r="E402" s="13">
        <f>Tuts!D400</f>
        <v>16.2</v>
      </c>
    </row>
    <row r="403" spans="2:5" ht="15.75" hidden="1" customHeight="1">
      <c r="B403" t="str">
        <f>Tuts!B401</f>
        <v>CHAVE L LONGA 11</v>
      </c>
      <c r="C403" s="13">
        <f>Tuts!E401</f>
        <v>26.5</v>
      </c>
      <c r="D403" s="18">
        <f>Tuts!J401</f>
        <v>24.571428571428573</v>
      </c>
      <c r="E403" s="13">
        <f>Tuts!D401</f>
        <v>17.2</v>
      </c>
    </row>
    <row r="404" spans="2:5" ht="15.75" hidden="1" customHeight="1">
      <c r="B404" t="str">
        <f>Tuts!B402</f>
        <v>CHAVE L LONGA 12</v>
      </c>
      <c r="C404" s="13">
        <f>Tuts!E402</f>
        <v>30</v>
      </c>
      <c r="D404" s="18">
        <f>Tuts!J402</f>
        <v>27</v>
      </c>
      <c r="E404" s="13">
        <f>Tuts!D402</f>
        <v>18.899999999999999</v>
      </c>
    </row>
    <row r="405" spans="2:5" ht="15.75" hidden="1" customHeight="1">
      <c r="B405" t="str">
        <f>Tuts!B403</f>
        <v>CHAVE L LONGA 13</v>
      </c>
      <c r="C405" s="13">
        <f>Tuts!E403</f>
        <v>34</v>
      </c>
      <c r="D405" s="18">
        <f>Tuts!J403</f>
        <v>30.75714285714286</v>
      </c>
      <c r="E405" s="13">
        <f>Tuts!D403</f>
        <v>21.53</v>
      </c>
    </row>
    <row r="406" spans="2:5" ht="15.75" hidden="1" customHeight="1">
      <c r="B406" t="str">
        <f>Tuts!B404</f>
        <v>CHAVE L LONGA 14</v>
      </c>
      <c r="C406" s="13">
        <f>Tuts!E404</f>
        <v>35</v>
      </c>
      <c r="D406" s="18">
        <f>Tuts!J404</f>
        <v>32.385714285714293</v>
      </c>
      <c r="E406" s="13">
        <f>Tuts!D404</f>
        <v>22.67</v>
      </c>
    </row>
    <row r="407" spans="2:5" ht="15.75" hidden="1" customHeight="1">
      <c r="B407" t="str">
        <f>Tuts!B405</f>
        <v>CHAVE L LONGA 15</v>
      </c>
      <c r="C407" s="13">
        <f>Tuts!E405</f>
        <v>38</v>
      </c>
      <c r="D407" s="18">
        <f>Tuts!J405</f>
        <v>35</v>
      </c>
      <c r="E407" s="13">
        <f>Tuts!D405</f>
        <v>24.5</v>
      </c>
    </row>
    <row r="408" spans="2:5" ht="15.75" hidden="1" customHeight="1">
      <c r="B408" t="str">
        <f>Tuts!B406</f>
        <v>CHAVE L LONGA 8</v>
      </c>
      <c r="C408" s="13">
        <f>Tuts!E406</f>
        <v>25</v>
      </c>
      <c r="D408" s="18">
        <f>Tuts!J406</f>
        <v>22.571428571428573</v>
      </c>
      <c r="E408" s="13">
        <f>Tuts!D406</f>
        <v>15.8</v>
      </c>
    </row>
    <row r="409" spans="2:5" ht="15.75" hidden="1" customHeight="1">
      <c r="B409" t="str">
        <f>Tuts!B407</f>
        <v>CHAVE LIGA/DESLIGA 2POLOS 15A</v>
      </c>
      <c r="C409" s="13">
        <f>Tuts!E407</f>
        <v>14</v>
      </c>
      <c r="D409" s="18">
        <f>Tuts!J407</f>
        <v>11.200000000000001</v>
      </c>
      <c r="E409" s="13">
        <f>Tuts!D407</f>
        <v>7.84</v>
      </c>
    </row>
    <row r="410" spans="2:5" ht="15.75" hidden="1" customHeight="1">
      <c r="B410" t="str">
        <f>Tuts!B408</f>
        <v>CHAVE LIGA/DESLIGA/LIGA 3POLOS 15A</v>
      </c>
      <c r="C410" s="13">
        <f>Tuts!E408</f>
        <v>14</v>
      </c>
      <c r="D410" s="18">
        <f>Tuts!J408</f>
        <v>11.200000000000001</v>
      </c>
      <c r="E410" s="13">
        <f>Tuts!D408</f>
        <v>7.84</v>
      </c>
    </row>
    <row r="411" spans="2:5" ht="15.75" hidden="1" customHeight="1">
      <c r="B411" t="str">
        <f>Tuts!B409</f>
        <v>CHAVE ON OFF 29 15A</v>
      </c>
      <c r="C411" s="13">
        <f>Tuts!E409</f>
        <v>32</v>
      </c>
      <c r="D411" s="18">
        <f>Tuts!J409</f>
        <v>21.414285714285715</v>
      </c>
      <c r="E411" s="13">
        <f>Tuts!D409</f>
        <v>14.99</v>
      </c>
    </row>
    <row r="412" spans="2:5" ht="15.75" hidden="1" customHeight="1">
      <c r="B412" t="str">
        <f>Tuts!B410</f>
        <v>CHAVE PARA MANDRIL 13MM</v>
      </c>
      <c r="C412" s="13">
        <f>Tuts!E410</f>
        <v>10</v>
      </c>
      <c r="D412" s="18">
        <f>Tuts!J410</f>
        <v>7.9571428571428582</v>
      </c>
      <c r="E412" s="13">
        <f>Tuts!D410</f>
        <v>5.57</v>
      </c>
    </row>
    <row r="413" spans="2:5" ht="15.75" hidden="1" customHeight="1">
      <c r="B413" t="str">
        <f>Tuts!B411</f>
        <v>CHAVE PHILIPIS 1/4X1/2</v>
      </c>
      <c r="C413" s="13">
        <f>Tuts!E411</f>
        <v>11.6</v>
      </c>
      <c r="D413" s="18">
        <f>Tuts!J411</f>
        <v>10.714285714285715</v>
      </c>
      <c r="E413" s="13">
        <f>Tuts!D411</f>
        <v>7.5</v>
      </c>
    </row>
    <row r="414" spans="2:5" ht="15.75" hidden="1" customHeight="1">
      <c r="B414" t="str">
        <f>Tuts!B412</f>
        <v>CHAVE PHILIPIS 1/4X4</v>
      </c>
      <c r="C414" s="13">
        <f>Tuts!E412</f>
        <v>17</v>
      </c>
      <c r="D414" s="18">
        <f>Tuts!J412</f>
        <v>15.685714285714287</v>
      </c>
      <c r="E414" s="13">
        <f>Tuts!D412</f>
        <v>10.98</v>
      </c>
    </row>
    <row r="415" spans="2:5" ht="15.75" hidden="1" customHeight="1">
      <c r="B415" t="str">
        <f>Tuts!B413</f>
        <v>CHAVE PHILIPIS 1/8X3</v>
      </c>
      <c r="C415" s="13">
        <f>Tuts!E413</f>
        <v>10</v>
      </c>
      <c r="D415" s="18">
        <f>Tuts!J413</f>
        <v>8.9571428571428573</v>
      </c>
      <c r="E415" s="13">
        <f>Tuts!D413</f>
        <v>6.27</v>
      </c>
    </row>
    <row r="416" spans="2:5" ht="15.75" hidden="1" customHeight="1">
      <c r="B416" t="str">
        <f>Tuts!B414</f>
        <v>CHAVE PHILIPIS 2X150</v>
      </c>
      <c r="C416" s="13">
        <f>Tuts!E414</f>
        <v>14</v>
      </c>
      <c r="D416" s="18">
        <f>Tuts!J414</f>
        <v>11.857142857142859</v>
      </c>
      <c r="E416" s="13">
        <f>Tuts!D414</f>
        <v>8.3000000000000007</v>
      </c>
    </row>
    <row r="417" spans="2:5" ht="15.75" hidden="1" customHeight="1">
      <c r="B417" t="str">
        <f>Tuts!B415</f>
        <v>CHAVE PHILIPIS 3/16X4</v>
      </c>
      <c r="C417" s="13">
        <f>Tuts!E415</f>
        <v>11.9</v>
      </c>
      <c r="D417" s="18">
        <f>Tuts!J415</f>
        <v>9.8571428571428577</v>
      </c>
      <c r="E417" s="13">
        <f>Tuts!D415</f>
        <v>6.9</v>
      </c>
    </row>
    <row r="418" spans="2:5" ht="15.75" hidden="1" customHeight="1">
      <c r="B418" t="str">
        <f>Tuts!B416</f>
        <v>CHAVE PHILIPIS 3/16X5</v>
      </c>
      <c r="C418" s="13">
        <f>Tuts!E416</f>
        <v>11</v>
      </c>
      <c r="D418" s="18">
        <f>Tuts!J416</f>
        <v>9.9285714285714288</v>
      </c>
      <c r="E418" s="13">
        <f>Tuts!D416</f>
        <v>6.95</v>
      </c>
    </row>
    <row r="419" spans="2:5" ht="15.75" hidden="1" customHeight="1">
      <c r="B419" t="str">
        <f>Tuts!B417</f>
        <v>CHAVE TESTE DIGITAL</v>
      </c>
      <c r="C419" s="13">
        <f>Tuts!E417</f>
        <v>12</v>
      </c>
      <c r="D419" s="18">
        <f>Tuts!J417</f>
        <v>9.7142857142857153</v>
      </c>
      <c r="E419" s="13">
        <f>Tuts!D417</f>
        <v>6.8</v>
      </c>
    </row>
    <row r="420" spans="2:5" ht="15.75" hidden="1" customHeight="1">
      <c r="B420" t="str">
        <f>Tuts!B418</f>
        <v>CHAVETA AMARELA  R01</v>
      </c>
      <c r="C420" s="13">
        <f>Tuts!E418</f>
        <v>15</v>
      </c>
      <c r="D420" s="18">
        <f>Tuts!J418</f>
        <v>14.000000000000002</v>
      </c>
      <c r="E420" s="13">
        <f>Tuts!D418</f>
        <v>9.8000000000000007</v>
      </c>
    </row>
    <row r="421" spans="2:5" ht="15.75" hidden="1" customHeight="1">
      <c r="B421" t="str">
        <f>Tuts!B419</f>
        <v>CHEMICOLOR ALUMINIO 400ML</v>
      </c>
      <c r="C421" s="13">
        <f>Tuts!E419</f>
        <v>23</v>
      </c>
      <c r="D421" s="18">
        <f>Tuts!J419</f>
        <v>19.985714285714288</v>
      </c>
      <c r="E421" s="13">
        <f>Tuts!D419</f>
        <v>13.99</v>
      </c>
    </row>
    <row r="422" spans="2:5" ht="15.75" hidden="1" customHeight="1">
      <c r="B422" t="str">
        <f>Tuts!B420</f>
        <v>CHEMICOLOR CORES ALTA TEMPERATURA</v>
      </c>
      <c r="C422" s="13">
        <f>Tuts!E420</f>
        <v>57</v>
      </c>
      <c r="D422" s="18">
        <f>Tuts!J420</f>
        <v>24.271428571428572</v>
      </c>
      <c r="E422" s="13">
        <f>Tuts!D420</f>
        <v>16.989999999999998</v>
      </c>
    </row>
    <row r="423" spans="2:5" ht="15.75" hidden="1" customHeight="1">
      <c r="B423" t="str">
        <f>Tuts!B421</f>
        <v>CHEMICOLOR CORES SPRAY</v>
      </c>
      <c r="C423" s="13">
        <f>Tuts!E421</f>
        <v>20</v>
      </c>
      <c r="D423" s="18">
        <f>Tuts!J421</f>
        <v>19.285714285714288</v>
      </c>
      <c r="E423" s="13">
        <f>Tuts!D421</f>
        <v>13.5</v>
      </c>
    </row>
    <row r="424" spans="2:5" ht="15.75" hidden="1" customHeight="1">
      <c r="B424" t="str">
        <f>Tuts!B422</f>
        <v>CHEMICOLOR METALIZADO SPRAY</v>
      </c>
      <c r="C424" s="13">
        <f>Tuts!E422</f>
        <v>27</v>
      </c>
      <c r="D424" s="18">
        <f>Tuts!J422</f>
        <v>24.271428571428572</v>
      </c>
      <c r="E424" s="13">
        <f>Tuts!D422</f>
        <v>16.989999999999998</v>
      </c>
    </row>
    <row r="425" spans="2:5" ht="15.75" hidden="1" customHeight="1">
      <c r="B425" t="str">
        <f>Tuts!B423</f>
        <v>CHEMICOLOR REMOVEDOR DE TINTA</v>
      </c>
      <c r="C425" s="13">
        <f>Tuts!E423</f>
        <v>34</v>
      </c>
      <c r="D425" s="18">
        <f>Tuts!J423</f>
        <v>31.357142857142858</v>
      </c>
      <c r="E425" s="13">
        <f>Tuts!D423</f>
        <v>21.95</v>
      </c>
    </row>
    <row r="426" spans="2:5" ht="15.75" hidden="1" customHeight="1">
      <c r="B426" t="str">
        <f>Tuts!B424</f>
        <v>CHEMICOLOR VERNIZ SPRAY</v>
      </c>
      <c r="C426" s="13">
        <f>Tuts!E424</f>
        <v>23</v>
      </c>
      <c r="D426" s="18">
        <f>Tuts!J424</f>
        <v>20.714285714285715</v>
      </c>
      <c r="E426" s="13">
        <f>Tuts!D424</f>
        <v>14.5</v>
      </c>
    </row>
    <row r="427" spans="2:5" ht="15.75" hidden="1" customHeight="1">
      <c r="B427" t="str">
        <f>Tuts!B425</f>
        <v>CHEMICOLOR VERNIZ SPRAY MADEIRA</v>
      </c>
      <c r="C427" s="13">
        <f>Tuts!E425</f>
        <v>31</v>
      </c>
      <c r="D427" s="18">
        <f>Tuts!J425</f>
        <v>28.571428571428573</v>
      </c>
      <c r="E427" s="13">
        <f>Tuts!D425</f>
        <v>20</v>
      </c>
    </row>
    <row r="428" spans="2:5" ht="15.75" hidden="1" customHeight="1">
      <c r="B428" t="str">
        <f>Tuts!B426</f>
        <v>CHURRASQUEIRA AREIA 135020</v>
      </c>
      <c r="C428" s="13">
        <f>Tuts!E426</f>
        <v>895</v>
      </c>
      <c r="D428" s="18">
        <f>Tuts!J426</f>
        <v>826.75714285714298</v>
      </c>
      <c r="E428" s="13">
        <f>Tuts!D426</f>
        <v>578.73</v>
      </c>
    </row>
    <row r="429" spans="2:5" ht="15.75" hidden="1" customHeight="1">
      <c r="B429" t="str">
        <f>Tuts!B427</f>
        <v>CHURRASQUEIRA BOTIJAO</v>
      </c>
      <c r="C429" s="13">
        <f>Tuts!E427</f>
        <v>170</v>
      </c>
      <c r="D429" s="18">
        <f>Tuts!J427</f>
        <v>157.14285714285714</v>
      </c>
      <c r="E429" s="13">
        <f>Tuts!D427</f>
        <v>110</v>
      </c>
    </row>
    <row r="430" spans="2:5" ht="15.75" hidden="1" customHeight="1">
      <c r="B430" t="str">
        <f>Tuts!B428</f>
        <v>CHURRASQUEIRA CERAMICA 132009</v>
      </c>
      <c r="C430" s="13">
        <f>Tuts!E428</f>
        <v>850</v>
      </c>
      <c r="D430" s="18">
        <f>Tuts!J428</f>
        <v>786.37142857142862</v>
      </c>
      <c r="E430" s="13">
        <f>Tuts!D428</f>
        <v>550.46</v>
      </c>
    </row>
    <row r="431" spans="2:5" ht="15.75" hidden="1" customHeight="1">
      <c r="B431" t="str">
        <f>Tuts!B429</f>
        <v>CHURRASQUEIRA GRANDE</v>
      </c>
      <c r="C431" s="13">
        <f>Tuts!E429</f>
        <v>190</v>
      </c>
      <c r="D431" s="18">
        <f>Tuts!J429</f>
        <v>200</v>
      </c>
      <c r="E431" s="13">
        <f>Tuts!D429</f>
        <v>140</v>
      </c>
    </row>
    <row r="432" spans="2:5" ht="15.75" hidden="1" customHeight="1">
      <c r="B432" t="str">
        <f>Tuts!B430</f>
        <v>CHURRASQUEIRA GRANITO TABACO 135079</v>
      </c>
      <c r="C432" s="13">
        <f>Tuts!E430</f>
        <v>910</v>
      </c>
      <c r="D432" s="18">
        <f>Tuts!J430</f>
        <v>842.48571428571438</v>
      </c>
      <c r="E432" s="13">
        <f>Tuts!D430</f>
        <v>589.74</v>
      </c>
    </row>
    <row r="433" spans="2:5" ht="15.75" hidden="1" customHeight="1">
      <c r="B433" t="str">
        <f>Tuts!B431</f>
        <v>CHURRASQUEIRA MEDIA</v>
      </c>
      <c r="C433" s="13">
        <f>Tuts!E431</f>
        <v>160</v>
      </c>
      <c r="D433" s="18">
        <f>Tuts!J431</f>
        <v>171.42857142857144</v>
      </c>
      <c r="E433" s="13">
        <f>Tuts!D431</f>
        <v>120</v>
      </c>
    </row>
    <row r="434" spans="2:5" ht="15.75" hidden="1" customHeight="1">
      <c r="B434" t="str">
        <f>Tuts!B432</f>
        <v>CHURRASQUEIRA MESCLA 132057</v>
      </c>
      <c r="C434" s="13">
        <f>Tuts!E432</f>
        <v>850</v>
      </c>
      <c r="D434" s="18">
        <f>Tuts!J432</f>
        <v>786.37142857142862</v>
      </c>
      <c r="E434" s="13">
        <f>Tuts!D432</f>
        <v>550.46</v>
      </c>
    </row>
    <row r="435" spans="2:5" ht="15.75" hidden="1" customHeight="1">
      <c r="B435" t="str">
        <f>Tuts!B433</f>
        <v>CHURRASQUEIRA MINI</v>
      </c>
      <c r="C435" s="13">
        <f>Tuts!E433</f>
        <v>70</v>
      </c>
      <c r="D435" s="18">
        <f>Tuts!J433</f>
        <v>57.142857142857146</v>
      </c>
      <c r="E435" s="13">
        <f>Tuts!D433</f>
        <v>40</v>
      </c>
    </row>
    <row r="436" spans="2:5" ht="15.75" hidden="1" customHeight="1">
      <c r="B436" t="str">
        <f>Tuts!B434</f>
        <v>CHURRASQUEIRA PEQUENA</v>
      </c>
      <c r="C436" s="13">
        <f>Tuts!E434</f>
        <v>100</v>
      </c>
      <c r="D436" s="18">
        <f>Tuts!J434</f>
        <v>100</v>
      </c>
      <c r="E436" s="13">
        <f>Tuts!D434</f>
        <v>70</v>
      </c>
    </row>
    <row r="437" spans="2:5" ht="15.75" hidden="1" customHeight="1">
      <c r="B437" t="str">
        <f>Tuts!B435</f>
        <v>CHUVEIRO DUCHA HYDRA BALLERINA 3T</v>
      </c>
      <c r="C437" s="13">
        <f>Tuts!E435</f>
        <v>53</v>
      </c>
      <c r="D437" s="18">
        <f>Tuts!J435</f>
        <v>48.471428571428575</v>
      </c>
      <c r="E437" s="13">
        <f>Tuts!D435</f>
        <v>33.93</v>
      </c>
    </row>
    <row r="438" spans="2:5" ht="15.75" hidden="1" customHeight="1">
      <c r="B438" t="str">
        <f>Tuts!B436</f>
        <v>CHUVEIRO DUCHA HYDRA GORDUCHA 3T</v>
      </c>
      <c r="C438" s="13">
        <f>Tuts!E436</f>
        <v>55</v>
      </c>
      <c r="D438" s="18">
        <f>Tuts!J436</f>
        <v>49.828571428571436</v>
      </c>
      <c r="E438" s="13">
        <f>Tuts!D436</f>
        <v>34.880000000000003</v>
      </c>
    </row>
    <row r="439" spans="2:5" ht="15.75" hidden="1" customHeight="1">
      <c r="B439" t="str">
        <f>Tuts!B437</f>
        <v>CHUVEIRO DUCHA LORENZETTI BELLA DUCHA ULTRA 4T</v>
      </c>
      <c r="C439" s="13">
        <f>Tuts!E437</f>
        <v>83</v>
      </c>
      <c r="D439" s="18">
        <f>Tuts!J437</f>
        <v>72.714285714285722</v>
      </c>
      <c r="E439" s="13">
        <f>Tuts!D437</f>
        <v>50.9</v>
      </c>
    </row>
    <row r="440" spans="2:5" ht="15.75" hidden="1" customHeight="1">
      <c r="B440" t="str">
        <f>Tuts!B438</f>
        <v>CHUVEIRO DUCHA LORENZETTI MAXI DUCHA</v>
      </c>
      <c r="C440" s="13">
        <f>Tuts!E438</f>
        <v>75</v>
      </c>
      <c r="D440" s="18">
        <f>Tuts!J438</f>
        <v>74.271428571428572</v>
      </c>
      <c r="E440" s="13">
        <f>Tuts!D438</f>
        <v>51.99</v>
      </c>
    </row>
    <row r="441" spans="2:5" ht="15.75" hidden="1" customHeight="1">
      <c r="B441" t="str">
        <f>Tuts!B439</f>
        <v>CHUVEIRO DUCHA LORENZETTI SHOWER ELETRONICA</v>
      </c>
      <c r="C441" s="13">
        <f>Tuts!E439</f>
        <v>148</v>
      </c>
      <c r="D441" s="18">
        <f>Tuts!J439</f>
        <v>122.71428571428574</v>
      </c>
      <c r="E441" s="13">
        <f>Tuts!D439</f>
        <v>85.9</v>
      </c>
    </row>
    <row r="442" spans="2:5" ht="15.75" hidden="1" customHeight="1">
      <c r="B442" t="str">
        <f>Tuts!B440</f>
        <v>CHUVEIRO PLASTICO ASTRA 6''</v>
      </c>
      <c r="C442" s="13">
        <f>Tuts!E440</f>
        <v>41</v>
      </c>
      <c r="D442" s="18">
        <f>Tuts!J440</f>
        <v>37.742857142857147</v>
      </c>
      <c r="E442" s="13">
        <f>Tuts!D440</f>
        <v>26.42</v>
      </c>
    </row>
    <row r="443" spans="2:5" ht="15.75" hidden="1" customHeight="1">
      <c r="B443" t="str">
        <f>Tuts!B441</f>
        <v>CIMENTO CAMPEAO</v>
      </c>
      <c r="C443" s="13">
        <f>Tuts!E441</f>
        <v>35</v>
      </c>
      <c r="D443" s="18">
        <f>Tuts!J441</f>
        <v>37.142857142857146</v>
      </c>
      <c r="E443" s="13">
        <f>Tuts!D441</f>
        <v>26</v>
      </c>
    </row>
    <row r="444" spans="2:5" ht="15.75" hidden="1" customHeight="1">
      <c r="B444" t="str">
        <f>Tuts!B442</f>
        <v>CIMENTO CSN 50KG</v>
      </c>
      <c r="C444" s="13">
        <f>Tuts!E442</f>
        <v>40</v>
      </c>
      <c r="D444" s="18">
        <f>Tuts!J442</f>
        <v>40.714285714285715</v>
      </c>
      <c r="E444" s="13">
        <f>Tuts!D442</f>
        <v>28.5</v>
      </c>
    </row>
    <row r="445" spans="2:5" ht="15.75" hidden="1" customHeight="1">
      <c r="B445" t="str">
        <f>Tuts!B443</f>
        <v>CIMENTO ITAU 25KG</v>
      </c>
      <c r="C445" s="13">
        <f>Tuts!E443</f>
        <v>22</v>
      </c>
      <c r="D445" s="18">
        <f>Tuts!J443</f>
        <v>24.000000000000004</v>
      </c>
      <c r="E445" s="13">
        <f>Tuts!D443</f>
        <v>16.8</v>
      </c>
    </row>
    <row r="446" spans="2:5" ht="15.75" hidden="1" customHeight="1">
      <c r="B446" t="str">
        <f>Tuts!B444</f>
        <v>CIMENTO ITAU 50KG</v>
      </c>
      <c r="C446" s="13">
        <f>Tuts!E444</f>
        <v>40</v>
      </c>
      <c r="D446" s="18">
        <f>Tuts!J444</f>
        <v>44.142857142857146</v>
      </c>
      <c r="E446" s="13">
        <f>Tuts!D444</f>
        <v>30.9</v>
      </c>
    </row>
    <row r="447" spans="2:5" ht="15.75" hidden="1" customHeight="1">
      <c r="B447" t="str">
        <f>Tuts!B445</f>
        <v>CIMENTO LIZ 50KG</v>
      </c>
      <c r="C447" s="13">
        <f>Tuts!E445</f>
        <v>37</v>
      </c>
      <c r="D447" s="18">
        <f>Tuts!J445</f>
        <v>43.714285714285722</v>
      </c>
      <c r="E447" s="13">
        <f>Tuts!D445</f>
        <v>30.6</v>
      </c>
    </row>
    <row r="448" spans="2:5" ht="15.75" hidden="1" customHeight="1">
      <c r="B448" t="str">
        <f>Tuts!B446</f>
        <v>COJUNTO THEMA BACIA QUAD ACOPLADA C/ FURO VASO SANITARIO</v>
      </c>
      <c r="C448" s="13">
        <f>Tuts!E446</f>
        <v>790</v>
      </c>
      <c r="D448" s="18">
        <f>Tuts!J446</f>
        <v>784</v>
      </c>
      <c r="E448" s="13">
        <f>Tuts!D446</f>
        <v>548.79999999999995</v>
      </c>
    </row>
    <row r="449" spans="2:5" ht="15.75" hidden="1" customHeight="1">
      <c r="B449" t="str">
        <f>Tuts!B447</f>
        <v>COLA BRANCA 1KG</v>
      </c>
      <c r="C449" s="13">
        <f>Tuts!E447</f>
        <v>26.9</v>
      </c>
      <c r="D449" s="18">
        <f>Tuts!J447</f>
        <v>23.4</v>
      </c>
      <c r="E449" s="13">
        <f>Tuts!D447</f>
        <v>16.38</v>
      </c>
    </row>
    <row r="450" spans="2:5" ht="15.75" hidden="1" customHeight="1">
      <c r="B450" t="str">
        <f>Tuts!B448</f>
        <v>COLA BRANCA 500G</v>
      </c>
      <c r="C450" s="13">
        <f>Tuts!E448</f>
        <v>18.5</v>
      </c>
      <c r="D450" s="18">
        <f>Tuts!J448</f>
        <v>14.071428571428571</v>
      </c>
      <c r="E450" s="13">
        <f>Tuts!D448</f>
        <v>9.85</v>
      </c>
    </row>
    <row r="451" spans="2:5" ht="15.75" hidden="1" customHeight="1">
      <c r="B451" t="str">
        <f>Tuts!B449</f>
        <v>COLA CONTATO CASCOLA TRADICIONAL 195G</v>
      </c>
      <c r="C451" s="13">
        <f>Tuts!E449</f>
        <v>32</v>
      </c>
      <c r="D451" s="18">
        <f>Tuts!J449</f>
        <v>29.05714285714286</v>
      </c>
      <c r="E451" s="13">
        <f>Tuts!D449</f>
        <v>20.34</v>
      </c>
    </row>
    <row r="452" spans="2:5" ht="15.75" hidden="1" customHeight="1">
      <c r="B452" t="str">
        <f>Tuts!B450</f>
        <v>COLA CONTATO CASCOLA TRADICIONAL 2,8KG</v>
      </c>
      <c r="C452" s="13">
        <f>Tuts!E450</f>
        <v>204.9</v>
      </c>
      <c r="D452" s="18">
        <f>Tuts!J450</f>
        <v>189.05714285714288</v>
      </c>
      <c r="E452" s="13">
        <f>Tuts!D450</f>
        <v>132.34</v>
      </c>
    </row>
    <row r="453" spans="2:5" ht="15.75" hidden="1" customHeight="1">
      <c r="B453" t="str">
        <f>Tuts!B451</f>
        <v>COLA CONTATO CASCOLA TRADICIONAL 30G</v>
      </c>
      <c r="C453" s="13">
        <f>Tuts!E451</f>
        <v>15.9</v>
      </c>
      <c r="D453" s="18">
        <f>Tuts!J451</f>
        <v>13.471428571428572</v>
      </c>
      <c r="E453" s="13">
        <f>Tuts!D451</f>
        <v>9.43</v>
      </c>
    </row>
    <row r="454" spans="2:5" ht="15.75" hidden="1" customHeight="1">
      <c r="B454" t="str">
        <f>Tuts!B452</f>
        <v>COLA CONTATO CASCOLA TRADICIONAL 400G</v>
      </c>
      <c r="C454" s="13">
        <f>Tuts!E452</f>
        <v>38</v>
      </c>
      <c r="D454" s="18">
        <f>Tuts!J452</f>
        <v>35.214285714285715</v>
      </c>
      <c r="E454" s="13">
        <f>Tuts!D452</f>
        <v>24.65</v>
      </c>
    </row>
    <row r="455" spans="2:5" ht="15.75" hidden="1" customHeight="1">
      <c r="B455" t="str">
        <f>Tuts!B453</f>
        <v>COLA INSTANTANEA 793</v>
      </c>
      <c r="C455" s="13">
        <f>Tuts!E453</f>
        <v>12</v>
      </c>
      <c r="D455" s="18">
        <f>Tuts!J453</f>
        <v>9.2857142857142865</v>
      </c>
      <c r="E455" s="13">
        <f>Tuts!D453</f>
        <v>6.5</v>
      </c>
    </row>
    <row r="456" spans="2:5" ht="15.75" hidden="1" customHeight="1">
      <c r="B456" t="str">
        <f>Tuts!B454</f>
        <v>COLA MADEIRA 100F TEKBOND</v>
      </c>
      <c r="C456" s="13">
        <f>Tuts!E454</f>
        <v>7</v>
      </c>
      <c r="D456" s="18">
        <f>Tuts!J454</f>
        <v>5.9571428571428573</v>
      </c>
      <c r="E456" s="13">
        <f>Tuts!D454</f>
        <v>4.17</v>
      </c>
    </row>
    <row r="457" spans="2:5" ht="15.75" hidden="1" customHeight="1">
      <c r="B457" t="str">
        <f>Tuts!B455</f>
        <v>COLA MADEIRA GARIN 280G</v>
      </c>
      <c r="C457" s="13">
        <f>Tuts!E455</f>
        <v>8.5</v>
      </c>
      <c r="D457" s="18">
        <f>Tuts!J455</f>
        <v>7.0714285714285721</v>
      </c>
      <c r="E457" s="13">
        <f>Tuts!D455</f>
        <v>4.95</v>
      </c>
    </row>
    <row r="458" spans="2:5" ht="15.75" hidden="1" customHeight="1">
      <c r="B458" t="str">
        <f>Tuts!B456</f>
        <v>COLA SUPERBONDER 3G</v>
      </c>
      <c r="C458" s="13">
        <f>Tuts!E456</f>
        <v>7.25</v>
      </c>
      <c r="D458" s="18">
        <f>Tuts!J456</f>
        <v>7.1714285714285717</v>
      </c>
      <c r="E458" s="13">
        <f>Tuts!D456</f>
        <v>5.0199999999999996</v>
      </c>
    </row>
    <row r="459" spans="2:5" ht="15.75" hidden="1" customHeight="1">
      <c r="B459" t="str">
        <f>Tuts!B457</f>
        <v>COLA TUDO WURTH 50ML/75G</v>
      </c>
      <c r="C459" s="13">
        <f>Tuts!E457</f>
        <v>36.799999999999997</v>
      </c>
      <c r="D459" s="18">
        <f>Tuts!J457</f>
        <v>41.028571428571432</v>
      </c>
      <c r="E459" s="13">
        <f>Tuts!D457</f>
        <v>28.72</v>
      </c>
    </row>
    <row r="460" spans="2:5" ht="15.75" hidden="1" customHeight="1">
      <c r="B460" t="str">
        <f>Tuts!B458</f>
        <v>COLA VINIL 17G</v>
      </c>
      <c r="C460" s="13">
        <f>Tuts!E458</f>
        <v>8</v>
      </c>
      <c r="D460" s="18">
        <f>Tuts!J458</f>
        <v>5.7000000000000011</v>
      </c>
      <c r="E460" s="13">
        <f>Tuts!D458</f>
        <v>3.99</v>
      </c>
    </row>
    <row r="461" spans="2:5" ht="15.75" hidden="1" customHeight="1">
      <c r="B461" t="str">
        <f>Tuts!B459</f>
        <v>COLSON CAMARA DE AR</v>
      </c>
      <c r="C461" s="13">
        <f>Tuts!E459</f>
        <v>22</v>
      </c>
      <c r="D461" s="18">
        <f>Tuts!J459</f>
        <v>20.185714285714287</v>
      </c>
      <c r="E461" s="13">
        <f>Tuts!D459</f>
        <v>14.13</v>
      </c>
    </row>
    <row r="462" spans="2:5" ht="15.75" hidden="1" customHeight="1">
      <c r="B462" t="str">
        <f>Tuts!B460</f>
        <v>COLUNA INCEPA ZIP P/ LAVATORIO BR</v>
      </c>
      <c r="C462" s="13">
        <f>Tuts!E460</f>
        <v>110</v>
      </c>
      <c r="D462" s="18">
        <f>Tuts!J460</f>
        <v>95.471428571428575</v>
      </c>
      <c r="E462" s="13">
        <f>Tuts!D460</f>
        <v>66.83</v>
      </c>
    </row>
    <row r="463" spans="2:5" ht="15.75" hidden="1" customHeight="1">
      <c r="B463" t="str">
        <f>Tuts!B461</f>
        <v>COLUNA PRONTA 8MM (15X15) 6M GERDAU</v>
      </c>
      <c r="C463" s="13">
        <f>Tuts!E461</f>
        <v>120</v>
      </c>
      <c r="D463" s="18">
        <f>Tuts!J461</f>
        <v>111.41428571428571</v>
      </c>
      <c r="E463" s="13">
        <f>Tuts!D461</f>
        <v>77.989999999999995</v>
      </c>
    </row>
    <row r="464" spans="2:5" ht="15.75" hidden="1" customHeight="1">
      <c r="B464" t="str">
        <f>Tuts!B462</f>
        <v>COLUNA PRONTA 8MM (7X14) 6M GERDAU</v>
      </c>
      <c r="C464" s="13">
        <f>Tuts!E462</f>
        <v>105</v>
      </c>
      <c r="D464" s="18">
        <f>Tuts!J462</f>
        <v>96.714285714285722</v>
      </c>
      <c r="E464" s="13">
        <f>Tuts!D462</f>
        <v>67.7</v>
      </c>
    </row>
    <row r="465" spans="2:5" ht="15.75" hidden="1" customHeight="1">
      <c r="B465" t="str">
        <f>Tuts!B463</f>
        <v>CONECTOR COAXIAL</v>
      </c>
      <c r="C465" s="13">
        <f>Tuts!E463</f>
        <v>0.8</v>
      </c>
      <c r="D465" s="18">
        <f>Tuts!J463</f>
        <v>0.47142857142857147</v>
      </c>
      <c r="E465" s="13">
        <f>Tuts!D463</f>
        <v>0.33</v>
      </c>
    </row>
    <row r="466" spans="2:5" ht="15.75" hidden="1" customHeight="1">
      <c r="B466" t="str">
        <f>Tuts!B464</f>
        <v>CONECTOR FIO ALAVANCA 2P</v>
      </c>
      <c r="C466" s="13">
        <f>Tuts!E464</f>
        <v>2.5</v>
      </c>
      <c r="D466" s="18">
        <f>Tuts!J464</f>
        <v>1.7714285714285716</v>
      </c>
      <c r="E466" s="13">
        <f>Tuts!D464</f>
        <v>1.24</v>
      </c>
    </row>
    <row r="467" spans="2:5" ht="15.75" hidden="1" customHeight="1">
      <c r="B467" t="str">
        <f>Tuts!B465</f>
        <v>CONECTOR FIO ALAVANCA 3P</v>
      </c>
      <c r="C467" s="13">
        <f>Tuts!E465</f>
        <v>3</v>
      </c>
      <c r="D467" s="18">
        <f>Tuts!J465</f>
        <v>2.6428571428571432</v>
      </c>
      <c r="E467" s="13">
        <f>Tuts!D465</f>
        <v>1.85</v>
      </c>
    </row>
    <row r="468" spans="2:5" ht="15.75" hidden="1" customHeight="1">
      <c r="B468" t="str">
        <f>Tuts!B466</f>
        <v>CONECTOR GARRA DE MORCEGO 1,5MM X 6MM</v>
      </c>
      <c r="C468" s="13">
        <f>Tuts!E466</f>
        <v>10.8</v>
      </c>
      <c r="D468" s="18">
        <f>Tuts!J466</f>
        <v>9.8571428571428577</v>
      </c>
      <c r="E468" s="13">
        <f>Tuts!D466</f>
        <v>6.9</v>
      </c>
    </row>
    <row r="469" spans="2:5" ht="15.75" hidden="1" customHeight="1">
      <c r="B469" t="str">
        <f>Tuts!B467</f>
        <v>CONECTOR GARRA DE MORCEGO 4MM X 35MM</v>
      </c>
      <c r="C469" s="13">
        <f>Tuts!E467</f>
        <v>20</v>
      </c>
      <c r="D469" s="18">
        <f>Tuts!J467</f>
        <v>18.557142857142857</v>
      </c>
      <c r="E469" s="13">
        <f>Tuts!D467</f>
        <v>12.99</v>
      </c>
    </row>
    <row r="470" spans="2:5" ht="15.75" hidden="1" customHeight="1">
      <c r="B470" t="str">
        <f>Tuts!B468</f>
        <v>CONECTOR METALICO 16MM</v>
      </c>
      <c r="C470" s="13">
        <f>Tuts!E468</f>
        <v>6.5</v>
      </c>
      <c r="D470" s="18">
        <f>Tuts!J468</f>
        <v>5.9714285714285715</v>
      </c>
      <c r="E470" s="13">
        <f>Tuts!D468</f>
        <v>4.18</v>
      </c>
    </row>
    <row r="471" spans="2:5" ht="15.75" hidden="1" customHeight="1">
      <c r="B471" t="str">
        <f>Tuts!B469</f>
        <v>CONECTOR PORCELANA 3 X 10MM</v>
      </c>
      <c r="C471" s="13">
        <f>Tuts!E469</f>
        <v>5</v>
      </c>
      <c r="D471" s="18">
        <f>Tuts!J469</f>
        <v>4.2285714285714286</v>
      </c>
      <c r="E471" s="13">
        <f>Tuts!D469</f>
        <v>2.96</v>
      </c>
    </row>
    <row r="472" spans="2:5" ht="15.75" hidden="1" customHeight="1">
      <c r="B472" t="str">
        <f>Tuts!B470</f>
        <v>CONEXAO ADAPTADOR SOLDAVEL 20x1/2</v>
      </c>
      <c r="C472" s="13">
        <f>Tuts!E470</f>
        <v>1</v>
      </c>
      <c r="D472" s="18">
        <f>Tuts!J470</f>
        <v>0.98571428571428565</v>
      </c>
      <c r="E472" s="13">
        <f>Tuts!D470</f>
        <v>0.69</v>
      </c>
    </row>
    <row r="473" spans="2:5" ht="15.75" hidden="1" customHeight="1">
      <c r="B473" t="str">
        <f>Tuts!B471</f>
        <v>CONEXAO ADAPTADOR SOLDAVEL 25x3/4</v>
      </c>
      <c r="C473" s="13">
        <f>Tuts!E471</f>
        <v>1</v>
      </c>
      <c r="D473" s="18">
        <f>Tuts!J471</f>
        <v>0.68571428571428572</v>
      </c>
      <c r="E473" s="13">
        <f>Tuts!D471</f>
        <v>0.48</v>
      </c>
    </row>
    <row r="474" spans="2:5" ht="15.75" hidden="1" customHeight="1">
      <c r="B474" t="str">
        <f>Tuts!B472</f>
        <v>CONEXAO ADAPTADOR SOLDAVEL 32x1''</v>
      </c>
      <c r="C474" s="13">
        <f>Tuts!E472</f>
        <v>2.5</v>
      </c>
      <c r="D474" s="18">
        <f>Tuts!J472</f>
        <v>2</v>
      </c>
      <c r="E474" s="13">
        <f>Tuts!D472</f>
        <v>1.4</v>
      </c>
    </row>
    <row r="475" spans="2:5" ht="15.75" hidden="1" customHeight="1">
      <c r="B475" t="str">
        <f>Tuts!B473</f>
        <v>CONEXAO ADAPTADOR SOLDAVEL 40X1.1/4</v>
      </c>
      <c r="C475" s="13">
        <f>Tuts!E473</f>
        <v>6.7</v>
      </c>
      <c r="D475" s="18">
        <f>Tuts!J473</f>
        <v>5.7857142857142856</v>
      </c>
      <c r="E475" s="13">
        <f>Tuts!D473</f>
        <v>4.05</v>
      </c>
    </row>
    <row r="476" spans="2:5" ht="15.75" hidden="1" customHeight="1">
      <c r="B476" t="str">
        <f>Tuts!B474</f>
        <v>CONEXAO ADAPTADOR SOLDAVEL 50X1.1/2</v>
      </c>
      <c r="C476" s="13">
        <f>Tuts!E474</f>
        <v>4.5</v>
      </c>
      <c r="D476" s="18">
        <f>Tuts!J474</f>
        <v>4.1428571428571432</v>
      </c>
      <c r="E476" s="13">
        <f>Tuts!D474</f>
        <v>2.9</v>
      </c>
    </row>
    <row r="477" spans="2:5" ht="15.75" hidden="1" customHeight="1">
      <c r="B477" t="str">
        <f>Tuts!B475</f>
        <v>CONEXAO BRANCA BUCHA REDUCAO ROSCAVEL 1.1/2X1</v>
      </c>
      <c r="C477" s="13">
        <f>Tuts!E475</f>
        <v>8</v>
      </c>
      <c r="D477" s="18">
        <f>Tuts!J475</f>
        <v>7.128571428571429</v>
      </c>
      <c r="E477" s="13">
        <f>Tuts!D475</f>
        <v>4.99</v>
      </c>
    </row>
    <row r="478" spans="2:5" ht="15.75" hidden="1" customHeight="1">
      <c r="B478" t="str">
        <f>Tuts!B476</f>
        <v>CONEXAO BRANCA BUCHA REDUCAO ROSCAVEL 1.1/2X3/4</v>
      </c>
      <c r="C478" s="13">
        <f>Tuts!E476</f>
        <v>15</v>
      </c>
      <c r="D478" s="18">
        <f>Tuts!J476</f>
        <v>15.214285714285715</v>
      </c>
      <c r="E478" s="13">
        <f>Tuts!D476</f>
        <v>10.65</v>
      </c>
    </row>
    <row r="479" spans="2:5" ht="15.75" hidden="1" customHeight="1">
      <c r="B479" t="str">
        <f>Tuts!B477</f>
        <v>CONEXAO BRANCA BUCHA REDUCAO ROSCAVEL 1.1/4X1</v>
      </c>
      <c r="C479" s="13">
        <f>Tuts!E477</f>
        <v>8</v>
      </c>
      <c r="D479" s="18">
        <f>Tuts!J477</f>
        <v>6.2142857142857144</v>
      </c>
      <c r="E479" s="13">
        <f>Tuts!D477</f>
        <v>4.3499999999999996</v>
      </c>
    </row>
    <row r="480" spans="2:5" ht="15.75" hidden="1" customHeight="1">
      <c r="B480" t="str">
        <f>Tuts!B478</f>
        <v>CONEXAO BRANCA BUCHA REDUCAO ROSCAVEL 1.1/4X3/4</v>
      </c>
      <c r="C480" s="13">
        <f>Tuts!E478</f>
        <v>8</v>
      </c>
      <c r="D480" s="18">
        <f>Tuts!J478</f>
        <v>5.9571428571428573</v>
      </c>
      <c r="E480" s="13">
        <f>Tuts!D478</f>
        <v>4.17</v>
      </c>
    </row>
    <row r="481" spans="2:5" ht="15.75" hidden="1" customHeight="1">
      <c r="B481" t="str">
        <f>Tuts!B479</f>
        <v>CONEXAO BRANCA BUCHA REDUCAO ROSCAVEL 1X3/4</v>
      </c>
      <c r="C481" s="13">
        <f>Tuts!E479</f>
        <v>4.95</v>
      </c>
      <c r="D481" s="18">
        <f>Tuts!J479</f>
        <v>4.5714285714285721</v>
      </c>
      <c r="E481" s="13">
        <f>Tuts!D479</f>
        <v>3.2</v>
      </c>
    </row>
    <row r="482" spans="2:5" ht="15.75" hidden="1" customHeight="1">
      <c r="B482" t="str">
        <f>Tuts!B480</f>
        <v>CONEXAO BRANCA BUCHA REDUCAO ROSCAVEL 3/4X20</v>
      </c>
      <c r="C482" s="13">
        <f>Tuts!E480</f>
        <v>2</v>
      </c>
      <c r="D482" s="18">
        <f>Tuts!J480</f>
        <v>1.0571428571428572</v>
      </c>
      <c r="E482" s="13">
        <f>Tuts!D480</f>
        <v>0.74</v>
      </c>
    </row>
    <row r="483" spans="2:5" ht="15.75" hidden="1" customHeight="1">
      <c r="B483" t="str">
        <f>Tuts!B481</f>
        <v>CONEXAO BRANCA CAP ROSCAVEL 1.1/4</v>
      </c>
      <c r="C483" s="13">
        <f>Tuts!E481</f>
        <v>7.9</v>
      </c>
      <c r="D483" s="18">
        <f>Tuts!J481</f>
        <v>8.1285714285714299</v>
      </c>
      <c r="E483" s="13">
        <f>Tuts!D481</f>
        <v>5.69</v>
      </c>
    </row>
    <row r="484" spans="2:5" ht="15.75" hidden="1" customHeight="1">
      <c r="B484" t="str">
        <f>Tuts!B482</f>
        <v>CONEXAO BRANCA CAP ROSCAVEL 1X32</v>
      </c>
      <c r="C484" s="13">
        <f>Tuts!E482</f>
        <v>4.2</v>
      </c>
      <c r="D484" s="18">
        <f>Tuts!J482</f>
        <v>4.2285714285714286</v>
      </c>
      <c r="E484" s="13">
        <f>Tuts!D482</f>
        <v>2.96</v>
      </c>
    </row>
    <row r="485" spans="2:5" ht="15.75" hidden="1" customHeight="1">
      <c r="B485" t="str">
        <f>Tuts!B483</f>
        <v>CONEXAO BRANCA CAP ROSCAVEL 3/4X25</v>
      </c>
      <c r="C485" s="13">
        <f>Tuts!E483</f>
        <v>2.5</v>
      </c>
      <c r="D485" s="18">
        <f>Tuts!J483</f>
        <v>2.0714285714285716</v>
      </c>
      <c r="E485" s="13">
        <f>Tuts!D483</f>
        <v>1.45</v>
      </c>
    </row>
    <row r="486" spans="2:5" ht="15.75" hidden="1" customHeight="1">
      <c r="B486" t="str">
        <f>Tuts!B484</f>
        <v>CONEXAO BRANCA JOELHO ROSCAVEL 1/2X90</v>
      </c>
      <c r="C486" s="13">
        <f>Tuts!E484</f>
        <v>2.5</v>
      </c>
      <c r="D486" s="18">
        <f>Tuts!J484</f>
        <v>2.0857142857142859</v>
      </c>
      <c r="E486" s="13">
        <f>Tuts!D484</f>
        <v>1.46</v>
      </c>
    </row>
    <row r="487" spans="2:5" ht="15.75" hidden="1" customHeight="1">
      <c r="B487" t="str">
        <f>Tuts!B485</f>
        <v>CONEXAO BRANCA JOELHO ROSCAVEL 1X90</v>
      </c>
      <c r="C487" s="13">
        <f>Tuts!E485</f>
        <v>8</v>
      </c>
      <c r="D487" s="18">
        <f>Tuts!J485</f>
        <v>7.3714285714285719</v>
      </c>
      <c r="E487" s="13">
        <f>Tuts!D485</f>
        <v>5.16</v>
      </c>
    </row>
    <row r="488" spans="2:5" ht="15.75" hidden="1" customHeight="1">
      <c r="B488" t="str">
        <f>Tuts!B486</f>
        <v>CONEXAO BRANCA JOELHO ROSCAVEL 3/4X90</v>
      </c>
      <c r="C488" s="13">
        <f>Tuts!E486</f>
        <v>3</v>
      </c>
      <c r="D488" s="18">
        <f>Tuts!J486</f>
        <v>2.7714285714285714</v>
      </c>
      <c r="E488" s="13">
        <f>Tuts!D486</f>
        <v>1.94</v>
      </c>
    </row>
    <row r="489" spans="2:5" ht="15.75" hidden="1" customHeight="1">
      <c r="B489" t="str">
        <f>Tuts!B487</f>
        <v>CONEXAO BRANCA LUVA REDUCAO ROSCAVEL 1X3/4</v>
      </c>
      <c r="C489" s="13">
        <f>Tuts!E487</f>
        <v>12.8</v>
      </c>
      <c r="D489" s="18">
        <f>Tuts!J487</f>
        <v>12.842857142857143</v>
      </c>
      <c r="E489" s="13">
        <f>Tuts!D487</f>
        <v>8.99</v>
      </c>
    </row>
    <row r="490" spans="2:5" ht="15.75" hidden="1" customHeight="1">
      <c r="B490" t="str">
        <f>Tuts!B488</f>
        <v>CONEXAO BRANCA LUVA REDUCAO ROSCAVEL 3/4X1/2</v>
      </c>
      <c r="C490" s="13">
        <f>Tuts!E488</f>
        <v>4.2</v>
      </c>
      <c r="D490" s="18">
        <f>Tuts!J488</f>
        <v>4.128571428571429</v>
      </c>
      <c r="E490" s="13">
        <f>Tuts!D488</f>
        <v>2.89</v>
      </c>
    </row>
    <row r="491" spans="2:5" ht="15.75" hidden="1" customHeight="1">
      <c r="B491" t="str">
        <f>Tuts!B489</f>
        <v>CONEXAO BRANCA LUVA ROSCAVEL 1.1/4</v>
      </c>
      <c r="C491" s="13">
        <f>Tuts!E489</f>
        <v>14</v>
      </c>
      <c r="D491" s="18">
        <f>Tuts!J489</f>
        <v>12.842857142857143</v>
      </c>
      <c r="E491" s="13">
        <f>Tuts!D489</f>
        <v>8.99</v>
      </c>
    </row>
    <row r="492" spans="2:5" ht="15.75" hidden="1" customHeight="1">
      <c r="B492" t="str">
        <f>Tuts!B490</f>
        <v>CONEXAO BRANCA LUVA ROSCAVEL 1.1/5</v>
      </c>
      <c r="C492" s="13">
        <f>Tuts!E490</f>
        <v>15</v>
      </c>
      <c r="D492" s="18">
        <f>Tuts!J490</f>
        <v>13.571428571428573</v>
      </c>
      <c r="E492" s="13">
        <f>Tuts!D490</f>
        <v>9.5</v>
      </c>
    </row>
    <row r="493" spans="2:5" ht="15.75" hidden="1" customHeight="1">
      <c r="B493" t="str">
        <f>Tuts!B491</f>
        <v>CONEXAO BRANCA LUVA ROSCAVEL 1/2</v>
      </c>
      <c r="C493" s="13">
        <f>Tuts!E491</f>
        <v>2.5</v>
      </c>
      <c r="D493" s="18">
        <f>Tuts!J491</f>
        <v>2.1142857142857143</v>
      </c>
      <c r="E493" s="13">
        <f>Tuts!D491</f>
        <v>1.48</v>
      </c>
    </row>
    <row r="494" spans="2:5" ht="15.75" hidden="1" customHeight="1">
      <c r="B494" t="str">
        <f>Tuts!B492</f>
        <v>CONEXAO BRANCA NIPEL ROSCA 1''</v>
      </c>
      <c r="C494" s="13">
        <f>Tuts!E492</f>
        <v>3.9</v>
      </c>
      <c r="D494" s="18">
        <f>Tuts!J492</f>
        <v>3.5714285714285716</v>
      </c>
      <c r="E494" s="13">
        <f>Tuts!D492</f>
        <v>2.5</v>
      </c>
    </row>
    <row r="495" spans="2:5" ht="15.75" hidden="1" customHeight="1">
      <c r="B495" t="str">
        <f>Tuts!B493</f>
        <v>CONEXAO BRANCA NIPEL ROSCA 1/2</v>
      </c>
      <c r="C495" s="13">
        <f>Tuts!E493</f>
        <v>1.3</v>
      </c>
      <c r="D495" s="18">
        <f>Tuts!J493</f>
        <v>1.1714285714285715</v>
      </c>
      <c r="E495" s="13">
        <f>Tuts!D493</f>
        <v>0.82</v>
      </c>
    </row>
    <row r="496" spans="2:5" ht="15.75" hidden="1" customHeight="1">
      <c r="B496" t="str">
        <f>Tuts!B494</f>
        <v>CONEXAO BRANCA NIPEL ROSCA 3/4</v>
      </c>
      <c r="C496" s="13">
        <f>Tuts!E494</f>
        <v>2</v>
      </c>
      <c r="D496" s="18">
        <f>Tuts!J494</f>
        <v>1.4285714285714286</v>
      </c>
      <c r="E496" s="13">
        <f>Tuts!D494</f>
        <v>1</v>
      </c>
    </row>
    <row r="497" spans="2:5" ht="15.75" hidden="1" customHeight="1">
      <c r="B497" t="str">
        <f>Tuts!B495</f>
        <v>CONEXAO BRANCA PLUG 1/2</v>
      </c>
      <c r="C497" s="13">
        <f>Tuts!E495</f>
        <v>1</v>
      </c>
      <c r="D497" s="18">
        <f>Tuts!J495</f>
        <v>0.57142857142857151</v>
      </c>
      <c r="E497" s="13">
        <f>Tuts!D495</f>
        <v>0.4</v>
      </c>
    </row>
    <row r="498" spans="2:5" ht="15.75" hidden="1" customHeight="1">
      <c r="B498" t="str">
        <f>Tuts!B496</f>
        <v>CONEXAO BRANCA PLUG 3/4</v>
      </c>
      <c r="C498" s="13">
        <f>Tuts!E496</f>
        <v>1</v>
      </c>
      <c r="D498" s="18">
        <f>Tuts!J496</f>
        <v>0.80000000000000016</v>
      </c>
      <c r="E498" s="13">
        <f>Tuts!D496</f>
        <v>0.56000000000000005</v>
      </c>
    </row>
    <row r="499" spans="2:5" ht="15.75" hidden="1" customHeight="1">
      <c r="B499" t="str">
        <f>Tuts!B497</f>
        <v>CONEXAO BRANCA TEE ROSCAVEL 1''</v>
      </c>
      <c r="C499" s="13">
        <f>Tuts!E497</f>
        <v>21</v>
      </c>
      <c r="D499" s="18">
        <f>Tuts!J497</f>
        <v>19.385714285714286</v>
      </c>
      <c r="E499" s="13">
        <f>Tuts!D497</f>
        <v>13.57</v>
      </c>
    </row>
    <row r="500" spans="2:5" ht="15.75" hidden="1" customHeight="1">
      <c r="B500" t="str">
        <f>Tuts!B498</f>
        <v>CONEXAO BRANCA TEE ROSCAVEL 1/2''</v>
      </c>
      <c r="C500" s="13">
        <f>Tuts!E498</f>
        <v>5</v>
      </c>
      <c r="D500" s="18">
        <f>Tuts!J498</f>
        <v>3.8714285714285714</v>
      </c>
      <c r="E500" s="13">
        <f>Tuts!D498</f>
        <v>2.71</v>
      </c>
    </row>
    <row r="501" spans="2:5" ht="15.75" hidden="1" customHeight="1">
      <c r="B501" t="str">
        <f>Tuts!B499</f>
        <v>CONEXAO BRANCA TEE ROSCAVEL 3/4''</v>
      </c>
      <c r="C501" s="13">
        <f>Tuts!E499</f>
        <v>6</v>
      </c>
      <c r="D501" s="18">
        <f>Tuts!J499</f>
        <v>4.9000000000000004</v>
      </c>
      <c r="E501" s="13">
        <f>Tuts!D499</f>
        <v>3.43</v>
      </c>
    </row>
    <row r="502" spans="2:5" ht="15.75" hidden="1" customHeight="1">
      <c r="B502" t="str">
        <f>Tuts!B500</f>
        <v>CONEXAO Bucha Redutora Sold Curta 25x20</v>
      </c>
      <c r="C502" s="13">
        <f>Tuts!E500</f>
        <v>1</v>
      </c>
      <c r="D502" s="18">
        <f>Tuts!J500</f>
        <v>0.87142857142857144</v>
      </c>
      <c r="E502" s="13">
        <f>Tuts!D500</f>
        <v>0.61</v>
      </c>
    </row>
    <row r="503" spans="2:5" ht="15.75" hidden="1" customHeight="1">
      <c r="B503" t="str">
        <f>Tuts!B501</f>
        <v>CONEXAO Bucha Redutora Sold Curta 32x25</v>
      </c>
      <c r="C503" s="13">
        <f>Tuts!E501</f>
        <v>1.5</v>
      </c>
      <c r="D503" s="18">
        <f>Tuts!J501</f>
        <v>1.657142857142857</v>
      </c>
      <c r="E503" s="13">
        <f>Tuts!D501</f>
        <v>1.1599999999999999</v>
      </c>
    </row>
    <row r="504" spans="2:5" ht="15.75" hidden="1" customHeight="1">
      <c r="B504" t="str">
        <f>Tuts!B502</f>
        <v>CONEXAO BUCHA REDUTORA SOLD CURTA 50X40</v>
      </c>
      <c r="C504" s="13">
        <f>Tuts!E502</f>
        <v>5.0999999999999996</v>
      </c>
      <c r="D504" s="18">
        <f>Tuts!J502</f>
        <v>5.4</v>
      </c>
      <c r="E504" s="13">
        <f>Tuts!D502</f>
        <v>3.78</v>
      </c>
    </row>
    <row r="505" spans="2:5" ht="15.75" hidden="1" customHeight="1">
      <c r="B505" t="str">
        <f>Tuts!B503</f>
        <v>CONEXAO Bucha Redutora Sold Longa 40x25</v>
      </c>
      <c r="C505" s="13">
        <f>Tuts!E503</f>
        <v>5.5</v>
      </c>
      <c r="D505" s="18">
        <f>Tuts!J503</f>
        <v>5.7142857142857144</v>
      </c>
      <c r="E505" s="13">
        <f>Tuts!D503</f>
        <v>4</v>
      </c>
    </row>
    <row r="506" spans="2:5" ht="15.75" hidden="1" customHeight="1">
      <c r="B506" t="str">
        <f>Tuts!B504</f>
        <v>CONEXAO Bucha Redutora Sold Longa 50x25</v>
      </c>
      <c r="C506" s="13">
        <f>Tuts!E504</f>
        <v>4.5</v>
      </c>
      <c r="D506" s="18">
        <f>Tuts!J504</f>
        <v>4.5285714285714285</v>
      </c>
      <c r="E506" s="13">
        <f>Tuts!D504</f>
        <v>3.17</v>
      </c>
    </row>
    <row r="507" spans="2:5" ht="15.75" hidden="1" customHeight="1">
      <c r="B507" t="str">
        <f>Tuts!B505</f>
        <v>CONEXAO Bucha Redutora Sold Longa 50x32</v>
      </c>
      <c r="C507" s="13">
        <f>Tuts!E505</f>
        <v>6.5</v>
      </c>
      <c r="D507" s="18">
        <f>Tuts!J505</f>
        <v>6.9142857142857146</v>
      </c>
      <c r="E507" s="13">
        <f>Tuts!D505</f>
        <v>4.84</v>
      </c>
    </row>
    <row r="508" spans="2:5" ht="15.75" hidden="1" customHeight="1">
      <c r="B508" t="str">
        <f>Tuts!B506</f>
        <v>CONEXAO Bucha Sold LR 20x1/2</v>
      </c>
      <c r="C508" s="13">
        <f>Tuts!E506</f>
        <v>5.5</v>
      </c>
      <c r="D508" s="18">
        <f>Tuts!J506</f>
        <v>5.4857142857142858</v>
      </c>
      <c r="E508" s="13">
        <f>Tuts!D506</f>
        <v>3.84</v>
      </c>
    </row>
    <row r="509" spans="2:5" ht="15.75" hidden="1" customHeight="1">
      <c r="B509" t="str">
        <f>Tuts!B507</f>
        <v>CONEXAO Bucha Sold LR 25x3/4</v>
      </c>
      <c r="C509" s="13">
        <f>Tuts!E507</f>
        <v>5.9</v>
      </c>
      <c r="D509" s="18">
        <f>Tuts!J507</f>
        <v>6.1857142857142859</v>
      </c>
      <c r="E509" s="13">
        <f>Tuts!D507</f>
        <v>4.33</v>
      </c>
    </row>
    <row r="510" spans="2:5" ht="15.75" hidden="1" customHeight="1">
      <c r="B510" t="str">
        <f>Tuts!B508</f>
        <v>CONEXAO CAP ESGOTO AA 40</v>
      </c>
      <c r="C510" s="13">
        <f>Tuts!E508</f>
        <v>3</v>
      </c>
      <c r="D510" s="18">
        <f>Tuts!J508</f>
        <v>2.9142857142857146</v>
      </c>
      <c r="E510" s="13">
        <f>Tuts!D508</f>
        <v>2.04</v>
      </c>
    </row>
    <row r="511" spans="2:5" ht="15.75" hidden="1" customHeight="1">
      <c r="B511" t="str">
        <f>Tuts!B509</f>
        <v>CONEXAO CAP ESGOTO BB 50</v>
      </c>
      <c r="C511" s="13">
        <f>Tuts!E509</f>
        <v>5.75</v>
      </c>
      <c r="D511" s="18">
        <f>Tuts!J509</f>
        <v>4.3714285714285719</v>
      </c>
      <c r="E511" s="13">
        <f>Tuts!D509</f>
        <v>3.06</v>
      </c>
    </row>
    <row r="512" spans="2:5" ht="15.75" hidden="1" customHeight="1">
      <c r="B512" t="str">
        <f>Tuts!B510</f>
        <v>CONEXAO CAP ESGOTO CC 75</v>
      </c>
      <c r="C512" s="13">
        <f>Tuts!E510</f>
        <v>8</v>
      </c>
      <c r="D512" s="18">
        <f>Tuts!J510</f>
        <v>6.9571428571428573</v>
      </c>
      <c r="E512" s="13">
        <f>Tuts!D510</f>
        <v>4.87</v>
      </c>
    </row>
    <row r="513" spans="2:5" ht="15.75" hidden="1" customHeight="1">
      <c r="B513" t="str">
        <f>Tuts!B511</f>
        <v>CONEXAO CAP ESGOTO DD 100</v>
      </c>
      <c r="C513" s="13">
        <f>Tuts!E511</f>
        <v>8.5</v>
      </c>
      <c r="D513" s="18">
        <f>Tuts!J511</f>
        <v>7.8571428571428577</v>
      </c>
      <c r="E513" s="13">
        <f>Tuts!D511</f>
        <v>5.5</v>
      </c>
    </row>
    <row r="514" spans="2:5" ht="15.75" hidden="1" customHeight="1">
      <c r="B514" t="str">
        <f>Tuts!B512</f>
        <v>CONEXAO CAP ESGOTO EE 150</v>
      </c>
      <c r="C514" s="13">
        <f>Tuts!E512</f>
        <v>36</v>
      </c>
      <c r="D514" s="18">
        <f>Tuts!J512</f>
        <v>33.114285714285714</v>
      </c>
      <c r="E514" s="13">
        <f>Tuts!D512</f>
        <v>23.18</v>
      </c>
    </row>
    <row r="515" spans="2:5" ht="15.75" hidden="1" customHeight="1">
      <c r="B515" t="str">
        <f>Tuts!B513</f>
        <v>CONEXAO CAP SOLDAVEL 25MM</v>
      </c>
      <c r="C515" s="13">
        <f>Tuts!E513</f>
        <v>2</v>
      </c>
      <c r="D515" s="18">
        <f>Tuts!J513</f>
        <v>1.142857142857143</v>
      </c>
      <c r="E515" s="13">
        <f>Tuts!D513</f>
        <v>0.8</v>
      </c>
    </row>
    <row r="516" spans="2:5" ht="15.75" hidden="1" customHeight="1">
      <c r="B516" t="str">
        <f>Tuts!B514</f>
        <v>CONEXAO CAP SOLDAVEL 40MM</v>
      </c>
      <c r="C516" s="13">
        <f>Tuts!E514</f>
        <v>5.5</v>
      </c>
      <c r="D516" s="18">
        <f>Tuts!J514</f>
        <v>5.0428571428571427</v>
      </c>
      <c r="E516" s="13">
        <f>Tuts!D514</f>
        <v>3.53</v>
      </c>
    </row>
    <row r="517" spans="2:5" ht="15.75" hidden="1" customHeight="1">
      <c r="B517" t="str">
        <f>Tuts!B515</f>
        <v>CONEXAO CAP SOLDAVEL 50MM</v>
      </c>
      <c r="C517" s="13">
        <f>Tuts!E515</f>
        <v>6.9</v>
      </c>
      <c r="D517" s="18">
        <f>Tuts!J515</f>
        <v>6.2285714285714295</v>
      </c>
      <c r="E517" s="13">
        <f>Tuts!D515</f>
        <v>4.3600000000000003</v>
      </c>
    </row>
    <row r="518" spans="2:5" ht="15.75" hidden="1" customHeight="1">
      <c r="B518" t="str">
        <f>Tuts!B516</f>
        <v>CONEXAO CAP SOLDAVEL 60</v>
      </c>
      <c r="C518" s="13">
        <f>Tuts!E516</f>
        <v>10.8</v>
      </c>
      <c r="D518" s="18">
        <f>Tuts!J516</f>
        <v>11.357142857142858</v>
      </c>
      <c r="E518" s="13">
        <f>Tuts!D516</f>
        <v>7.95</v>
      </c>
    </row>
    <row r="519" spans="2:5" ht="15.75" hidden="1" customHeight="1">
      <c r="B519" t="str">
        <f>Tuts!B517</f>
        <v>CONEXAO CURVA ESGOTO 45x75mm</v>
      </c>
      <c r="C519" s="13">
        <f>Tuts!E517</f>
        <v>38</v>
      </c>
      <c r="D519" s="18">
        <f>Tuts!J517</f>
        <v>34.928571428571431</v>
      </c>
      <c r="E519" s="13">
        <f>Tuts!D517</f>
        <v>24.45</v>
      </c>
    </row>
    <row r="520" spans="2:5" ht="15.75" hidden="1" customHeight="1">
      <c r="B520" t="str">
        <f>Tuts!B518</f>
        <v>CONEXAO CURVA ESGOTO CURTA 90X100</v>
      </c>
      <c r="C520" s="13">
        <f>Tuts!E518</f>
        <v>22</v>
      </c>
      <c r="D520" s="18">
        <f>Tuts!J518</f>
        <v>19.857142857142858</v>
      </c>
      <c r="E520" s="13">
        <f>Tuts!D518</f>
        <v>13.9</v>
      </c>
    </row>
    <row r="521" spans="2:5" ht="15.75" hidden="1" customHeight="1">
      <c r="B521" t="str">
        <f>Tuts!B519</f>
        <v>CONEXAO CURVA ESGOTO CURTA 90x40mm</v>
      </c>
      <c r="C521" s="13">
        <f>Tuts!E519</f>
        <v>6.5</v>
      </c>
      <c r="D521" s="18">
        <f>Tuts!J519</f>
        <v>5.8857142857142861</v>
      </c>
      <c r="E521" s="13">
        <f>Tuts!D519</f>
        <v>4.12</v>
      </c>
    </row>
    <row r="522" spans="2:5" ht="15.75" hidden="1" customHeight="1">
      <c r="B522" t="str">
        <f>Tuts!B520</f>
        <v>CONEXAO CURVA ESGOTO CURTA 90x50mm</v>
      </c>
      <c r="C522" s="13">
        <f>Tuts!E520</f>
        <v>8</v>
      </c>
      <c r="D522" s="18">
        <f>Tuts!J520</f>
        <v>7.1428571428571432</v>
      </c>
      <c r="E522" s="13">
        <f>Tuts!D520</f>
        <v>5</v>
      </c>
    </row>
    <row r="523" spans="2:5" ht="15.75" hidden="1" customHeight="1">
      <c r="B523" t="str">
        <f>Tuts!B521</f>
        <v>CONEXAO CURVA ESGOTO CURTA 90X75</v>
      </c>
      <c r="C523" s="13">
        <f>Tuts!E521</f>
        <v>19.899999999999999</v>
      </c>
      <c r="D523" s="18">
        <f>Tuts!J521</f>
        <v>18.285714285714288</v>
      </c>
      <c r="E523" s="13">
        <f>Tuts!D521</f>
        <v>12.8</v>
      </c>
    </row>
    <row r="524" spans="2:5" ht="15.75" hidden="1" customHeight="1">
      <c r="B524" t="str">
        <f>Tuts!B522</f>
        <v>CONEXAO CURVA ESGOTO LONGA 45x100mm</v>
      </c>
      <c r="C524" s="13">
        <f>Tuts!E522</f>
        <v>42</v>
      </c>
      <c r="D524" s="18">
        <f>Tuts!J522</f>
        <v>42.042857142857144</v>
      </c>
      <c r="E524" s="13">
        <f>Tuts!D522</f>
        <v>29.43</v>
      </c>
    </row>
    <row r="525" spans="2:5" ht="15.75" hidden="1" customHeight="1">
      <c r="B525" t="str">
        <f>Tuts!B523</f>
        <v>CONEXAO CURVA ESGOTO LONGA 90 X 100mm</v>
      </c>
      <c r="C525" s="13">
        <f>Tuts!E523</f>
        <v>51</v>
      </c>
      <c r="D525" s="18">
        <f>Tuts!J523</f>
        <v>45.68571428571429</v>
      </c>
      <c r="E525" s="13">
        <f>Tuts!D523</f>
        <v>31.98</v>
      </c>
    </row>
    <row r="526" spans="2:5" ht="15.75" hidden="1" customHeight="1">
      <c r="B526" t="str">
        <f>Tuts!B524</f>
        <v>CONEXAO CURVA SOLD 90X25MM</v>
      </c>
      <c r="C526" s="13">
        <f>Tuts!E524</f>
        <v>3.6</v>
      </c>
      <c r="D526" s="18">
        <f>Tuts!J524</f>
        <v>3.2857142857142856</v>
      </c>
      <c r="E526" s="13">
        <f>Tuts!D524</f>
        <v>2.2999999999999998</v>
      </c>
    </row>
    <row r="527" spans="2:5" ht="15.75" hidden="1" customHeight="1">
      <c r="B527" t="str">
        <f>Tuts!B525</f>
        <v>CONEXAO CURVA SOLD 90x32</v>
      </c>
      <c r="C527" s="13">
        <f>Tuts!E525</f>
        <v>12</v>
      </c>
      <c r="D527" s="18">
        <f>Tuts!J525</f>
        <v>12.328571428571431</v>
      </c>
      <c r="E527" s="13">
        <f>Tuts!D525</f>
        <v>8.6300000000000008</v>
      </c>
    </row>
    <row r="528" spans="2:5" ht="15.75" hidden="1" customHeight="1">
      <c r="B528" t="str">
        <f>Tuts!B526</f>
        <v>CONEXAO CURVA SOLD 90X50MM</v>
      </c>
      <c r="C528" s="13">
        <f>Tuts!E526</f>
        <v>22.4</v>
      </c>
      <c r="D528" s="18">
        <f>Tuts!J526</f>
        <v>22.871428571428574</v>
      </c>
      <c r="E528" s="13">
        <f>Tuts!D526</f>
        <v>16.010000000000002</v>
      </c>
    </row>
    <row r="529" spans="2:5" ht="15.75" hidden="1" customHeight="1">
      <c r="B529" t="str">
        <f>Tuts!B527</f>
        <v>CONEXAO ESPIGAL GALVANIZADO 1</v>
      </c>
      <c r="C529" s="13">
        <f>Tuts!E527</f>
        <v>23</v>
      </c>
      <c r="D529" s="18">
        <f>Tuts!J527</f>
        <v>20</v>
      </c>
      <c r="E529" s="13">
        <f>Tuts!D527</f>
        <v>14</v>
      </c>
    </row>
    <row r="530" spans="2:5" ht="15.75" hidden="1" customHeight="1">
      <c r="B530" t="str">
        <f>Tuts!B528</f>
        <v>CONEXAO ESPIGAO GALVANIZADO 1/2</v>
      </c>
      <c r="C530" s="13">
        <f>Tuts!E528</f>
        <v>20</v>
      </c>
      <c r="D530" s="18">
        <f>Tuts!J528</f>
        <v>18.142857142857142</v>
      </c>
      <c r="E530" s="13">
        <f>Tuts!D528</f>
        <v>12.7</v>
      </c>
    </row>
    <row r="531" spans="2:5" ht="15.75" hidden="1" customHeight="1">
      <c r="B531" t="str">
        <f>Tuts!B529</f>
        <v>CONEXAO ESPIGAO GALVANIZADO 3/4</v>
      </c>
      <c r="C531" s="13">
        <f>Tuts!E529</f>
        <v>23</v>
      </c>
      <c r="D531" s="18">
        <f>Tuts!J529</f>
        <v>21.142857142857146</v>
      </c>
      <c r="E531" s="13">
        <f>Tuts!D529</f>
        <v>14.8</v>
      </c>
    </row>
    <row r="532" spans="2:5" ht="15.75" hidden="1" customHeight="1">
      <c r="B532" t="str">
        <f>Tuts!B530</f>
        <v xml:space="preserve">CONEXAO FRANJA FLANGE 25x3/4 </v>
      </c>
      <c r="C532" s="13">
        <f>Tuts!E530</f>
        <v>12.3</v>
      </c>
      <c r="D532" s="18">
        <f>Tuts!J530</f>
        <v>10.428571428571429</v>
      </c>
      <c r="E532" s="13">
        <f>Tuts!D530</f>
        <v>7.3</v>
      </c>
    </row>
    <row r="533" spans="2:5" ht="15.75" hidden="1" customHeight="1">
      <c r="B533" t="str">
        <f>Tuts!B531</f>
        <v xml:space="preserve">CONEXAO FRANJA FLANGE 32x1 </v>
      </c>
      <c r="C533" s="13">
        <f>Tuts!E531</f>
        <v>17</v>
      </c>
      <c r="D533" s="18">
        <f>Tuts!J531</f>
        <v>14.02857142857143</v>
      </c>
      <c r="E533" s="13">
        <f>Tuts!D531</f>
        <v>9.82</v>
      </c>
    </row>
    <row r="534" spans="2:5" ht="15.75" hidden="1" customHeight="1">
      <c r="B534" t="str">
        <f>Tuts!B532</f>
        <v xml:space="preserve">CONEXAO FRANJA FLANGE 40x1.1/4 </v>
      </c>
      <c r="C534" s="13">
        <f>Tuts!E532</f>
        <v>23.8</v>
      </c>
      <c r="D534" s="18">
        <f>Tuts!J532</f>
        <v>24.271428571428572</v>
      </c>
      <c r="E534" s="13">
        <f>Tuts!D532</f>
        <v>16.989999999999998</v>
      </c>
    </row>
    <row r="535" spans="2:5" ht="15.75" hidden="1" customHeight="1">
      <c r="B535" t="str">
        <f>Tuts!B533</f>
        <v xml:space="preserve">CONEXAO FRANJA FLANGE 50x1.1/2 </v>
      </c>
      <c r="C535" s="13">
        <f>Tuts!E533</f>
        <v>24.9</v>
      </c>
      <c r="D535" s="18">
        <f>Tuts!J533</f>
        <v>22.114285714285717</v>
      </c>
      <c r="E535" s="13">
        <f>Tuts!D533</f>
        <v>15.48</v>
      </c>
    </row>
    <row r="536" spans="2:5" ht="15.75" hidden="1" customHeight="1">
      <c r="B536" t="str">
        <f>Tuts!B534</f>
        <v>CONEXAO FRANJA FLANGE 60X2</v>
      </c>
      <c r="C536" s="13">
        <f>Tuts!E534</f>
        <v>63.5</v>
      </c>
      <c r="D536" s="18">
        <f>Tuts!J534</f>
        <v>52.75714285714286</v>
      </c>
      <c r="E536" s="13">
        <f>Tuts!D534</f>
        <v>36.93</v>
      </c>
    </row>
    <row r="537" spans="2:5" ht="15.75" hidden="1" customHeight="1">
      <c r="B537" t="str">
        <f>Tuts!B535</f>
        <v xml:space="preserve">CONEXAO JOELHO AZUL LR 20x1/2 </v>
      </c>
      <c r="C537" s="13">
        <f>Tuts!E535</f>
        <v>6.4</v>
      </c>
      <c r="D537" s="18">
        <f>Tuts!J535</f>
        <v>6.6714285714285717</v>
      </c>
      <c r="E537" s="13">
        <f>Tuts!D535</f>
        <v>4.67</v>
      </c>
    </row>
    <row r="538" spans="2:5" ht="15.75" hidden="1" customHeight="1">
      <c r="B538" t="str">
        <f>Tuts!B536</f>
        <v xml:space="preserve">CONEXAO JOELHO AZUL LR 25x1/2 </v>
      </c>
      <c r="C538" s="13">
        <f>Tuts!E536</f>
        <v>5.6</v>
      </c>
      <c r="D538" s="18">
        <f>Tuts!J536</f>
        <v>4.9857142857142867</v>
      </c>
      <c r="E538" s="13">
        <f>Tuts!D536</f>
        <v>3.49</v>
      </c>
    </row>
    <row r="539" spans="2:5" ht="15.75" hidden="1" customHeight="1">
      <c r="B539" t="str">
        <f>Tuts!B537</f>
        <v xml:space="preserve">CONEXAO JOELHO AZUL LR 25x3/4 </v>
      </c>
      <c r="C539" s="13">
        <f>Tuts!E537</f>
        <v>7.5</v>
      </c>
      <c r="D539" s="18">
        <f>Tuts!J537</f>
        <v>7.4571428571428573</v>
      </c>
      <c r="E539" s="13">
        <f>Tuts!D537</f>
        <v>5.22</v>
      </c>
    </row>
    <row r="540" spans="2:5" ht="15.75" hidden="1" customHeight="1">
      <c r="B540" t="str">
        <f>Tuts!B538</f>
        <v>CONEXAO JOELHO ESG Y 75</v>
      </c>
      <c r="C540" s="13">
        <f>Tuts!E538</f>
        <v>25</v>
      </c>
      <c r="D540" s="18">
        <f>Tuts!J538</f>
        <v>22.842857142857145</v>
      </c>
      <c r="E540" s="13">
        <f>Tuts!D538</f>
        <v>15.99</v>
      </c>
    </row>
    <row r="541" spans="2:5" ht="15.75" hidden="1" customHeight="1">
      <c r="B541" t="str">
        <f>Tuts!B539</f>
        <v>CONEXAO JOELHO ESGOTO 45x100MM</v>
      </c>
      <c r="C541" s="13">
        <f>Tuts!E539</f>
        <v>9.8000000000000007</v>
      </c>
      <c r="D541" s="18">
        <f>Tuts!J539</f>
        <v>8.7857142857142865</v>
      </c>
      <c r="E541" s="13">
        <f>Tuts!D539</f>
        <v>6.15</v>
      </c>
    </row>
    <row r="542" spans="2:5" ht="15.75" hidden="1" customHeight="1">
      <c r="B542" t="str">
        <f>Tuts!B540</f>
        <v>CONEXAO JOELHO ESGOTO 45x40MM</v>
      </c>
      <c r="C542" s="13">
        <f>Tuts!E540</f>
        <v>4.8</v>
      </c>
      <c r="D542" s="18">
        <f>Tuts!J540</f>
        <v>4.4285714285714288</v>
      </c>
      <c r="E542" s="13">
        <f>Tuts!D540</f>
        <v>3.1</v>
      </c>
    </row>
    <row r="543" spans="2:5" ht="15.75" hidden="1" customHeight="1">
      <c r="B543" t="str">
        <f>Tuts!B541</f>
        <v>CONEXAO JOELHO ESGOTO 45x50MM</v>
      </c>
      <c r="C543" s="13">
        <f>Tuts!E541</f>
        <v>5</v>
      </c>
      <c r="D543" s="18">
        <f>Tuts!J541</f>
        <v>4.7142857142857144</v>
      </c>
      <c r="E543" s="13">
        <f>Tuts!D541</f>
        <v>3.3</v>
      </c>
    </row>
    <row r="544" spans="2:5" ht="15.75" hidden="1" customHeight="1">
      <c r="B544" t="str">
        <f>Tuts!B542</f>
        <v>CONEXAO JOELHO ESGOTO 45x75MM</v>
      </c>
      <c r="C544" s="13">
        <f>Tuts!E542</f>
        <v>12</v>
      </c>
      <c r="D544" s="18">
        <f>Tuts!J542</f>
        <v>10.571428571428573</v>
      </c>
      <c r="E544" s="13">
        <f>Tuts!D542</f>
        <v>7.4</v>
      </c>
    </row>
    <row r="545" spans="2:5" ht="15.75" hidden="1" customHeight="1">
      <c r="B545" t="str">
        <f>Tuts!B543</f>
        <v>CONEXAO JOELHO ESGOTO 90X100MM</v>
      </c>
      <c r="C545" s="13">
        <f>Tuts!E543</f>
        <v>8.1999999999999993</v>
      </c>
      <c r="D545" s="18">
        <f>Tuts!J543</f>
        <v>7.5714285714285721</v>
      </c>
      <c r="E545" s="13">
        <f>Tuts!D543</f>
        <v>5.3</v>
      </c>
    </row>
    <row r="546" spans="2:5" ht="15.75" hidden="1" customHeight="1">
      <c r="B546" t="str">
        <f>Tuts!B544</f>
        <v>CONEXAO JOELHO ESGOTO 90X100MM C/ VISITA 50</v>
      </c>
      <c r="C546" s="13">
        <f>Tuts!E544</f>
        <v>23.9</v>
      </c>
      <c r="D546" s="18">
        <f>Tuts!J544</f>
        <v>22.142857142857146</v>
      </c>
      <c r="E546" s="13">
        <f>Tuts!D544</f>
        <v>15.5</v>
      </c>
    </row>
    <row r="547" spans="2:5" ht="15.75" hidden="1" customHeight="1">
      <c r="B547" t="str">
        <f>Tuts!B545</f>
        <v>CONEXAO JOELHO ESGOTO 90x40MM</v>
      </c>
      <c r="C547" s="13">
        <f>Tuts!E545</f>
        <v>2</v>
      </c>
      <c r="D547" s="18">
        <f>Tuts!J545</f>
        <v>1.2428571428571429</v>
      </c>
      <c r="E547" s="13">
        <f>Tuts!D545</f>
        <v>0.87</v>
      </c>
    </row>
    <row r="548" spans="2:5" ht="15.75" hidden="1" customHeight="1">
      <c r="B548" t="str">
        <f>Tuts!B546</f>
        <v>CONEXAO JOELHO ESGOTO 90x50MM</v>
      </c>
      <c r="C548" s="13">
        <f>Tuts!E546</f>
        <v>3.5</v>
      </c>
      <c r="D548" s="18">
        <f>Tuts!J546</f>
        <v>2.6714285714285717</v>
      </c>
      <c r="E548" s="13">
        <f>Tuts!D546</f>
        <v>1.87</v>
      </c>
    </row>
    <row r="549" spans="2:5" ht="15.75" hidden="1" customHeight="1">
      <c r="B549" t="str">
        <f>Tuts!B547</f>
        <v>CONEXAO JOELHO ESGOTO 90x75mm</v>
      </c>
      <c r="C549" s="13">
        <f>Tuts!E547</f>
        <v>6.8</v>
      </c>
      <c r="D549" s="18">
        <f>Tuts!J547</f>
        <v>5.9285714285714297</v>
      </c>
      <c r="E549" s="13">
        <f>Tuts!D547</f>
        <v>4.1500000000000004</v>
      </c>
    </row>
    <row r="550" spans="2:5" ht="15.75" hidden="1" customHeight="1">
      <c r="B550" t="str">
        <f>Tuts!B548</f>
        <v>CONEXAO JOELHO SOLDAVEL 45X25MM</v>
      </c>
      <c r="C550" s="13">
        <f>Tuts!E548</f>
        <v>2.5</v>
      </c>
      <c r="D550" s="18">
        <f>Tuts!J548</f>
        <v>2.4142857142857141</v>
      </c>
      <c r="E550" s="13">
        <f>Tuts!D548</f>
        <v>1.69</v>
      </c>
    </row>
    <row r="551" spans="2:5" ht="15.75" hidden="1" customHeight="1">
      <c r="B551" t="str">
        <f>Tuts!B549</f>
        <v>CONEXAO JOELHO SOLDAVEL 45x40mm</v>
      </c>
      <c r="C551" s="13">
        <f>Tuts!E549</f>
        <v>2</v>
      </c>
      <c r="D551" s="18">
        <f>Tuts!J549</f>
        <v>1.4571428571428573</v>
      </c>
      <c r="E551" s="13">
        <f>Tuts!D549</f>
        <v>1.02</v>
      </c>
    </row>
    <row r="552" spans="2:5" ht="15.75" hidden="1" customHeight="1">
      <c r="B552" t="str">
        <f>Tuts!B550</f>
        <v>CONEXAO JOELHO SOLDAVEL 45x40mm</v>
      </c>
      <c r="C552" s="13">
        <f>Tuts!E550</f>
        <v>5.5</v>
      </c>
      <c r="D552" s="18">
        <f>Tuts!J550</f>
        <v>5.7142857142857144</v>
      </c>
      <c r="E552" s="13">
        <f>Tuts!D550</f>
        <v>4</v>
      </c>
    </row>
    <row r="553" spans="2:5" ht="15.75" hidden="1" customHeight="1">
      <c r="B553" t="str">
        <f>Tuts!B551</f>
        <v>CONEXAO JOELHO SOLDAVEL 45x50mm</v>
      </c>
      <c r="C553" s="13">
        <f>Tuts!E551</f>
        <v>7.9</v>
      </c>
      <c r="D553" s="18">
        <f>Tuts!J551</f>
        <v>7.9857142857142858</v>
      </c>
      <c r="E553" s="13">
        <f>Tuts!D551</f>
        <v>5.59</v>
      </c>
    </row>
    <row r="554" spans="2:5" ht="15.75" hidden="1" customHeight="1">
      <c r="B554" t="str">
        <f>Tuts!B552</f>
        <v>CONEXAO JOELHO SOLDAVEL 90x20mm</v>
      </c>
      <c r="C554" s="13">
        <f>Tuts!E552</f>
        <v>1.5</v>
      </c>
      <c r="D554" s="18">
        <f>Tuts!J552</f>
        <v>0.61428571428571432</v>
      </c>
      <c r="E554" s="13">
        <f>Tuts!D552</f>
        <v>0.43</v>
      </c>
    </row>
    <row r="555" spans="2:5" ht="15.75" hidden="1" customHeight="1">
      <c r="B555" t="str">
        <f>Tuts!B553</f>
        <v>CONEXAO JOELHO SOLDAVEL 90x25mm</v>
      </c>
      <c r="C555" s="13">
        <f>Tuts!E553</f>
        <v>2</v>
      </c>
      <c r="D555" s="18">
        <f>Tuts!J553</f>
        <v>0.6428571428571429</v>
      </c>
      <c r="E555" s="13">
        <f>Tuts!D553</f>
        <v>0.45</v>
      </c>
    </row>
    <row r="556" spans="2:5" ht="15.75" hidden="1" customHeight="1">
      <c r="B556" t="str">
        <f>Tuts!B554</f>
        <v>CONEXAO JOELHO SOLDAVEL 90X25MM LR</v>
      </c>
      <c r="C556" s="13">
        <f>Tuts!E554</f>
        <v>4</v>
      </c>
      <c r="D556" s="18">
        <f>Tuts!J554</f>
        <v>3.7142857142857149</v>
      </c>
      <c r="E556" s="13">
        <f>Tuts!D554</f>
        <v>2.6</v>
      </c>
    </row>
    <row r="557" spans="2:5" ht="15.75" hidden="1" customHeight="1">
      <c r="B557" t="str">
        <f>Tuts!B555</f>
        <v>CONEXAO JOELHO SOLDAVEL 90X32MM PLASTILIT</v>
      </c>
      <c r="C557" s="13">
        <f>Tuts!E555</f>
        <v>3.5</v>
      </c>
      <c r="D557" s="18">
        <f>Tuts!J555</f>
        <v>2.8571428571428572</v>
      </c>
      <c r="E557" s="13">
        <f>Tuts!D555</f>
        <v>2</v>
      </c>
    </row>
    <row r="558" spans="2:5" ht="15.75" hidden="1" customHeight="1">
      <c r="B558" t="str">
        <f>Tuts!B556</f>
        <v>CONEXAO JOELHO SOLDAVEL 90x40mm</v>
      </c>
      <c r="C558" s="13">
        <f>Tuts!E556</f>
        <v>6.2</v>
      </c>
      <c r="D558" s="18">
        <f>Tuts!J556</f>
        <v>6.4142857142857146</v>
      </c>
      <c r="E558" s="13">
        <f>Tuts!D556</f>
        <v>4.49</v>
      </c>
    </row>
    <row r="559" spans="2:5" ht="15.75" hidden="1" customHeight="1">
      <c r="B559" t="str">
        <f>Tuts!B557</f>
        <v>CONEXAO JOELHO SOLDAVEL 90x50MM PLASTILIT</v>
      </c>
      <c r="C559" s="13">
        <f>Tuts!E557</f>
        <v>5.5</v>
      </c>
      <c r="D559" s="18">
        <f>Tuts!J557</f>
        <v>4.5</v>
      </c>
      <c r="E559" s="13">
        <f>Tuts!D557</f>
        <v>3.15</v>
      </c>
    </row>
    <row r="560" spans="2:5" ht="15.75" hidden="1" customHeight="1">
      <c r="B560" t="str">
        <f>Tuts!B558</f>
        <v>CONEXAO Junção Y Esgoto 100mm 6''</v>
      </c>
      <c r="C560" s="13">
        <f>Tuts!E558</f>
        <v>21.7</v>
      </c>
      <c r="D560" s="18">
        <f>Tuts!J558</f>
        <v>22.142857142857146</v>
      </c>
      <c r="E560" s="13">
        <f>Tuts!D558</f>
        <v>15.5</v>
      </c>
    </row>
    <row r="561" spans="2:5" ht="15.75" hidden="1" customHeight="1">
      <c r="B561" t="str">
        <f>Tuts!B559</f>
        <v xml:space="preserve">CONEXAO Junção Y Esgoto 50mm </v>
      </c>
      <c r="C561" s="13">
        <f>Tuts!E559</f>
        <v>12</v>
      </c>
      <c r="D561" s="18">
        <f>Tuts!J559</f>
        <v>11.785714285714286</v>
      </c>
      <c r="E561" s="13">
        <f>Tuts!D559</f>
        <v>8.25</v>
      </c>
    </row>
    <row r="562" spans="2:5" ht="15.75" hidden="1" customHeight="1">
      <c r="B562" t="str">
        <f>Tuts!B560</f>
        <v>CONEXAO LUVA AZ 25X1/2</v>
      </c>
      <c r="C562" s="13">
        <f>Tuts!E560</f>
        <v>7.5</v>
      </c>
      <c r="D562" s="18">
        <f>Tuts!J560</f>
        <v>6.6571428571428575</v>
      </c>
      <c r="E562" s="13">
        <f>Tuts!D560</f>
        <v>4.66</v>
      </c>
    </row>
    <row r="563" spans="2:5" ht="15.75" hidden="1" customHeight="1">
      <c r="B563" t="str">
        <f>Tuts!B561</f>
        <v>CONEXAO LUVA AZ 25X3/4</v>
      </c>
      <c r="C563" s="13">
        <f>Tuts!E561</f>
        <v>8.5500000000000007</v>
      </c>
      <c r="D563" s="18">
        <f>Tuts!J561</f>
        <v>7.5285714285714285</v>
      </c>
      <c r="E563" s="13">
        <f>Tuts!D561</f>
        <v>5.27</v>
      </c>
    </row>
    <row r="564" spans="2:5" ht="15.75" hidden="1" customHeight="1">
      <c r="B564" t="str">
        <f>Tuts!B562</f>
        <v>CONEXAO LUVA AZUL LR  25X3/4</v>
      </c>
      <c r="C564" s="13">
        <f>Tuts!E562</f>
        <v>8.5500000000000007</v>
      </c>
      <c r="D564" s="18">
        <f>Tuts!J562</f>
        <v>7.4285714285714297</v>
      </c>
      <c r="E564" s="13">
        <f>Tuts!D562</f>
        <v>5.2</v>
      </c>
    </row>
    <row r="565" spans="2:5" ht="15.75" hidden="1" customHeight="1">
      <c r="B565" t="str">
        <f>Tuts!B563</f>
        <v>CONEXAO LUVA DE CORRER ESGOTO 100</v>
      </c>
      <c r="C565" s="13">
        <f>Tuts!E563</f>
        <v>23.5</v>
      </c>
      <c r="D565" s="18">
        <f>Tuts!J563</f>
        <v>22.142857142857146</v>
      </c>
      <c r="E565" s="13">
        <f>Tuts!D563</f>
        <v>15.5</v>
      </c>
    </row>
    <row r="566" spans="2:5" ht="15.75" hidden="1" customHeight="1">
      <c r="B566" t="str">
        <f>Tuts!B564</f>
        <v>CONEXAO LUVA DE CORRER ESGOTO 40</v>
      </c>
      <c r="C566" s="13">
        <f>Tuts!E564</f>
        <v>11.5</v>
      </c>
      <c r="D566" s="18">
        <f>Tuts!J564</f>
        <v>9.571428571428573</v>
      </c>
      <c r="E566" s="13">
        <f>Tuts!D564</f>
        <v>6.7</v>
      </c>
    </row>
    <row r="567" spans="2:5" ht="15.75" hidden="1" customHeight="1">
      <c r="B567" t="str">
        <f>Tuts!B565</f>
        <v>CONEXAO LUVA DE CORRER ESGOTO 50</v>
      </c>
      <c r="C567" s="13">
        <f>Tuts!E565</f>
        <v>13.5</v>
      </c>
      <c r="D567" s="18">
        <f>Tuts!J565</f>
        <v>12.142857142857144</v>
      </c>
      <c r="E567" s="13">
        <f>Tuts!D565</f>
        <v>8.5</v>
      </c>
    </row>
    <row r="568" spans="2:5" ht="15.75" hidden="1" customHeight="1">
      <c r="B568" t="str">
        <f>Tuts!B566</f>
        <v>CONEXAO LUVA DE CORRER ESGOTO 75</v>
      </c>
      <c r="C568" s="13">
        <f>Tuts!E566</f>
        <v>15.75</v>
      </c>
      <c r="D568" s="18">
        <f>Tuts!J566</f>
        <v>13.857142857142858</v>
      </c>
      <c r="E568" s="13">
        <f>Tuts!D566</f>
        <v>9.6999999999999993</v>
      </c>
    </row>
    <row r="569" spans="2:5" ht="15.75" hidden="1" customHeight="1">
      <c r="B569" t="str">
        <f>Tuts!B567</f>
        <v>CONEXAO LUVA DE CORRER SOLDAVEL 20</v>
      </c>
      <c r="C569" s="13">
        <f>Tuts!E567</f>
        <v>15</v>
      </c>
      <c r="D569" s="18">
        <f>Tuts!J567</f>
        <v>13.714285714285715</v>
      </c>
      <c r="E569" s="13">
        <f>Tuts!D567</f>
        <v>9.6</v>
      </c>
    </row>
    <row r="570" spans="2:5" ht="15.75" hidden="1" customHeight="1">
      <c r="B570" t="str">
        <f>Tuts!B568</f>
        <v>CONEXAO LUVA DE CORRER SOLDAVEL 25</v>
      </c>
      <c r="C570" s="13">
        <f>Tuts!E568</f>
        <v>14</v>
      </c>
      <c r="D570" s="18">
        <f>Tuts!J568</f>
        <v>11.857142857142859</v>
      </c>
      <c r="E570" s="13">
        <f>Tuts!D568</f>
        <v>8.3000000000000007</v>
      </c>
    </row>
    <row r="571" spans="2:5" ht="15.75" hidden="1" customHeight="1">
      <c r="B571" t="str">
        <f>Tuts!B569</f>
        <v>CONEXAO LUVA DE CORRER SOLDAVEL 40</v>
      </c>
      <c r="C571" s="13">
        <f>Tuts!E569</f>
        <v>44.9</v>
      </c>
      <c r="D571" s="18">
        <f>Tuts!J569</f>
        <v>41.642857142857146</v>
      </c>
      <c r="E571" s="13">
        <f>Tuts!D569</f>
        <v>29.15</v>
      </c>
    </row>
    <row r="572" spans="2:5" ht="15.75" hidden="1" customHeight="1">
      <c r="B572" t="str">
        <f>Tuts!B570</f>
        <v>CONEXAO LUVA ESGOTO AA 40MM</v>
      </c>
      <c r="C572" s="13">
        <f>Tuts!E570</f>
        <v>2</v>
      </c>
      <c r="D572" s="18">
        <f>Tuts!J570</f>
        <v>1.5714285714285716</v>
      </c>
      <c r="E572" s="13">
        <f>Tuts!D570</f>
        <v>1.1000000000000001</v>
      </c>
    </row>
    <row r="573" spans="2:5" ht="15.75" hidden="1" customHeight="1">
      <c r="B573" t="str">
        <f>Tuts!B571</f>
        <v>CONEXAO LUVA ESGOTO BB 50MM</v>
      </c>
      <c r="C573" s="13">
        <f>Tuts!E571</f>
        <v>3.7</v>
      </c>
      <c r="D573" s="18">
        <f>Tuts!J571</f>
        <v>3.7571428571428571</v>
      </c>
      <c r="E573" s="13">
        <f>Tuts!D571</f>
        <v>2.63</v>
      </c>
    </row>
    <row r="574" spans="2:5" ht="15.75" hidden="1" customHeight="1">
      <c r="B574" t="str">
        <f>Tuts!B572</f>
        <v>CONEXAO LUVA ESGOTO CC 75MM</v>
      </c>
      <c r="C574" s="13">
        <f>Tuts!E572</f>
        <v>8</v>
      </c>
      <c r="D574" s="18">
        <f>Tuts!J572</f>
        <v>6.9285714285714288</v>
      </c>
      <c r="E574" s="13">
        <f>Tuts!D572</f>
        <v>4.8499999999999996</v>
      </c>
    </row>
    <row r="575" spans="2:5" ht="15.75" hidden="1" customHeight="1">
      <c r="B575" t="str">
        <f>Tuts!B573</f>
        <v>CONEXAO LUVA ESGOTO DD  100MM</v>
      </c>
      <c r="C575" s="13">
        <f>Tuts!E573</f>
        <v>4.9000000000000004</v>
      </c>
      <c r="D575" s="18">
        <f>Tuts!J573</f>
        <v>4.2857142857142856</v>
      </c>
      <c r="E575" s="13">
        <f>Tuts!D573</f>
        <v>3</v>
      </c>
    </row>
    <row r="576" spans="2:5" ht="15.75" hidden="1" customHeight="1">
      <c r="B576" t="str">
        <f>Tuts!B574</f>
        <v>CONEXAO LUVA GALVANIZADA 1.1/2</v>
      </c>
      <c r="C576" s="13">
        <f>Tuts!E574</f>
        <v>27</v>
      </c>
      <c r="D576" s="18">
        <f>Tuts!J574</f>
        <v>24.142857142857142</v>
      </c>
      <c r="E576" s="13">
        <f>Tuts!D574</f>
        <v>16.899999999999999</v>
      </c>
    </row>
    <row r="577" spans="2:5" ht="15.75" hidden="1" customHeight="1">
      <c r="B577" t="str">
        <f>Tuts!B575</f>
        <v>CONEXAO LUVA GALVANIZADA 1.1/4</v>
      </c>
      <c r="C577" s="13">
        <f>Tuts!E575</f>
        <v>26</v>
      </c>
      <c r="D577" s="18">
        <f>Tuts!J575</f>
        <v>23.571428571428573</v>
      </c>
      <c r="E577" s="13">
        <f>Tuts!D575</f>
        <v>16.5</v>
      </c>
    </row>
    <row r="578" spans="2:5" ht="15.75" hidden="1" customHeight="1">
      <c r="B578" t="str">
        <f>Tuts!B576</f>
        <v>CONEXAO LUVA LATAO AZ 25X3/4</v>
      </c>
      <c r="C578" s="13">
        <f>Tuts!E576</f>
        <v>7.2</v>
      </c>
      <c r="D578" s="18">
        <f>Tuts!J576</f>
        <v>7.2142857142857144</v>
      </c>
      <c r="E578" s="13">
        <f>Tuts!D576</f>
        <v>5.05</v>
      </c>
    </row>
    <row r="579" spans="2:5" ht="15.75" hidden="1" customHeight="1">
      <c r="B579" t="str">
        <f>Tuts!B577</f>
        <v>CONEXAO LUVA SOLD ROSCA 32X1</v>
      </c>
      <c r="C579" s="13">
        <f>Tuts!E577</f>
        <v>7.5</v>
      </c>
      <c r="D579" s="18">
        <f>Tuts!J577</f>
        <v>6.8</v>
      </c>
      <c r="E579" s="13">
        <f>Tuts!D577</f>
        <v>4.76</v>
      </c>
    </row>
    <row r="580" spans="2:5" ht="15.75" hidden="1" customHeight="1">
      <c r="B580" t="str">
        <f>Tuts!B578</f>
        <v>CONEXAO LUVA SOLD ROSCA 40X1.1/4</v>
      </c>
      <c r="C580" s="13">
        <f>Tuts!E578</f>
        <v>9.5</v>
      </c>
      <c r="D580" s="18">
        <f>Tuts!J578</f>
        <v>8.7000000000000011</v>
      </c>
      <c r="E580" s="13">
        <f>Tuts!D578</f>
        <v>6.09</v>
      </c>
    </row>
    <row r="581" spans="2:5" ht="15.75" hidden="1" customHeight="1">
      <c r="B581" t="str">
        <f>Tuts!B579</f>
        <v>CONEXAO LUVA SOLDAVEL 25 3/4</v>
      </c>
      <c r="C581" s="13">
        <f>Tuts!E579</f>
        <v>1.5</v>
      </c>
      <c r="D581" s="18">
        <f>Tuts!J579</f>
        <v>0.92857142857142871</v>
      </c>
      <c r="E581" s="13">
        <f>Tuts!D579</f>
        <v>0.65</v>
      </c>
    </row>
    <row r="582" spans="2:5" ht="15.75" hidden="1" customHeight="1">
      <c r="B582" t="str">
        <f>Tuts!B580</f>
        <v>CONEXAO LUVA SOLDAVEL 32</v>
      </c>
      <c r="C582" s="13">
        <f>Tuts!E580</f>
        <v>2.5</v>
      </c>
      <c r="D582" s="18">
        <f>Tuts!J580</f>
        <v>2.1428571428571428</v>
      </c>
      <c r="E582" s="13">
        <f>Tuts!D580</f>
        <v>1.5</v>
      </c>
    </row>
    <row r="583" spans="2:5" ht="15.75" hidden="1" customHeight="1">
      <c r="B583" t="str">
        <f>Tuts!B581</f>
        <v xml:space="preserve">CONEXAO LUVA SOLDAVEL 40 </v>
      </c>
      <c r="C583" s="13">
        <f>Tuts!E581</f>
        <v>4.8</v>
      </c>
      <c r="D583" s="18">
        <f>Tuts!J581</f>
        <v>4.7</v>
      </c>
      <c r="E583" s="13">
        <f>Tuts!D581</f>
        <v>3.29</v>
      </c>
    </row>
    <row r="584" spans="2:5" ht="15.75" hidden="1" customHeight="1">
      <c r="B584" t="str">
        <f>Tuts!B582</f>
        <v>CONEXAO LUVA SOLDAVEL 50</v>
      </c>
      <c r="C584" s="13">
        <f>Tuts!E582</f>
        <v>4.9000000000000004</v>
      </c>
      <c r="D584" s="18">
        <f>Tuts!J582</f>
        <v>4.2857142857142856</v>
      </c>
      <c r="E584" s="13">
        <f>Tuts!D582</f>
        <v>3</v>
      </c>
    </row>
    <row r="585" spans="2:5" ht="15.75" hidden="1" customHeight="1">
      <c r="B585" t="str">
        <f>Tuts!B583</f>
        <v xml:space="preserve">CONEXAO Luva Soldável 60 </v>
      </c>
      <c r="C585" s="13">
        <f>Tuts!E583</f>
        <v>16</v>
      </c>
      <c r="D585" s="18">
        <f>Tuts!J583</f>
        <v>16.428571428571431</v>
      </c>
      <c r="E585" s="13">
        <f>Tuts!D583</f>
        <v>11.5</v>
      </c>
    </row>
    <row r="586" spans="2:5" ht="15.75" hidden="1" customHeight="1">
      <c r="B586" t="str">
        <f>Tuts!B584</f>
        <v>CONEXAO LUVA SOLDAVEL ROSCA 25X3/4</v>
      </c>
      <c r="C586" s="13">
        <f>Tuts!E584</f>
        <v>3</v>
      </c>
      <c r="D586" s="18">
        <f>Tuts!J584</f>
        <v>2.3571428571428572</v>
      </c>
      <c r="E586" s="13">
        <f>Tuts!D584</f>
        <v>1.65</v>
      </c>
    </row>
    <row r="587" spans="2:5" ht="15.75" hidden="1" customHeight="1">
      <c r="B587" t="str">
        <f>Tuts!B585</f>
        <v>CONEXAO MANGUEIRA ADAPTADOR INTERNO  1.1/4</v>
      </c>
      <c r="C587" s="13">
        <f>Tuts!E585</f>
        <v>5.3</v>
      </c>
      <c r="D587" s="18">
        <f>Tuts!J585</f>
        <v>5.0571428571428578</v>
      </c>
      <c r="E587" s="13">
        <f>Tuts!D585</f>
        <v>3.54</v>
      </c>
    </row>
    <row r="588" spans="2:5" ht="15.75" hidden="1" customHeight="1">
      <c r="B588" t="str">
        <f>Tuts!B586</f>
        <v>CONEXAO MANGUEIRA ADAPTADOR INTERNO 1 x 3/4</v>
      </c>
      <c r="C588" s="13">
        <f>Tuts!E586</f>
        <v>1.8</v>
      </c>
      <c r="D588" s="18">
        <f>Tuts!J586</f>
        <v>1.2857142857142858</v>
      </c>
      <c r="E588" s="13">
        <f>Tuts!D586</f>
        <v>0.9</v>
      </c>
    </row>
    <row r="589" spans="2:5" ht="15.75" hidden="1" customHeight="1">
      <c r="B589" t="str">
        <f>Tuts!B587</f>
        <v>CONEXAO MANGUEIRA ADAPTADOR INTERNO 1.1/2</v>
      </c>
      <c r="C589" s="13">
        <f>Tuts!E587</f>
        <v>5.5</v>
      </c>
      <c r="D589" s="18">
        <f>Tuts!J587</f>
        <v>4.2142857142857144</v>
      </c>
      <c r="E589" s="13">
        <f>Tuts!D587</f>
        <v>2.95</v>
      </c>
    </row>
    <row r="590" spans="2:5" ht="15.75" hidden="1" customHeight="1">
      <c r="B590" t="str">
        <f>Tuts!B588</f>
        <v>CONEXAO MANGUEIRA ADAPTADOR INTERNO 3/4</v>
      </c>
      <c r="C590" s="13">
        <f>Tuts!E588</f>
        <v>1.5</v>
      </c>
      <c r="D590" s="18">
        <f>Tuts!J588</f>
        <v>1</v>
      </c>
      <c r="E590" s="13">
        <f>Tuts!D588</f>
        <v>0.7</v>
      </c>
    </row>
    <row r="591" spans="2:5" ht="15.75" hidden="1" customHeight="1">
      <c r="B591" t="str">
        <f>Tuts!B589</f>
        <v>CONEXAO MANGUEIRA JOELHO C/ ROSCA INTERNA 2''</v>
      </c>
      <c r="C591" s="13">
        <f>Tuts!E589</f>
        <v>15.5</v>
      </c>
      <c r="D591" s="18">
        <f>Tuts!J589</f>
        <v>14.214285714285714</v>
      </c>
      <c r="E591" s="13">
        <f>Tuts!D589</f>
        <v>9.9499999999999993</v>
      </c>
    </row>
    <row r="592" spans="2:5" ht="15.75" hidden="1" customHeight="1">
      <c r="B592" t="str">
        <f>Tuts!B590</f>
        <v>CONEXAO MANGUEIRA JOELHO C/ ROSCA INTERNA 3/4''</v>
      </c>
      <c r="C592" s="13">
        <f>Tuts!E590</f>
        <v>1.5</v>
      </c>
      <c r="D592" s="18">
        <f>Tuts!J590</f>
        <v>1.3714285714285714</v>
      </c>
      <c r="E592" s="13">
        <f>Tuts!D590</f>
        <v>0.96</v>
      </c>
    </row>
    <row r="593" spans="2:5" ht="15.75" hidden="1" customHeight="1">
      <c r="B593" t="str">
        <f>Tuts!B591</f>
        <v>CONEXAO MANGUEIRA JOELHO INTERNO 1</v>
      </c>
      <c r="C593" s="13">
        <f>Tuts!E591</f>
        <v>3.25</v>
      </c>
      <c r="D593" s="18">
        <f>Tuts!J591</f>
        <v>2.9857142857142858</v>
      </c>
      <c r="E593" s="13">
        <f>Tuts!D591</f>
        <v>2.09</v>
      </c>
    </row>
    <row r="594" spans="2:5" ht="15.75" hidden="1" customHeight="1">
      <c r="B594" t="str">
        <f>Tuts!B592</f>
        <v>CONEXAO MANGUEIRA JOELHO INTERNO 1/2</v>
      </c>
      <c r="C594" s="13">
        <f>Tuts!E592</f>
        <v>2</v>
      </c>
      <c r="D594" s="18">
        <f>Tuts!J592</f>
        <v>2.4285714285714288</v>
      </c>
      <c r="E594" s="13">
        <f>Tuts!D592</f>
        <v>1.7</v>
      </c>
    </row>
    <row r="595" spans="2:5" ht="15.75" hidden="1" customHeight="1">
      <c r="B595" t="str">
        <f>Tuts!B593</f>
        <v>CONEXAO MANGUEIRA JOELHO INTERNO 3/4</v>
      </c>
      <c r="C595" s="13">
        <f>Tuts!E593</f>
        <v>1.5</v>
      </c>
      <c r="D595" s="18">
        <f>Tuts!J593</f>
        <v>1.2857142857142858</v>
      </c>
      <c r="E595" s="13">
        <f>Tuts!D593</f>
        <v>0.9</v>
      </c>
    </row>
    <row r="596" spans="2:5" ht="15.75" hidden="1" customHeight="1">
      <c r="B596" t="str">
        <f>Tuts!B594</f>
        <v>CONEXAO MANGUEIRA TEE C/ BOCA ROSCA 3/4</v>
      </c>
      <c r="C596" s="13">
        <f>Tuts!E594</f>
        <v>5.7</v>
      </c>
      <c r="D596" s="18">
        <f>Tuts!J594</f>
        <v>5.2857142857142865</v>
      </c>
      <c r="E596" s="13">
        <f>Tuts!D594</f>
        <v>3.7</v>
      </c>
    </row>
    <row r="597" spans="2:5" ht="15.75" hidden="1" customHeight="1">
      <c r="B597" t="str">
        <f>Tuts!B595</f>
        <v>CONEXAO MANGUEIRA TEE INTERNO 3/4</v>
      </c>
      <c r="C597" s="13">
        <f>Tuts!E595</f>
        <v>2.5</v>
      </c>
      <c r="D597" s="18">
        <f>Tuts!J595</f>
        <v>2.2428571428571429</v>
      </c>
      <c r="E597" s="13">
        <f>Tuts!D595</f>
        <v>1.57</v>
      </c>
    </row>
    <row r="598" spans="2:5" ht="15.75" hidden="1" customHeight="1">
      <c r="B598" t="str">
        <f>Tuts!B596</f>
        <v>CONEXAO MANGUEIRA UNIAO INTERNA 1''</v>
      </c>
      <c r="C598" s="13">
        <f>Tuts!E596</f>
        <v>3</v>
      </c>
      <c r="D598" s="18">
        <f>Tuts!J596</f>
        <v>2.6142857142857148</v>
      </c>
      <c r="E598" s="13">
        <f>Tuts!D596</f>
        <v>1.83</v>
      </c>
    </row>
    <row r="599" spans="2:5" ht="15.75" hidden="1" customHeight="1">
      <c r="B599" t="str">
        <f>Tuts!B597</f>
        <v>CONEXAO MANGUEIRA UNIÃO INTERNA 1.1/2</v>
      </c>
      <c r="C599" s="13">
        <f>Tuts!E597</f>
        <v>6.8</v>
      </c>
      <c r="D599" s="18">
        <f>Tuts!J597</f>
        <v>6.871428571428571</v>
      </c>
      <c r="E599" s="13">
        <f>Tuts!D597</f>
        <v>4.8099999999999996</v>
      </c>
    </row>
    <row r="600" spans="2:5" ht="15.75" hidden="1" customHeight="1">
      <c r="B600" t="str">
        <f>Tuts!B598</f>
        <v>CONEXAO MANGUEIRA UNIAO INTERNA 1/2</v>
      </c>
      <c r="C600" s="13">
        <f>Tuts!E598</f>
        <v>1.5</v>
      </c>
      <c r="D600" s="18">
        <f>Tuts!J598</f>
        <v>0.78571428571428581</v>
      </c>
      <c r="E600" s="13">
        <f>Tuts!D598</f>
        <v>0.55000000000000004</v>
      </c>
    </row>
    <row r="601" spans="2:5" ht="15.75" hidden="1" customHeight="1">
      <c r="B601" t="str">
        <f>Tuts!B599</f>
        <v>CONEXAO MANGUEIRA UNIAO INTERNA 3/4</v>
      </c>
      <c r="C601" s="13">
        <f>Tuts!E599</f>
        <v>1.5</v>
      </c>
      <c r="D601" s="18">
        <f>Tuts!J599</f>
        <v>1.2428571428571429</v>
      </c>
      <c r="E601" s="13">
        <f>Tuts!D599</f>
        <v>0.87</v>
      </c>
    </row>
    <row r="602" spans="2:5" ht="15.75" hidden="1" customHeight="1">
      <c r="B602" t="str">
        <f>Tuts!B600</f>
        <v>CONEXAO MANGUEIRA UNIAO INTERNA 3/8'</v>
      </c>
      <c r="C602" s="13">
        <f>Tuts!E600</f>
        <v>2</v>
      </c>
      <c r="D602" s="18">
        <f>Tuts!J600</f>
        <v>0.7142857142857143</v>
      </c>
      <c r="E602" s="13">
        <f>Tuts!D600</f>
        <v>0.5</v>
      </c>
    </row>
    <row r="603" spans="2:5" ht="15.75" hidden="1" customHeight="1">
      <c r="B603" t="str">
        <f>Tuts!B601</f>
        <v>CONEXAO MANGUEIRA UNIAO INTERNA REDUCAO 1.1/2X1.1/4</v>
      </c>
      <c r="C603" s="13">
        <f>Tuts!E601</f>
        <v>10.199999999999999</v>
      </c>
      <c r="D603" s="18">
        <f>Tuts!J601</f>
        <v>9.9714285714285733</v>
      </c>
      <c r="E603" s="13">
        <f>Tuts!D601</f>
        <v>6.98</v>
      </c>
    </row>
    <row r="604" spans="2:5" ht="15.75" hidden="1" customHeight="1">
      <c r="B604" t="str">
        <f>Tuts!B602</f>
        <v>CONEXAO MANGUEIRA UNIAO INTERNA REDUCAO 1.1/4X1</v>
      </c>
      <c r="C604" s="13">
        <f>Tuts!E602</f>
        <v>7.9</v>
      </c>
      <c r="D604" s="18">
        <f>Tuts!J602</f>
        <v>7.2714285714285714</v>
      </c>
      <c r="E604" s="13">
        <f>Tuts!D602</f>
        <v>5.09</v>
      </c>
    </row>
    <row r="605" spans="2:5" ht="15.75" hidden="1" customHeight="1">
      <c r="B605" t="str">
        <f>Tuts!B603</f>
        <v>CONEXAO MANGUEIRA UNIAO INTERNA REDUCAO 1X3/4</v>
      </c>
      <c r="C605" s="13">
        <f>Tuts!E603</f>
        <v>3.9</v>
      </c>
      <c r="D605" s="18">
        <f>Tuts!J603</f>
        <v>3.5714285714285716</v>
      </c>
      <c r="E605" s="13">
        <f>Tuts!D603</f>
        <v>2.5</v>
      </c>
    </row>
    <row r="606" spans="2:5" ht="15.75" hidden="1" customHeight="1">
      <c r="B606" t="str">
        <f>Tuts!B604</f>
        <v>CONEXAO MANGUEIRA UNIAO INTERNA REDUCAO 3/4X1/2</v>
      </c>
      <c r="C606" s="13">
        <f>Tuts!E604</f>
        <v>2</v>
      </c>
      <c r="D606" s="18">
        <f>Tuts!J604</f>
        <v>1.5142857142857145</v>
      </c>
      <c r="E606" s="13">
        <f>Tuts!D604</f>
        <v>1.06</v>
      </c>
    </row>
    <row r="607" spans="2:5" ht="15.75" hidden="1" customHeight="1">
      <c r="B607" t="str">
        <f>Tuts!B605</f>
        <v>CONEXAO NIP GALVANIZADO 1.1/2</v>
      </c>
      <c r="C607" s="13">
        <f>Tuts!E605</f>
        <v>23</v>
      </c>
      <c r="D607" s="18">
        <f>Tuts!J605</f>
        <v>21.242857142857144</v>
      </c>
      <c r="E607" s="13">
        <f>Tuts!D605</f>
        <v>14.87</v>
      </c>
    </row>
    <row r="608" spans="2:5" ht="15.75" hidden="1" customHeight="1">
      <c r="B608" t="str">
        <f>Tuts!B606</f>
        <v>CONEXAO NIP GALVANIZADO 1.1/4</v>
      </c>
      <c r="C608" s="13">
        <f>Tuts!E606</f>
        <v>20</v>
      </c>
      <c r="D608" s="18">
        <f>Tuts!J606</f>
        <v>16.042857142857144</v>
      </c>
      <c r="E608" s="13">
        <f>Tuts!D606</f>
        <v>11.23</v>
      </c>
    </row>
    <row r="609" spans="2:5" ht="15.75" hidden="1" customHeight="1">
      <c r="B609" t="str">
        <f>Tuts!B607</f>
        <v>CONEXAO REDUÇAO CURTA SOLD 60X50</v>
      </c>
      <c r="C609" s="13">
        <f>Tuts!E607</f>
        <v>9.5</v>
      </c>
      <c r="D609" s="18">
        <f>Tuts!J607</f>
        <v>6.2142857142857144</v>
      </c>
      <c r="E609" s="13">
        <f>Tuts!D607</f>
        <v>4.3499999999999996</v>
      </c>
    </row>
    <row r="610" spans="2:5" ht="15.75" hidden="1" customHeight="1">
      <c r="B610" t="str">
        <f>Tuts!B608</f>
        <v>CONEXAO REDUCAO ESG 100X50</v>
      </c>
      <c r="C610" s="13">
        <f>Tuts!E608</f>
        <v>9</v>
      </c>
      <c r="D610" s="18">
        <f>Tuts!J608</f>
        <v>8.2714285714285722</v>
      </c>
      <c r="E610" s="13">
        <f>Tuts!D608</f>
        <v>5.79</v>
      </c>
    </row>
    <row r="611" spans="2:5" ht="15.75" hidden="1" customHeight="1">
      <c r="B611" t="str">
        <f>Tuts!B609</f>
        <v>CONEXAO REDUCAO ESG 100x50</v>
      </c>
      <c r="C611" s="13">
        <f>Tuts!E609</f>
        <v>9</v>
      </c>
      <c r="D611" s="18">
        <f>Tuts!J609</f>
        <v>10</v>
      </c>
      <c r="E611" s="13">
        <f>Tuts!D609</f>
        <v>7</v>
      </c>
    </row>
    <row r="612" spans="2:5" ht="15.75" hidden="1" customHeight="1">
      <c r="B612" t="str">
        <f>Tuts!B610</f>
        <v>CONEXAO REDUCAO ESG 100x75</v>
      </c>
      <c r="C612" s="13">
        <f>Tuts!E610</f>
        <v>10.5</v>
      </c>
      <c r="D612" s="18">
        <f>Tuts!J610</f>
        <v>9.571428571428573</v>
      </c>
      <c r="E612" s="13">
        <f>Tuts!D610</f>
        <v>6.7</v>
      </c>
    </row>
    <row r="613" spans="2:5" ht="15.75" hidden="1" customHeight="1">
      <c r="B613" t="str">
        <f>Tuts!B611</f>
        <v>CONEXAO REDUCAO ESG 50X40</v>
      </c>
      <c r="C613" s="13">
        <f>Tuts!E611</f>
        <v>3</v>
      </c>
      <c r="D613" s="18">
        <f>Tuts!J611</f>
        <v>2.7142857142857144</v>
      </c>
      <c r="E613" s="13">
        <f>Tuts!D611</f>
        <v>1.9</v>
      </c>
    </row>
    <row r="614" spans="2:5" ht="15.75" hidden="1" customHeight="1">
      <c r="B614" t="str">
        <f>Tuts!B612</f>
        <v>CONEXAO REDUCAO ESG 75x50</v>
      </c>
      <c r="C614" s="13">
        <f>Tuts!E612</f>
        <v>9.5</v>
      </c>
      <c r="D614" s="18">
        <f>Tuts!J612</f>
        <v>8.8142857142857149</v>
      </c>
      <c r="E614" s="13">
        <f>Tuts!D612</f>
        <v>6.17</v>
      </c>
    </row>
    <row r="615" spans="2:5" ht="15.75" hidden="1" customHeight="1">
      <c r="B615" t="str">
        <f>Tuts!B613</f>
        <v>CONEXAO Registro Esférico Sold União 25mm</v>
      </c>
      <c r="C615" s="13">
        <f>Tuts!E613</f>
        <v>4.9000000000000004</v>
      </c>
      <c r="D615" s="18">
        <f>Tuts!J613</f>
        <v>5</v>
      </c>
      <c r="E615" s="13">
        <f>Tuts!D613</f>
        <v>3.5</v>
      </c>
    </row>
    <row r="616" spans="2:5" ht="15.75" hidden="1" customHeight="1">
      <c r="B616" t="str">
        <f>Tuts!B614</f>
        <v>CONEXAO Registro Esférico Sold União 50mm</v>
      </c>
      <c r="C616" s="13">
        <f>Tuts!E614</f>
        <v>39.5</v>
      </c>
      <c r="D616" s="18">
        <f>Tuts!J614</f>
        <v>41.614285714285714</v>
      </c>
      <c r="E616" s="13">
        <f>Tuts!D614</f>
        <v>29.13</v>
      </c>
    </row>
    <row r="617" spans="2:5" ht="15.75" hidden="1" customHeight="1">
      <c r="B617" t="str">
        <f>Tuts!B615</f>
        <v>CONEXAO TAPA FURO 3/4 25MM</v>
      </c>
      <c r="C617" s="13">
        <f>Tuts!E615</f>
        <v>13.6</v>
      </c>
      <c r="D617" s="18">
        <f>Tuts!J615</f>
        <v>12.614285714285716</v>
      </c>
      <c r="E617" s="13">
        <f>Tuts!D615</f>
        <v>8.83</v>
      </c>
    </row>
    <row r="618" spans="2:5" ht="15.75" hidden="1" customHeight="1">
      <c r="B618" t="str">
        <f>Tuts!B616</f>
        <v>CONEXAO Tapa Furo Tee Esgoto 100x100</v>
      </c>
      <c r="C618" s="13">
        <f>Tuts!E616</f>
        <v>48.5</v>
      </c>
      <c r="D618" s="18">
        <f>Tuts!J616</f>
        <v>48.128571428571426</v>
      </c>
      <c r="E618" s="13">
        <f>Tuts!D616</f>
        <v>33.69</v>
      </c>
    </row>
    <row r="619" spans="2:5" ht="15.75" hidden="1" customHeight="1">
      <c r="B619" t="str">
        <f>Tuts!B617</f>
        <v>CONEXAO Tapa Furo Tee Esgoto 50x50</v>
      </c>
      <c r="C619" s="13">
        <f>Tuts!E617</f>
        <v>35.200000000000003</v>
      </c>
      <c r="D619" s="18">
        <f>Tuts!J617</f>
        <v>33.914285714285711</v>
      </c>
      <c r="E619" s="13">
        <f>Tuts!D617</f>
        <v>23.74</v>
      </c>
    </row>
    <row r="620" spans="2:5" ht="15.75" hidden="1" customHeight="1">
      <c r="B620" t="str">
        <f>Tuts!B618</f>
        <v>CONEXAO TEE AZUL AZ 3/4X1/2</v>
      </c>
      <c r="C620" s="13">
        <f>Tuts!E618</f>
        <v>8.5</v>
      </c>
      <c r="D620" s="18">
        <f>Tuts!J618</f>
        <v>7.7142857142857153</v>
      </c>
      <c r="E620" s="13">
        <f>Tuts!D618</f>
        <v>5.4</v>
      </c>
    </row>
    <row r="621" spans="2:5" ht="15.75" hidden="1" customHeight="1">
      <c r="B621" t="str">
        <f>Tuts!B619</f>
        <v>CONEXAO TEE AZUL AZ 3/4X25</v>
      </c>
      <c r="C621" s="13">
        <f>Tuts!E619</f>
        <v>2.2999999999999998</v>
      </c>
      <c r="D621" s="18">
        <f>Tuts!J619</f>
        <v>8.5571428571428587</v>
      </c>
      <c r="E621" s="13">
        <f>Tuts!D619</f>
        <v>5.99</v>
      </c>
    </row>
    <row r="622" spans="2:5" ht="15.75" hidden="1" customHeight="1">
      <c r="B622" t="str">
        <f>Tuts!B620</f>
        <v>CONEXAO TEE ESGOTO 100x50</v>
      </c>
      <c r="C622" s="13">
        <f>Tuts!E620</f>
        <v>19</v>
      </c>
      <c r="D622" s="18">
        <f>Tuts!J620</f>
        <v>17.328571428571429</v>
      </c>
      <c r="E622" s="13">
        <f>Tuts!D620</f>
        <v>12.13</v>
      </c>
    </row>
    <row r="623" spans="2:5" ht="15.75" hidden="1" customHeight="1">
      <c r="B623" t="str">
        <f>Tuts!B621</f>
        <v>CONEXAO TEE ESGOTO 100x75</v>
      </c>
      <c r="C623" s="13">
        <f>Tuts!E621</f>
        <v>17.5</v>
      </c>
      <c r="D623" s="18">
        <f>Tuts!J621</f>
        <v>18.957142857142859</v>
      </c>
      <c r="E623" s="13">
        <f>Tuts!D621</f>
        <v>13.27</v>
      </c>
    </row>
    <row r="624" spans="2:5" ht="15.75" hidden="1" customHeight="1">
      <c r="B624" t="str">
        <f>Tuts!B622</f>
        <v>CONEXAO TEE ESGOTO AA 40 PLASTILIT</v>
      </c>
      <c r="C624" s="13">
        <f>Tuts!E622</f>
        <v>3</v>
      </c>
      <c r="D624" s="18">
        <f>Tuts!J622</f>
        <v>2.7142857142857144</v>
      </c>
      <c r="E624" s="13">
        <f>Tuts!D622</f>
        <v>1.9</v>
      </c>
    </row>
    <row r="625" spans="2:5" ht="15.75" hidden="1" customHeight="1">
      <c r="B625" t="str">
        <f>Tuts!B623</f>
        <v>CONEXAO TEE ESGOTO BB 50</v>
      </c>
      <c r="C625" s="13">
        <f>Tuts!E623</f>
        <v>8</v>
      </c>
      <c r="D625" s="18">
        <f>Tuts!J623</f>
        <v>7.128571428571429</v>
      </c>
      <c r="E625" s="13">
        <f>Tuts!D623</f>
        <v>4.99</v>
      </c>
    </row>
    <row r="626" spans="2:5" ht="15.75" hidden="1" customHeight="1">
      <c r="B626" t="str">
        <f>Tuts!B624</f>
        <v>CONEXAO TEE ESGOTO CC 75</v>
      </c>
      <c r="C626" s="13">
        <f>Tuts!E624</f>
        <v>13.9</v>
      </c>
      <c r="D626" s="18">
        <f>Tuts!J624</f>
        <v>12.842857142857143</v>
      </c>
      <c r="E626" s="13">
        <f>Tuts!D624</f>
        <v>8.99</v>
      </c>
    </row>
    <row r="627" spans="2:5" ht="15.75" hidden="1" customHeight="1">
      <c r="B627" t="str">
        <f>Tuts!B625</f>
        <v>CONEXAO TEE ESGOTO DD 100</v>
      </c>
      <c r="C627" s="13">
        <f>Tuts!E625</f>
        <v>13.9</v>
      </c>
      <c r="D627" s="18">
        <f>Tuts!J625</f>
        <v>12.842857142857143</v>
      </c>
      <c r="E627" s="13">
        <f>Tuts!D625</f>
        <v>8.99</v>
      </c>
    </row>
    <row r="628" spans="2:5" ht="15.75" hidden="1" customHeight="1">
      <c r="B628" t="str">
        <f>Tuts!B626</f>
        <v>CONEXAO TEE SOLD 25x25</v>
      </c>
      <c r="C628" s="13">
        <f>Tuts!E626</f>
        <v>2</v>
      </c>
      <c r="D628" s="18">
        <f>Tuts!J626</f>
        <v>0.98571428571428565</v>
      </c>
      <c r="E628" s="13">
        <f>Tuts!D626</f>
        <v>0.69</v>
      </c>
    </row>
    <row r="629" spans="2:5" ht="15.75" hidden="1" customHeight="1">
      <c r="B629" t="str">
        <f>Tuts!B627</f>
        <v>CONEXAO TEE SOLD 32x25</v>
      </c>
      <c r="C629" s="13">
        <f>Tuts!E627</f>
        <v>7.2</v>
      </c>
      <c r="D629" s="18">
        <f>Tuts!J627</f>
        <v>7.5714285714285721</v>
      </c>
      <c r="E629" s="13">
        <f>Tuts!D627</f>
        <v>5.3</v>
      </c>
    </row>
    <row r="630" spans="2:5" ht="15.75" hidden="1" customHeight="1">
      <c r="B630" t="str">
        <f>Tuts!B628</f>
        <v>CONEXAO TEE SOLD 32X32</v>
      </c>
      <c r="C630" s="13">
        <f>Tuts!E628</f>
        <v>6</v>
      </c>
      <c r="D630" s="18">
        <f>Tuts!J628</f>
        <v>5.3571428571428577</v>
      </c>
      <c r="E630" s="13">
        <f>Tuts!D628</f>
        <v>3.75</v>
      </c>
    </row>
    <row r="631" spans="2:5" ht="15.75" hidden="1" customHeight="1">
      <c r="B631" t="str">
        <f>Tuts!B629</f>
        <v>CONEXAO TEE SOLD 50x25</v>
      </c>
      <c r="C631" s="13">
        <f>Tuts!E629</f>
        <v>10</v>
      </c>
      <c r="D631" s="18">
        <f>Tuts!J629</f>
        <v>9.9142857142857146</v>
      </c>
      <c r="E631" s="13">
        <f>Tuts!D629</f>
        <v>6.94</v>
      </c>
    </row>
    <row r="632" spans="2:5" ht="15.75" hidden="1" customHeight="1">
      <c r="B632" t="str">
        <f>Tuts!B630</f>
        <v>CONEXAO TEE SOLD 50X32</v>
      </c>
      <c r="C632" s="13">
        <f>Tuts!E630</f>
        <v>18</v>
      </c>
      <c r="D632" s="18">
        <f>Tuts!J630</f>
        <v>16.385714285714286</v>
      </c>
      <c r="E632" s="13">
        <f>Tuts!D630</f>
        <v>11.47</v>
      </c>
    </row>
    <row r="633" spans="2:5" ht="15.75" hidden="1" customHeight="1">
      <c r="B633" t="str">
        <f>Tuts!B631</f>
        <v>CONEXAO TEE SOLD 50x50</v>
      </c>
      <c r="C633" s="13">
        <f>Tuts!E631</f>
        <v>10.5</v>
      </c>
      <c r="D633" s="18">
        <f>Tuts!J631</f>
        <v>9.7142857142857153</v>
      </c>
      <c r="E633" s="13">
        <f>Tuts!D631</f>
        <v>6.8</v>
      </c>
    </row>
    <row r="634" spans="2:5" ht="15.75" hidden="1" customHeight="1">
      <c r="B634" t="str">
        <f>Tuts!B632</f>
        <v>CONEXAO UNIAO INTERNA METAL FUNDIDO 1</v>
      </c>
      <c r="C634" s="13">
        <f>Tuts!E632</f>
        <v>35</v>
      </c>
      <c r="D634" s="18">
        <f>Tuts!J632</f>
        <v>32</v>
      </c>
      <c r="E634" s="13">
        <f>Tuts!D632</f>
        <v>22.4</v>
      </c>
    </row>
    <row r="635" spans="2:5" ht="15.75" hidden="1" customHeight="1">
      <c r="B635" t="str">
        <f>Tuts!B633</f>
        <v>CONEXAO UNIAO INTERNA METAL FUNDIDO 1/2</v>
      </c>
      <c r="C635" s="13">
        <f>Tuts!E633</f>
        <v>24</v>
      </c>
      <c r="D635" s="18">
        <f>Tuts!J633</f>
        <v>22.285714285714288</v>
      </c>
      <c r="E635" s="13">
        <f>Tuts!D633</f>
        <v>15.6</v>
      </c>
    </row>
    <row r="636" spans="2:5" ht="15.75" hidden="1" customHeight="1">
      <c r="B636" t="str">
        <f>Tuts!B634</f>
        <v>CONEXAO UNIAO SOLDAVEL 40MM</v>
      </c>
      <c r="C636" s="13">
        <f>Tuts!E634</f>
        <v>42</v>
      </c>
      <c r="D636" s="18">
        <f>Tuts!J634</f>
        <v>38.571428571428577</v>
      </c>
      <c r="E636" s="13">
        <f>Tuts!D634</f>
        <v>27</v>
      </c>
    </row>
    <row r="637" spans="2:5" ht="15.75" hidden="1" customHeight="1">
      <c r="B637" t="str">
        <f>Tuts!B635</f>
        <v>CONEXAO UNIAO SOLDAVEL 50MM</v>
      </c>
      <c r="C637" s="13">
        <f>Tuts!E635</f>
        <v>50</v>
      </c>
      <c r="D637" s="18">
        <f>Tuts!J635</f>
        <v>44.857142857142861</v>
      </c>
      <c r="E637" s="13">
        <f>Tuts!D635</f>
        <v>31.4</v>
      </c>
    </row>
    <row r="638" spans="2:5" ht="15.75" hidden="1" customHeight="1">
      <c r="B638" t="str">
        <f>Tuts!B636</f>
        <v>Conjunto Banheiro Alpha Branco/Madeirado</v>
      </c>
      <c r="C638" s="13">
        <f>Tuts!E636</f>
        <v>335</v>
      </c>
      <c r="D638" s="18">
        <f>Tuts!J636</f>
        <v>327.14285714285717</v>
      </c>
      <c r="E638" s="13">
        <f>Tuts!D636</f>
        <v>229</v>
      </c>
    </row>
    <row r="639" spans="2:5" ht="15.75" hidden="1" customHeight="1">
      <c r="B639" t="str">
        <f>Tuts!B637</f>
        <v>Conjunto Banheiro Lion com Cuba Branco/Preto</v>
      </c>
      <c r="C639" s="13">
        <f>Tuts!E637</f>
        <v>452</v>
      </c>
      <c r="D639" s="18">
        <f>Tuts!J637</f>
        <v>478.57142857142861</v>
      </c>
      <c r="E639" s="13">
        <f>Tuts!D637</f>
        <v>335</v>
      </c>
    </row>
    <row r="640" spans="2:5" ht="15.75" hidden="1" customHeight="1">
      <c r="B640" t="str">
        <f>Tuts!B638</f>
        <v>Conjunto Banheiro Master Branco/Rústico</v>
      </c>
      <c r="C640" s="13">
        <f>Tuts!E638</f>
        <v>334</v>
      </c>
      <c r="D640" s="18">
        <f>Tuts!J638</f>
        <v>352.85714285714289</v>
      </c>
      <c r="E640" s="13">
        <f>Tuts!D638</f>
        <v>247</v>
      </c>
    </row>
    <row r="641" spans="2:5" ht="15.75" hidden="1" customHeight="1">
      <c r="B641" t="str">
        <f>Tuts!B639</f>
        <v>CONTATORA 12A</v>
      </c>
      <c r="C641" s="13">
        <f>Tuts!E639</f>
        <v>73</v>
      </c>
      <c r="D641" s="18">
        <f>Tuts!J639</f>
        <v>67.3</v>
      </c>
      <c r="E641" s="13">
        <f>Tuts!D639</f>
        <v>47.11</v>
      </c>
    </row>
    <row r="642" spans="2:5" ht="15.75" hidden="1" customHeight="1">
      <c r="B642" t="str">
        <f>Tuts!B640</f>
        <v>CONTATORA 18A</v>
      </c>
      <c r="C642" s="13">
        <f>Tuts!E640</f>
        <v>84</v>
      </c>
      <c r="D642" s="18">
        <f>Tuts!J640</f>
        <v>77.8857142857143</v>
      </c>
      <c r="E642" s="13">
        <f>Tuts!D640</f>
        <v>54.52</v>
      </c>
    </row>
    <row r="643" spans="2:5" ht="15.75" hidden="1" customHeight="1">
      <c r="B643" t="str">
        <f>Tuts!B641</f>
        <v>CONTROLE REMOTO VENTILADOR</v>
      </c>
      <c r="C643" s="13">
        <f>Tuts!E641</f>
        <v>114</v>
      </c>
      <c r="D643" s="18">
        <f>Tuts!J641</f>
        <v>105.6857142857143</v>
      </c>
      <c r="E643" s="13">
        <f>Tuts!D641</f>
        <v>73.98</v>
      </c>
    </row>
    <row r="644" spans="2:5" ht="15.75" hidden="1" customHeight="1">
      <c r="B644" t="str">
        <f>Tuts!B642</f>
        <v>CONTROLE VENTILADOR 1 LAMPADA C/ TOMADA</v>
      </c>
      <c r="C644" s="13">
        <f>Tuts!E642</f>
        <v>35</v>
      </c>
      <c r="D644" s="18">
        <f>Tuts!J642</f>
        <v>26.142857142857146</v>
      </c>
      <c r="E644" s="13">
        <f>Tuts!D642</f>
        <v>18.3</v>
      </c>
    </row>
    <row r="645" spans="2:5" ht="15.75" hidden="1" customHeight="1">
      <c r="B645" t="str">
        <f>Tuts!B643</f>
        <v>Controle Ventilador Oscilante Bivolt Soprepor Externo</v>
      </c>
      <c r="C645" s="13">
        <f>Tuts!E643</f>
        <v>22.5</v>
      </c>
      <c r="D645" s="18">
        <f>Tuts!J643</f>
        <v>18.557142857142857</v>
      </c>
      <c r="E645" s="13">
        <f>Tuts!D643</f>
        <v>12.99</v>
      </c>
    </row>
    <row r="646" spans="2:5" ht="15.75" hidden="1" customHeight="1">
      <c r="B646" t="str">
        <f>Tuts!B644</f>
        <v>CONTROLE VENTILADOR TRIO 2 LAMPADAS C/ CAPACITOR</v>
      </c>
      <c r="C646" s="13">
        <f>Tuts!E644</f>
        <v>35</v>
      </c>
      <c r="D646" s="18">
        <f>Tuts!J644</f>
        <v>32.142857142857146</v>
      </c>
      <c r="E646" s="13">
        <f>Tuts!D644</f>
        <v>22.5</v>
      </c>
    </row>
    <row r="647" spans="2:5" ht="15.75" hidden="1" customHeight="1">
      <c r="B647" t="str">
        <f>Tuts!B645</f>
        <v>CONTROLE VENTILADOR TRIO 3+7 UF C/ CAPACITOR</v>
      </c>
      <c r="C647" s="13">
        <f>Tuts!E645</f>
        <v>34</v>
      </c>
      <c r="D647" s="18">
        <f>Tuts!J645</f>
        <v>28.428571428571427</v>
      </c>
      <c r="E647" s="13">
        <f>Tuts!D645</f>
        <v>19.899999999999999</v>
      </c>
    </row>
    <row r="648" spans="2:5" ht="15.75" hidden="1" customHeight="1">
      <c r="B648" t="str">
        <f>Tuts!B646</f>
        <v xml:space="preserve">CONTROLE VENTILADOR TRIO OSCILANTE C/ BOTAO </v>
      </c>
      <c r="C648" s="13">
        <f>Tuts!E646</f>
        <v>21</v>
      </c>
      <c r="D648" s="18">
        <f>Tuts!J646</f>
        <v>18.557142857142857</v>
      </c>
      <c r="E648" s="13">
        <f>Tuts!D646</f>
        <v>12.99</v>
      </c>
    </row>
    <row r="649" spans="2:5" ht="15.75" hidden="1" customHeight="1">
      <c r="B649" t="str">
        <f>Tuts!B647</f>
        <v>CORANTE EM PÓ TINGECOR GUARANY</v>
      </c>
      <c r="C649" s="13">
        <f>Tuts!E647</f>
        <v>4.5</v>
      </c>
      <c r="D649" s="18">
        <f>Tuts!J647</f>
        <v>3.9000000000000004</v>
      </c>
      <c r="E649" s="13">
        <f>Tuts!D647</f>
        <v>2.73</v>
      </c>
    </row>
    <row r="650" spans="2:5" ht="15.75" hidden="1" customHeight="1">
      <c r="B650" t="str">
        <f>Tuts!B648</f>
        <v>CORANTE HIDRACOR LIQUIDO BRANCO</v>
      </c>
      <c r="C650" s="13">
        <f>Tuts!E648</f>
        <v>7</v>
      </c>
      <c r="D650" s="18">
        <f>Tuts!J648</f>
        <v>6.6428571428571441</v>
      </c>
      <c r="E650" s="13">
        <f>Tuts!D648</f>
        <v>4.6500000000000004</v>
      </c>
    </row>
    <row r="651" spans="2:5" ht="15.75" hidden="1" customHeight="1">
      <c r="B651" t="str">
        <f>Tuts!B649</f>
        <v>CORANTE HIDRACOR LIQUIDO CORES</v>
      </c>
      <c r="C651" s="13">
        <f>Tuts!E649</f>
        <v>5</v>
      </c>
      <c r="D651" s="18">
        <f>Tuts!J649</f>
        <v>4.2714285714285722</v>
      </c>
      <c r="E651" s="13">
        <f>Tuts!D649</f>
        <v>2.99</v>
      </c>
    </row>
    <row r="652" spans="2:5" ht="15.75" hidden="1" customHeight="1">
      <c r="B652" t="str">
        <f>Tuts!B650</f>
        <v>CORDA 3MM</v>
      </c>
      <c r="C652" s="13">
        <f>Tuts!E650</f>
        <v>0.6</v>
      </c>
      <c r="D652" s="18">
        <f>Tuts!J650</f>
        <v>0.52857142857142858</v>
      </c>
      <c r="E652" s="13">
        <f>Tuts!D650</f>
        <v>0.37</v>
      </c>
    </row>
    <row r="653" spans="2:5" ht="15.75" hidden="1" customHeight="1">
      <c r="B653" t="str">
        <f>Tuts!B651</f>
        <v>Corda Pet 05mm (155 mt)</v>
      </c>
      <c r="C653" s="13">
        <f>Tuts!E651</f>
        <v>178.25</v>
      </c>
      <c r="D653" s="18">
        <f>Tuts!J651</f>
        <v>128.42857142857144</v>
      </c>
      <c r="E653" s="13">
        <f>Tuts!D651</f>
        <v>89.9</v>
      </c>
    </row>
    <row r="654" spans="2:5" ht="15.75" hidden="1" customHeight="1">
      <c r="B654" t="str">
        <f>Tuts!B652</f>
        <v>Corda Pet 06mm (150 mt)</v>
      </c>
      <c r="C654" s="13">
        <f>Tuts!E652</f>
        <v>270</v>
      </c>
      <c r="D654" s="18">
        <f>Tuts!J652</f>
        <v>122.82857142857144</v>
      </c>
      <c r="E654" s="13">
        <f>Tuts!D652</f>
        <v>85.98</v>
      </c>
    </row>
    <row r="655" spans="2:5" ht="15.75" hidden="1" customHeight="1">
      <c r="B655" t="str">
        <f>Tuts!B653</f>
        <v>CORDA SEDA BRANCA TRANCADA 19MM</v>
      </c>
      <c r="C655" s="13">
        <f>Tuts!E653</f>
        <v>6.4</v>
      </c>
      <c r="D655" s="18">
        <f>Tuts!J653</f>
        <v>5.9</v>
      </c>
      <c r="E655" s="13">
        <f>Tuts!D653</f>
        <v>4.13</v>
      </c>
    </row>
    <row r="656" spans="2:5" ht="15.75" hidden="1" customHeight="1">
      <c r="B656" t="str">
        <f>Tuts!B654</f>
        <v>CORDINHA DE CADEIRA</v>
      </c>
      <c r="C656" s="13">
        <f>Tuts!E654</f>
        <v>30</v>
      </c>
      <c r="D656" s="18">
        <f>Tuts!J654</f>
        <v>26.428571428571431</v>
      </c>
      <c r="E656" s="13">
        <f>Tuts!D654</f>
        <v>18.5</v>
      </c>
    </row>
    <row r="657" spans="2:5" ht="15.75" hidden="1" customHeight="1">
      <c r="B657" t="str">
        <f>Tuts!B655</f>
        <v>CORRENTE XAXIM 44CM</v>
      </c>
      <c r="C657" s="13">
        <f>Tuts!E655</f>
        <v>3.95</v>
      </c>
      <c r="D657" s="18">
        <f>Tuts!J655</f>
        <v>3.6571428571428575</v>
      </c>
      <c r="E657" s="13">
        <f>Tuts!D655</f>
        <v>2.56</v>
      </c>
    </row>
    <row r="658" spans="2:5" ht="15.75" hidden="1" customHeight="1">
      <c r="B658" t="str">
        <f>Tuts!B656</f>
        <v>CORRENTE XAXIM 64CM</v>
      </c>
      <c r="C658" s="13">
        <f>Tuts!E656</f>
        <v>5.7</v>
      </c>
      <c r="D658" s="18">
        <f>Tuts!J656</f>
        <v>5.2</v>
      </c>
      <c r="E658" s="13">
        <f>Tuts!D656</f>
        <v>3.64</v>
      </c>
    </row>
    <row r="659" spans="2:5" ht="15.75" hidden="1" customHeight="1">
      <c r="B659" t="str">
        <f>Tuts!B657</f>
        <v>CORRENTE ZINCADA 3MM (MT)</v>
      </c>
      <c r="C659" s="13">
        <f>Tuts!E657</f>
        <v>10.7</v>
      </c>
      <c r="D659" s="18">
        <f>Tuts!J657</f>
        <v>9.8571428571428577</v>
      </c>
      <c r="E659" s="13">
        <f>Tuts!D657</f>
        <v>6.9</v>
      </c>
    </row>
    <row r="660" spans="2:5" ht="15.75" hidden="1" customHeight="1">
      <c r="B660" t="str">
        <f>Tuts!B658</f>
        <v>CORRENTE ZINCADA 6MM (MT)</v>
      </c>
      <c r="C660" s="13">
        <f>Tuts!E658</f>
        <v>28</v>
      </c>
      <c r="D660" s="18">
        <f>Tuts!J658</f>
        <v>27.942857142857143</v>
      </c>
      <c r="E660" s="13">
        <f>Tuts!D658</f>
        <v>19.559999999999999</v>
      </c>
    </row>
    <row r="661" spans="2:5" ht="15.75" hidden="1" customHeight="1">
      <c r="B661" t="str">
        <f>Tuts!B659</f>
        <v>CORTAG ALICATE NIVELAMENTO PISO</v>
      </c>
      <c r="C661" s="13">
        <f>Tuts!E659</f>
        <v>82.9</v>
      </c>
      <c r="D661" s="18">
        <f>Tuts!J659</f>
        <v>75.7</v>
      </c>
      <c r="E661" s="13">
        <f>Tuts!D659</f>
        <v>52.99</v>
      </c>
    </row>
    <row r="662" spans="2:5" ht="15.75" hidden="1" customHeight="1">
      <c r="B662" t="str">
        <f>Tuts!B660</f>
        <v xml:space="preserve">COTOVELO P/ CANALETA </v>
      </c>
      <c r="C662" s="13">
        <f>Tuts!E660</f>
        <v>2</v>
      </c>
      <c r="D662" s="18">
        <f>Tuts!J660</f>
        <v>1.4714285714285715</v>
      </c>
      <c r="E662" s="13">
        <f>Tuts!D660</f>
        <v>1.03</v>
      </c>
    </row>
    <row r="663" spans="2:5" ht="15.75" hidden="1" customHeight="1">
      <c r="B663" t="str">
        <f>Tuts!B661</f>
        <v>CRONOS GRELHA COM COLETOR ESCOVADO 15X50 C/ TELA</v>
      </c>
      <c r="C663" s="13">
        <f>Tuts!E661</f>
        <v>82</v>
      </c>
      <c r="D663" s="18">
        <f>Tuts!J661</f>
        <v>74.600000000000009</v>
      </c>
      <c r="E663" s="13">
        <f>Tuts!D661</f>
        <v>52.22</v>
      </c>
    </row>
    <row r="664" spans="2:5" ht="15.75" hidden="1" customHeight="1">
      <c r="B664" t="str">
        <f>Tuts!B662</f>
        <v>CRONOS GRELHA COM COLETOR ESCOVADO 20X20 C/ TELA</v>
      </c>
      <c r="C664" s="13">
        <f>Tuts!E662</f>
        <v>53</v>
      </c>
      <c r="D664" s="18">
        <f>Tuts!J662</f>
        <v>49</v>
      </c>
      <c r="E664" s="13">
        <f>Tuts!D662</f>
        <v>34.299999999999997</v>
      </c>
    </row>
    <row r="665" spans="2:5" ht="15.75" hidden="1" customHeight="1">
      <c r="B665" t="str">
        <f>Tuts!B663</f>
        <v>CRONOS GRELHA COM COLETOR ESCOVADO 20X30 C/ TELA</v>
      </c>
      <c r="C665" s="13">
        <f>Tuts!E663</f>
        <v>72.8</v>
      </c>
      <c r="D665" s="18">
        <f>Tuts!J663</f>
        <v>65.314285714285717</v>
      </c>
      <c r="E665" s="13">
        <f>Tuts!D663</f>
        <v>45.72</v>
      </c>
    </row>
    <row r="666" spans="2:5" ht="15.75" hidden="1" customHeight="1">
      <c r="B666" t="str">
        <f>Tuts!B664</f>
        <v>CRONOS GRELHA COM COLETOR ESCOVADO 30X30 C/ TELA</v>
      </c>
      <c r="C666" s="13">
        <f>Tuts!E664</f>
        <v>105</v>
      </c>
      <c r="D666" s="18">
        <f>Tuts!J664</f>
        <v>96.44285714285715</v>
      </c>
      <c r="E666" s="13">
        <f>Tuts!D664</f>
        <v>67.510000000000005</v>
      </c>
    </row>
    <row r="667" spans="2:5" ht="15.75" hidden="1" customHeight="1">
      <c r="B667" t="str">
        <f>Tuts!B665</f>
        <v>CRONOS RALO OCULTO PVC 10X10</v>
      </c>
      <c r="C667" s="13">
        <f>Tuts!E665</f>
        <v>23</v>
      </c>
      <c r="D667" s="18">
        <f>Tuts!J665</f>
        <v>21.185714285714287</v>
      </c>
      <c r="E667" s="13">
        <f>Tuts!D665</f>
        <v>14.83</v>
      </c>
    </row>
    <row r="668" spans="2:5" ht="15.75" hidden="1" customHeight="1">
      <c r="B668" t="str">
        <f>Tuts!B666</f>
        <v>CRONOS RALO OCULTO PVC 10X10</v>
      </c>
      <c r="C668" s="13">
        <f>Tuts!E666</f>
        <v>31</v>
      </c>
      <c r="D668" s="18">
        <f>Tuts!J666</f>
        <v>27</v>
      </c>
      <c r="E668" s="13">
        <f>Tuts!D666</f>
        <v>18.899999999999999</v>
      </c>
    </row>
    <row r="669" spans="2:5" ht="15.75" hidden="1" customHeight="1">
      <c r="B669" t="str">
        <f>Tuts!B667</f>
        <v>CRONOS SUPORTE LIXA MANUAL/EXTENSOR</v>
      </c>
      <c r="C669" s="13">
        <f>Tuts!E667</f>
        <v>39.9</v>
      </c>
      <c r="D669" s="18">
        <f>Tuts!J667</f>
        <v>36.071428571428577</v>
      </c>
      <c r="E669" s="13">
        <f>Tuts!D667</f>
        <v>25.25</v>
      </c>
    </row>
    <row r="670" spans="2:5" ht="15.75" hidden="1" customHeight="1">
      <c r="B670" t="str">
        <f>Tuts!B668</f>
        <v>CUBA CELITE EMBUTIR 39X30</v>
      </c>
      <c r="C670" s="13">
        <f>Tuts!E668</f>
        <v>74.8</v>
      </c>
      <c r="D670" s="18">
        <f>Tuts!J668</f>
        <v>68.428571428571431</v>
      </c>
      <c r="E670" s="13">
        <f>Tuts!D668</f>
        <v>47.9</v>
      </c>
    </row>
    <row r="671" spans="2:5" ht="15.75" hidden="1" customHeight="1">
      <c r="B671" t="str">
        <f>Tuts!B669</f>
        <v>CUBA CELITE EMBUTIR 49X32</v>
      </c>
      <c r="C671" s="13">
        <f>Tuts!E669</f>
        <v>93.9</v>
      </c>
      <c r="D671" s="18">
        <f>Tuts!J669</f>
        <v>85.571428571428569</v>
      </c>
      <c r="E671" s="13">
        <f>Tuts!D669</f>
        <v>59.9</v>
      </c>
    </row>
    <row r="672" spans="2:5" ht="15.75" hidden="1" customHeight="1">
      <c r="B672" t="str">
        <f>Tuts!B670</f>
        <v>CUNHA CORTAG C/ 50PCS</v>
      </c>
      <c r="C672" s="13">
        <f>Tuts!E670</f>
        <v>34</v>
      </c>
      <c r="D672" s="18">
        <f>Tuts!J670</f>
        <v>30.714285714285715</v>
      </c>
      <c r="E672" s="13">
        <f>Tuts!D670</f>
        <v>21.5</v>
      </c>
    </row>
    <row r="673" spans="2:5" ht="15.75" hidden="1" customHeight="1">
      <c r="B673" t="str">
        <f>Tuts!B671</f>
        <v>CUNHA NIVELADORA DEPLASTI</v>
      </c>
      <c r="C673" s="13">
        <f>Tuts!E671</f>
        <v>12.5</v>
      </c>
      <c r="D673" s="18">
        <f>Tuts!J671</f>
        <v>11.414285714285715</v>
      </c>
      <c r="E673" s="13">
        <f>Tuts!D671</f>
        <v>7.99</v>
      </c>
    </row>
    <row r="674" spans="2:5" ht="15.75" hidden="1" customHeight="1">
      <c r="B674" t="str">
        <f>Tuts!B672</f>
        <v>CUNHA PARA ENXADA</v>
      </c>
      <c r="C674" s="13">
        <f>Tuts!E672</f>
        <v>3</v>
      </c>
      <c r="D674" s="18">
        <f>Tuts!J672</f>
        <v>0.85714285714285721</v>
      </c>
      <c r="E674" s="13">
        <f>Tuts!D672</f>
        <v>0.6</v>
      </c>
    </row>
    <row r="675" spans="2:5" ht="15.75" hidden="1" customHeight="1">
      <c r="B675" t="str">
        <f>Tuts!B673</f>
        <v>D'DIAS ACABAMENTO C50/52</v>
      </c>
      <c r="C675" s="13">
        <f>Tuts!E673</f>
        <v>23.8</v>
      </c>
      <c r="D675" s="18">
        <f>Tuts!J673</f>
        <v>21.428571428571431</v>
      </c>
      <c r="E675" s="13">
        <f>Tuts!D673</f>
        <v>15</v>
      </c>
    </row>
    <row r="676" spans="2:5" ht="15.75" hidden="1" customHeight="1">
      <c r="B676" t="str">
        <f>Tuts!B674</f>
        <v>D'DIAS CONVERSOL DECA X DOCOL</v>
      </c>
      <c r="C676" s="13">
        <f>Tuts!E674</f>
        <v>9.5</v>
      </c>
      <c r="D676" s="18">
        <f>Tuts!J674</f>
        <v>6.4285714285714288</v>
      </c>
      <c r="E676" s="13">
        <f>Tuts!D674</f>
        <v>4.5</v>
      </c>
    </row>
    <row r="677" spans="2:5" ht="15.75" hidden="1" customHeight="1">
      <c r="B677" t="str">
        <f>Tuts!B675</f>
        <v>D'DIAS ENGATE DUCHA HIGIENICA 120CM</v>
      </c>
      <c r="C677" s="13">
        <f>Tuts!E675</f>
        <v>23.5</v>
      </c>
      <c r="D677" s="18">
        <f>Tuts!J675</f>
        <v>21.428571428571431</v>
      </c>
      <c r="E677" s="13">
        <f>Tuts!D675</f>
        <v>15</v>
      </c>
    </row>
    <row r="678" spans="2:5" ht="15.75" hidden="1" customHeight="1">
      <c r="B678" t="str">
        <f>Tuts!B676</f>
        <v>D'DIAS ENGATE TRANÇADO 40CM</v>
      </c>
      <c r="C678" s="13">
        <f>Tuts!E676</f>
        <v>22.5</v>
      </c>
      <c r="D678" s="18">
        <f>Tuts!J676</f>
        <v>20.714285714285715</v>
      </c>
      <c r="E678" s="13">
        <f>Tuts!D676</f>
        <v>14.5</v>
      </c>
    </row>
    <row r="679" spans="2:5" ht="15.75" hidden="1" customHeight="1">
      <c r="B679" t="str">
        <f>Tuts!B677</f>
        <v>D'DIAS ENGATE TRANÇADO 60CM</v>
      </c>
      <c r="C679" s="13">
        <f>Tuts!E677</f>
        <v>26.9</v>
      </c>
      <c r="D679" s="18">
        <f>Tuts!J677</f>
        <v>23.571428571428573</v>
      </c>
      <c r="E679" s="13">
        <f>Tuts!D677</f>
        <v>16.5</v>
      </c>
    </row>
    <row r="680" spans="2:5" ht="15.75" hidden="1" customHeight="1">
      <c r="B680" t="str">
        <f>Tuts!B678</f>
        <v>D'DIAS GATILHO PARA DUCHA HIGIÊNICA ABS</v>
      </c>
      <c r="C680" s="13">
        <f>Tuts!E678</f>
        <v>23.9</v>
      </c>
      <c r="D680" s="18">
        <f>Tuts!J678</f>
        <v>21.428571428571431</v>
      </c>
      <c r="E680" s="13">
        <f>Tuts!D678</f>
        <v>15</v>
      </c>
    </row>
    <row r="681" spans="2:5" ht="15.75" hidden="1" customHeight="1">
      <c r="B681" t="str">
        <f>Tuts!B679</f>
        <v>D'DIAS GATILHO PARA DUCHA HIGIÊNICA METAL</v>
      </c>
      <c r="C681" s="13">
        <f>Tuts!E679</f>
        <v>24.8</v>
      </c>
      <c r="D681" s="18">
        <f>Tuts!J679</f>
        <v>22.142857142857146</v>
      </c>
      <c r="E681" s="13">
        <f>Tuts!D679</f>
        <v>15.5</v>
      </c>
    </row>
    <row r="682" spans="2:5" ht="15.75" hidden="1" customHeight="1">
      <c r="B682" t="str">
        <f>Tuts!B680</f>
        <v>D'DIAS JUNCAO Y</v>
      </c>
      <c r="C682" s="13">
        <f>Tuts!E680</f>
        <v>17</v>
      </c>
      <c r="D682" s="18">
        <f>Tuts!J680</f>
        <v>14.285714285714286</v>
      </c>
      <c r="E682" s="13">
        <f>Tuts!D680</f>
        <v>10</v>
      </c>
    </row>
    <row r="683" spans="2:5" ht="15.75" hidden="1" customHeight="1">
      <c r="B683" t="str">
        <f>Tuts!B681</f>
        <v>D'DIAS KIT DUCHA HIGIENICA ABS</v>
      </c>
      <c r="C683" s="13">
        <f>Tuts!E681</f>
        <v>59</v>
      </c>
      <c r="D683" s="18">
        <f>Tuts!J681</f>
        <v>54.285714285714292</v>
      </c>
      <c r="E683" s="13">
        <f>Tuts!D681</f>
        <v>38</v>
      </c>
    </row>
    <row r="684" spans="2:5" ht="15.75" hidden="1" customHeight="1">
      <c r="B684" t="str">
        <f>Tuts!B682</f>
        <v xml:space="preserve">D'DIAS KIT DUCHA HIGIENICA METAL </v>
      </c>
      <c r="C684" s="13">
        <f>Tuts!E682</f>
        <v>68</v>
      </c>
      <c r="D684" s="18">
        <f>Tuts!J682</f>
        <v>62.857142857142861</v>
      </c>
      <c r="E684" s="13">
        <f>Tuts!D682</f>
        <v>44</v>
      </c>
    </row>
    <row r="685" spans="2:5" ht="15.75" hidden="1" customHeight="1">
      <c r="B685" t="str">
        <f>Tuts!B683</f>
        <v>D'DIAS MECANISMO M22 1/4 DE VOLTA</v>
      </c>
      <c r="C685" s="13">
        <f>Tuts!E683</f>
        <v>19.5</v>
      </c>
      <c r="D685" s="18">
        <f>Tuts!J683</f>
        <v>17.857142857142858</v>
      </c>
      <c r="E685" s="13">
        <f>Tuts!D683</f>
        <v>12.5</v>
      </c>
    </row>
    <row r="686" spans="2:5" ht="15.75" hidden="1" customHeight="1">
      <c r="B686" t="str">
        <f>Tuts!B684</f>
        <v>D'DIAS MECANISMO PARADO</v>
      </c>
      <c r="C686" s="13">
        <f>Tuts!E684</f>
        <v>21</v>
      </c>
      <c r="D686" s="18">
        <f>Tuts!J684</f>
        <v>18.571428571428573</v>
      </c>
      <c r="E686" s="13">
        <f>Tuts!D684</f>
        <v>13</v>
      </c>
    </row>
    <row r="687" spans="2:5" ht="15.75" hidden="1" customHeight="1">
      <c r="B687" t="str">
        <f>Tuts!B685</f>
        <v xml:space="preserve">D'DIAS REGISTRO DE PRESSAO/GAVETA 3/4 </v>
      </c>
      <c r="C687" s="13">
        <f>Tuts!E685</f>
        <v>57</v>
      </c>
      <c r="D687" s="18">
        <f>Tuts!J685</f>
        <v>52.857142857142861</v>
      </c>
      <c r="E687" s="13">
        <f>Tuts!D685</f>
        <v>37</v>
      </c>
    </row>
    <row r="688" spans="2:5" ht="15.75" hidden="1" customHeight="1">
      <c r="B688" t="str">
        <f>Tuts!B686</f>
        <v>D'DIAS TORNEIRA BANCADA BICA RETA</v>
      </c>
      <c r="C688" s="13">
        <f>Tuts!E686</f>
        <v>76</v>
      </c>
      <c r="D688" s="18">
        <f>Tuts!J686</f>
        <v>71.428571428571431</v>
      </c>
      <c r="E688" s="13">
        <f>Tuts!D686</f>
        <v>50</v>
      </c>
    </row>
    <row r="689" spans="2:5" ht="15.75" hidden="1" customHeight="1">
      <c r="B689" t="str">
        <f>Tuts!B687</f>
        <v>D'DIAS TORNEIRA BANCADA GOURMET CROMADA COD1039</v>
      </c>
      <c r="C689" s="13">
        <f>Tuts!E687</f>
        <v>135</v>
      </c>
      <c r="D689" s="18">
        <f>Tuts!J687</f>
        <v>121.42857142857143</v>
      </c>
      <c r="E689" s="13">
        <f>Tuts!D687</f>
        <v>85</v>
      </c>
    </row>
    <row r="690" spans="2:5" ht="15.75" hidden="1" customHeight="1">
      <c r="B690" t="str">
        <f>Tuts!B688</f>
        <v>D'DIAS TORNEIRA BANCADA GOURMET PRETA COD1040</v>
      </c>
      <c r="C690" s="13">
        <f>Tuts!E688</f>
        <v>152</v>
      </c>
      <c r="D690" s="18">
        <f>Tuts!J688</f>
        <v>135.71428571428572</v>
      </c>
      <c r="E690" s="13">
        <f>Tuts!D688</f>
        <v>95</v>
      </c>
    </row>
    <row r="691" spans="2:5" ht="15.75" hidden="1" customHeight="1">
      <c r="B691" t="str">
        <f>Tuts!B689</f>
        <v>D'DIAS TORNEIRA BANCADA MVS C33</v>
      </c>
      <c r="C691" s="13">
        <f>Tuts!E689</f>
        <v>68</v>
      </c>
      <c r="D691" s="18">
        <f>Tuts!J689</f>
        <v>62.857142857142861</v>
      </c>
      <c r="E691" s="13">
        <f>Tuts!D689</f>
        <v>44</v>
      </c>
    </row>
    <row r="692" spans="2:5" ht="15.75" hidden="1" customHeight="1">
      <c r="B692" t="str">
        <f>Tuts!B690</f>
        <v xml:space="preserve">D'DIAS TORNEIRA DE JARDIM AMARELA/CROMADA 1130 </v>
      </c>
      <c r="C692" s="13">
        <f>Tuts!E690</f>
        <v>34</v>
      </c>
      <c r="D692" s="18">
        <f>Tuts!J690</f>
        <v>34.285714285714285</v>
      </c>
      <c r="E692" s="13">
        <f>Tuts!D690</f>
        <v>24</v>
      </c>
    </row>
    <row r="693" spans="2:5" ht="15.75" hidden="1" customHeight="1">
      <c r="B693" t="str">
        <f>Tuts!B691</f>
        <v>D'DIAS TORNEIRA PIA  ALAVANCA 1037</v>
      </c>
      <c r="C693" s="13">
        <f>Tuts!E691</f>
        <v>68</v>
      </c>
      <c r="D693" s="18">
        <f>Tuts!J691</f>
        <v>57.142857142857146</v>
      </c>
      <c r="E693" s="13">
        <f>Tuts!D691</f>
        <v>40</v>
      </c>
    </row>
    <row r="694" spans="2:5" ht="15.75" hidden="1" customHeight="1">
      <c r="B694" t="str">
        <f>Tuts!B692</f>
        <v>D'DIAS TORNEIRA PIA 1158</v>
      </c>
      <c r="C694" s="13">
        <f>Tuts!E692</f>
        <v>63</v>
      </c>
      <c r="D694" s="18">
        <f>Tuts!J692</f>
        <v>58.285714285714285</v>
      </c>
      <c r="E694" s="13">
        <f>Tuts!D692</f>
        <v>40.799999999999997</v>
      </c>
    </row>
    <row r="695" spans="2:5" ht="15.75" hidden="1" customHeight="1">
      <c r="B695" t="str">
        <f>Tuts!B693</f>
        <v>D'DIAS TORNEIRA PIA ALAVANCADA 3/4 C71</v>
      </c>
      <c r="C695" s="13">
        <f>Tuts!E693</f>
        <v>78</v>
      </c>
      <c r="D695" s="18">
        <f>Tuts!J693</f>
        <v>71.428571428571431</v>
      </c>
      <c r="E695" s="13">
        <f>Tuts!D693</f>
        <v>50</v>
      </c>
    </row>
    <row r="696" spans="2:5" ht="15.75" hidden="1" customHeight="1">
      <c r="B696" t="str">
        <f>Tuts!B694</f>
        <v>D'DIAS TORNEIRA PIA BICA RETA</v>
      </c>
      <c r="C696" s="13">
        <f>Tuts!E694</f>
        <v>72</v>
      </c>
      <c r="D696" s="18">
        <f>Tuts!J694</f>
        <v>65.714285714285722</v>
      </c>
      <c r="E696" s="13">
        <f>Tuts!D694</f>
        <v>46</v>
      </c>
    </row>
    <row r="697" spans="2:5" ht="15.75" hidden="1" customHeight="1">
      <c r="B697" t="str">
        <f>Tuts!B695</f>
        <v>D'DIAS TORNEIRA PIA C71 ALAVANCADA 1/2</v>
      </c>
      <c r="C697" s="13">
        <f>Tuts!E695</f>
        <v>62</v>
      </c>
      <c r="D697" s="18">
        <f>Tuts!J695</f>
        <v>57.142857142857146</v>
      </c>
      <c r="E697" s="13">
        <f>Tuts!D695</f>
        <v>40</v>
      </c>
    </row>
    <row r="698" spans="2:5" ht="15.75" hidden="1" customHeight="1">
      <c r="B698" t="str">
        <f>Tuts!B696</f>
        <v>D'DIAS TORNEIRA PIA C71 ALAVANCADA 3/4 BICO ARTICULADO</v>
      </c>
      <c r="C698" s="13">
        <f>Tuts!E696</f>
        <v>81</v>
      </c>
      <c r="D698" s="18">
        <f>Tuts!J696</f>
        <v>77.142857142857153</v>
      </c>
      <c r="E698" s="13">
        <f>Tuts!D696</f>
        <v>54</v>
      </c>
    </row>
    <row r="699" spans="2:5" ht="15.75" hidden="1" customHeight="1">
      <c r="B699" t="str">
        <f>Tuts!B697</f>
        <v>D'DIAS TORNEIRA PIA GOURMET CROMADA COD1038</v>
      </c>
      <c r="C699" s="13">
        <f>Tuts!E697</f>
        <v>125</v>
      </c>
      <c r="D699" s="18">
        <f>Tuts!J697</f>
        <v>107.14285714285715</v>
      </c>
      <c r="E699" s="13">
        <f>Tuts!D697</f>
        <v>75</v>
      </c>
    </row>
    <row r="700" spans="2:5" ht="15.75" hidden="1" customHeight="1">
      <c r="B700" t="str">
        <f>Tuts!B698</f>
        <v>D'DIAS TORNEIRA PIA GOURMET PRETA DOIS JATOS COD 1046</v>
      </c>
      <c r="C700" s="13">
        <f>Tuts!E698</f>
        <v>135</v>
      </c>
      <c r="D700" s="18">
        <f>Tuts!J698</f>
        <v>121.42857142857143</v>
      </c>
      <c r="E700" s="13">
        <f>Tuts!D698</f>
        <v>85</v>
      </c>
    </row>
    <row r="701" spans="2:5" ht="15.75" hidden="1" customHeight="1">
      <c r="B701" t="str">
        <f>Tuts!B699</f>
        <v>D'DIAS TORNEIRA TANQUE MAQUINA COD1043</v>
      </c>
      <c r="C701" s="13">
        <f>Tuts!E699</f>
        <v>84</v>
      </c>
      <c r="D701" s="18">
        <f>Tuts!J699</f>
        <v>77.142857142857153</v>
      </c>
      <c r="E701" s="13">
        <f>Tuts!D699</f>
        <v>54</v>
      </c>
    </row>
    <row r="702" spans="2:5" ht="15.75" hidden="1" customHeight="1">
      <c r="B702" t="str">
        <f>Tuts!B700</f>
        <v>D'DIAS VALVULA AMERICANA</v>
      </c>
      <c r="C702" s="13">
        <f>Tuts!E700</f>
        <v>24.5</v>
      </c>
      <c r="D702" s="18">
        <f>Tuts!J700</f>
        <v>21.428571428571431</v>
      </c>
      <c r="E702" s="13">
        <f>Tuts!D700</f>
        <v>15</v>
      </c>
    </row>
    <row r="703" spans="2:5" ht="15.75" hidden="1" customHeight="1">
      <c r="B703" t="str">
        <f>Tuts!B701</f>
        <v>D'DIAS VALVULA LAVATORIO METAL</v>
      </c>
      <c r="C703" s="13">
        <f>Tuts!E701</f>
        <v>17.8</v>
      </c>
      <c r="D703" s="18">
        <f>Tuts!J701</f>
        <v>16.428571428571431</v>
      </c>
      <c r="E703" s="13">
        <f>Tuts!D701</f>
        <v>11.5</v>
      </c>
    </row>
    <row r="704" spans="2:5" ht="15.75" hidden="1" customHeight="1">
      <c r="B704" t="str">
        <f>Tuts!B702</f>
        <v>D'Dias VALVULA METAL PARA TANQUE COMPLETA</v>
      </c>
      <c r="C704" s="13">
        <f>Tuts!E702</f>
        <v>26</v>
      </c>
      <c r="D704" s="18">
        <f>Tuts!J702</f>
        <v>23.571428571428573</v>
      </c>
      <c r="E704" s="13">
        <f>Tuts!D702</f>
        <v>16.5</v>
      </c>
    </row>
    <row r="705" spans="2:5" ht="15.75" hidden="1" customHeight="1">
      <c r="B705" t="str">
        <f>Tuts!B703</f>
        <v xml:space="preserve">DELFLEX SIFAO LONGO FLEXIVEL </v>
      </c>
      <c r="C705" s="13">
        <f>Tuts!E703</f>
        <v>12</v>
      </c>
      <c r="D705" s="18">
        <f>Tuts!J703</f>
        <v>7.5714285714285721</v>
      </c>
      <c r="E705" s="13">
        <f>Tuts!D703</f>
        <v>5.3</v>
      </c>
    </row>
    <row r="706" spans="2:5" ht="15.75" hidden="1" customHeight="1">
      <c r="B706" t="str">
        <f>Tuts!B704</f>
        <v>DELFLEX SIFAO SANFONADO 1 BOCA</v>
      </c>
      <c r="C706" s="13">
        <f>Tuts!E704</f>
        <v>10</v>
      </c>
      <c r="D706" s="18">
        <f>Tuts!J704</f>
        <v>5.4285714285714288</v>
      </c>
      <c r="E706" s="13">
        <f>Tuts!D704</f>
        <v>3.8</v>
      </c>
    </row>
    <row r="707" spans="2:5" ht="15.75" hidden="1" customHeight="1">
      <c r="B707" t="str">
        <f>Tuts!B705</f>
        <v>DELFLEX SIFAO SANFONADO 2 BOCAS</v>
      </c>
      <c r="C707" s="13">
        <f>Tuts!E705</f>
        <v>18.899999999999999</v>
      </c>
      <c r="D707" s="18">
        <f>Tuts!J705</f>
        <v>18.142857142857142</v>
      </c>
      <c r="E707" s="13">
        <f>Tuts!D705</f>
        <v>12.7</v>
      </c>
    </row>
    <row r="708" spans="2:5" ht="15.75" hidden="1" customHeight="1">
      <c r="B708" t="str">
        <f>Tuts!B706</f>
        <v>DELFLEX SIFAO SANFONADO 3 BOCAS</v>
      </c>
      <c r="C708" s="13">
        <f>Tuts!E706</f>
        <v>19.899999999999999</v>
      </c>
      <c r="D708" s="18">
        <f>Tuts!J706</f>
        <v>16.857142857142858</v>
      </c>
      <c r="E708" s="13">
        <f>Tuts!D706</f>
        <v>11.8</v>
      </c>
    </row>
    <row r="709" spans="2:5" ht="15.75" hidden="1" customHeight="1">
      <c r="B709" t="str">
        <f>Tuts!B707</f>
        <v>DESEMPENADEIRA 15X26</v>
      </c>
      <c r="C709" s="13">
        <f>Tuts!E707</f>
        <v>10.9</v>
      </c>
      <c r="D709" s="18">
        <f>Tuts!J707</f>
        <v>9.571428571428573</v>
      </c>
      <c r="E709" s="13">
        <f>Tuts!D707</f>
        <v>6.7</v>
      </c>
    </row>
    <row r="710" spans="2:5" ht="15.75" hidden="1" customHeight="1">
      <c r="B710" t="str">
        <f>Tuts!B708</f>
        <v>DESEMPENADEIRA 22X34</v>
      </c>
      <c r="C710" s="13">
        <f>Tuts!E708</f>
        <v>23.8</v>
      </c>
      <c r="D710" s="18">
        <f>Tuts!J708</f>
        <v>16.428571428571431</v>
      </c>
      <c r="E710" s="13">
        <f>Tuts!D708</f>
        <v>11.5</v>
      </c>
    </row>
    <row r="711" spans="2:5" ht="15.75" hidden="1" customHeight="1">
      <c r="B711" t="str">
        <f>Tuts!B709</f>
        <v>DESEMPENADEIRA AZUL 12x22</v>
      </c>
      <c r="C711" s="13">
        <f>Tuts!E709</f>
        <v>10</v>
      </c>
      <c r="D711" s="18">
        <f>Tuts!J709</f>
        <v>7.7142857142857153</v>
      </c>
      <c r="E711" s="13">
        <f>Tuts!D709</f>
        <v>5.4</v>
      </c>
    </row>
    <row r="712" spans="2:5" ht="15.75" hidden="1" customHeight="1">
      <c r="B712" t="str">
        <f>Tuts!B710</f>
        <v>DESEMPENADEIRA AZUL CORRUGADA 16X28 INJEREST</v>
      </c>
      <c r="C712" s="13">
        <f>Tuts!E710</f>
        <v>12</v>
      </c>
      <c r="D712" s="18">
        <f>Tuts!J710</f>
        <v>10.12857142857143</v>
      </c>
      <c r="E712" s="13">
        <f>Tuts!D710</f>
        <v>7.09</v>
      </c>
    </row>
    <row r="713" spans="2:5" ht="15.75" hidden="1" customHeight="1">
      <c r="B713" t="str">
        <f>Tuts!B711</f>
        <v>DESEMPENADEIRA AZUL CORRUGADA 18X30 INJEREST</v>
      </c>
      <c r="C713" s="13">
        <f>Tuts!E711</f>
        <v>13</v>
      </c>
      <c r="D713" s="18">
        <f>Tuts!J711</f>
        <v>11.585714285714285</v>
      </c>
      <c r="E713" s="13">
        <f>Tuts!D711</f>
        <v>8.11</v>
      </c>
    </row>
    <row r="714" spans="2:5" ht="15.75" hidden="1" customHeight="1">
      <c r="B714" t="str">
        <f>Tuts!B712</f>
        <v>DESEMPENADEIRA GRAFIATO 14X27 ROMA</v>
      </c>
      <c r="C714" s="13">
        <f>Tuts!E712</f>
        <v>15</v>
      </c>
      <c r="D714" s="18">
        <f>Tuts!J712</f>
        <v>13.085714285714287</v>
      </c>
      <c r="E714" s="13">
        <f>Tuts!D712</f>
        <v>9.16</v>
      </c>
    </row>
    <row r="715" spans="2:5" ht="15.75" hidden="1" customHeight="1">
      <c r="B715" t="str">
        <f>Tuts!B713</f>
        <v>DESEMPENADEIRA LISA 16X28 INJEREST</v>
      </c>
      <c r="C715" s="13">
        <f>Tuts!E713</f>
        <v>16</v>
      </c>
      <c r="D715" s="18">
        <f>Tuts!J713</f>
        <v>14.285714285714286</v>
      </c>
      <c r="E715" s="13">
        <f>Tuts!D713</f>
        <v>10</v>
      </c>
    </row>
    <row r="716" spans="2:5" ht="15.75" hidden="1" customHeight="1">
      <c r="B716" t="str">
        <f>Tuts!B714</f>
        <v>DESEMPENADEIRA MADEIRA 24X14</v>
      </c>
      <c r="C716" s="13">
        <f>Tuts!E714</f>
        <v>17</v>
      </c>
      <c r="D716" s="18">
        <f>Tuts!J714</f>
        <v>14.957142857142859</v>
      </c>
      <c r="E716" s="13">
        <f>Tuts!D714</f>
        <v>10.47</v>
      </c>
    </row>
    <row r="717" spans="2:5" ht="15.75" hidden="1" customHeight="1">
      <c r="B717" t="str">
        <f>Tuts!B715</f>
        <v>DESINGRIPANTE CRISTAL LUB</v>
      </c>
      <c r="C717" s="13">
        <f>Tuts!E715</f>
        <v>10.8</v>
      </c>
      <c r="D717" s="18">
        <f>Tuts!J715</f>
        <v>7.0000000000000009</v>
      </c>
      <c r="E717" s="13">
        <f>Tuts!D715</f>
        <v>4.9000000000000004</v>
      </c>
    </row>
    <row r="718" spans="2:5" ht="15.75" hidden="1" customHeight="1">
      <c r="B718" t="str">
        <f>Tuts!B716</f>
        <v>DESINGRIPANTE ROST OFF MECHANIC</v>
      </c>
      <c r="C718" s="13">
        <f>Tuts!E716</f>
        <v>20</v>
      </c>
      <c r="D718" s="18">
        <f>Tuts!J716</f>
        <v>18.042857142857144</v>
      </c>
      <c r="E718" s="13">
        <f>Tuts!D716</f>
        <v>12.63</v>
      </c>
    </row>
    <row r="719" spans="2:5" ht="15.75" hidden="1" customHeight="1">
      <c r="B719" t="str">
        <f>Tuts!B717</f>
        <v>DESINGRIPANTE STARRET LUB</v>
      </c>
      <c r="C719" s="13">
        <f>Tuts!E717</f>
        <v>14</v>
      </c>
      <c r="D719" s="18">
        <f>Tuts!J717</f>
        <v>11.414285714285715</v>
      </c>
      <c r="E719" s="13">
        <f>Tuts!D717</f>
        <v>7.99</v>
      </c>
    </row>
    <row r="720" spans="2:5" ht="15.75" hidden="1" customHeight="1">
      <c r="B720" t="str">
        <f>Tuts!B718</f>
        <v>DESVIADOR CHUVEIRINHO CHUVEIRO 1,70MT</v>
      </c>
      <c r="C720" s="13">
        <f>Tuts!E718</f>
        <v>15</v>
      </c>
      <c r="D720" s="18">
        <f>Tuts!J718</f>
        <v>12.657142857142857</v>
      </c>
      <c r="E720" s="13">
        <f>Tuts!D718</f>
        <v>8.86</v>
      </c>
    </row>
    <row r="721" spans="2:5" ht="15.75" hidden="1" customHeight="1">
      <c r="B721" t="str">
        <f>Tuts!B719</f>
        <v>DEWALT ESMERILHADEIRA  4 1/2" 700W 127V DWE4010-BR</v>
      </c>
      <c r="C721" s="13">
        <f>Tuts!E719</f>
        <v>395</v>
      </c>
      <c r="D721" s="18">
        <f>Tuts!J719</f>
        <v>407.38571428571436</v>
      </c>
      <c r="E721" s="13">
        <f>Tuts!D719</f>
        <v>285.17</v>
      </c>
    </row>
    <row r="722" spans="2:5" ht="15.75" hidden="1" customHeight="1">
      <c r="B722" t="str">
        <f>Tuts!B720</f>
        <v>DEWALT SERRA MARMORE 125MM 1400 W 127V DEWALT</v>
      </c>
      <c r="C722" s="13">
        <f>Tuts!E720</f>
        <v>478</v>
      </c>
      <c r="D722" s="18">
        <f>Tuts!J720</f>
        <v>473.88571428571436</v>
      </c>
      <c r="E722" s="13">
        <f>Tuts!D720</f>
        <v>331.72</v>
      </c>
    </row>
    <row r="723" spans="2:5" ht="15.75" hidden="1" customHeight="1">
      <c r="B723" t="str">
        <f>Tuts!B721</f>
        <v>DIMMER ROT BLOCO BIC C/ OFF 400W</v>
      </c>
      <c r="C723" s="13">
        <f>Tuts!E721</f>
        <v>18</v>
      </c>
      <c r="D723" s="18">
        <f>Tuts!J721</f>
        <v>16.142857142857146</v>
      </c>
      <c r="E723" s="13">
        <f>Tuts!D721</f>
        <v>11.3</v>
      </c>
    </row>
    <row r="724" spans="2:5" ht="15.75" hidden="1" customHeight="1">
      <c r="B724" t="str">
        <f>Tuts!B722</f>
        <v>DISCO 4''  DISCO PORCELANATO CORTAG</v>
      </c>
      <c r="C724" s="13">
        <f>Tuts!E722</f>
        <v>42</v>
      </c>
      <c r="D724" s="18">
        <f>Tuts!J722</f>
        <v>37.857142857142861</v>
      </c>
      <c r="E724" s="13">
        <f>Tuts!D722</f>
        <v>26.5</v>
      </c>
    </row>
    <row r="725" spans="2:5" ht="15.75" hidden="1" customHeight="1">
      <c r="B725" t="str">
        <f>Tuts!B723</f>
        <v>DISCO 4'' CORRENTE MADEIRA PROFIELD</v>
      </c>
      <c r="C725" s="13">
        <f>Tuts!E723</f>
        <v>39.9</v>
      </c>
      <c r="D725" s="18">
        <f>Tuts!J723</f>
        <v>35.571428571428569</v>
      </c>
      <c r="E725" s="13">
        <f>Tuts!D723</f>
        <v>24.9</v>
      </c>
    </row>
    <row r="726" spans="2:5" ht="15.75" hidden="1" customHeight="1">
      <c r="B726" t="str">
        <f>Tuts!B724</f>
        <v>DISCO 4'' DISCO PORCELANATO WURTH</v>
      </c>
      <c r="C726" s="13">
        <f>Tuts!E724</f>
        <v>39.9</v>
      </c>
      <c r="D726" s="18">
        <f>Tuts!J724</f>
        <v>35.557142857142857</v>
      </c>
      <c r="E726" s="13">
        <f>Tuts!D724</f>
        <v>24.89</v>
      </c>
    </row>
    <row r="727" spans="2:5" ht="15.75" hidden="1" customHeight="1">
      <c r="B727" t="str">
        <f>Tuts!B725</f>
        <v>DISCO 4'' TUNGSTENIO</v>
      </c>
      <c r="C727" s="13">
        <f>Tuts!E725</f>
        <v>35</v>
      </c>
      <c r="D727" s="18">
        <f>Tuts!J725</f>
        <v>32.428571428571431</v>
      </c>
      <c r="E727" s="13">
        <f>Tuts!D725</f>
        <v>22.7</v>
      </c>
    </row>
    <row r="728" spans="2:5" ht="15.75" hidden="1" customHeight="1">
      <c r="B728" t="str">
        <f>Tuts!B726</f>
        <v xml:space="preserve">DISCO 4" SERRA FERTAK TOOLS </v>
      </c>
      <c r="C728" s="13">
        <f>Tuts!E726</f>
        <v>20</v>
      </c>
      <c r="D728" s="18">
        <f>Tuts!J726</f>
        <v>16.857142857142858</v>
      </c>
      <c r="E728" s="13">
        <f>Tuts!D726</f>
        <v>11.8</v>
      </c>
    </row>
    <row r="729" spans="2:5" ht="15.75" hidden="1" customHeight="1">
      <c r="B729" t="str">
        <f>Tuts!B727</f>
        <v>DISCO 7'' CORTE AÇO/INOX</v>
      </c>
      <c r="C729" s="13">
        <f>Tuts!E727</f>
        <v>10.5</v>
      </c>
      <c r="D729" s="18">
        <f>Tuts!J727</f>
        <v>9.7857142857142865</v>
      </c>
      <c r="E729" s="13">
        <f>Tuts!D727</f>
        <v>6.85</v>
      </c>
    </row>
    <row r="730" spans="2:5" ht="15.75" hidden="1" customHeight="1">
      <c r="B730" t="str">
        <f>Tuts!B728</f>
        <v xml:space="preserve">DISCO 7'' DE SERRA MADEIRA 24D  </v>
      </c>
      <c r="C730" s="13">
        <f>Tuts!E728</f>
        <v>45</v>
      </c>
      <c r="D730" s="18">
        <f>Tuts!J728</f>
        <v>40.285714285714285</v>
      </c>
      <c r="E730" s="13">
        <f>Tuts!D728</f>
        <v>28.2</v>
      </c>
    </row>
    <row r="731" spans="2:5" ht="15.75" hidden="1" customHeight="1">
      <c r="B731" t="str">
        <f>Tuts!B729</f>
        <v xml:space="preserve">DISCO 7'' DIAMANTADO TURBO THOMPSON </v>
      </c>
      <c r="C731" s="13">
        <f>Tuts!E729</f>
        <v>65</v>
      </c>
      <c r="D731" s="18">
        <f>Tuts!J729</f>
        <v>40.585714285714289</v>
      </c>
      <c r="E731" s="13">
        <f>Tuts!D729</f>
        <v>28.41</v>
      </c>
    </row>
    <row r="732" spans="2:5" ht="15.75" hidden="1" customHeight="1">
      <c r="B732" t="str">
        <f>Tuts!B730</f>
        <v>DISCO 7'' TURBO/SEGMENTADO</v>
      </c>
      <c r="C732" s="13">
        <f>Tuts!E730</f>
        <v>58</v>
      </c>
      <c r="D732" s="18">
        <f>Tuts!J730</f>
        <v>48.500000000000007</v>
      </c>
      <c r="E732" s="13">
        <f>Tuts!D730</f>
        <v>33.950000000000003</v>
      </c>
    </row>
    <row r="733" spans="2:5" ht="15.75" hidden="1" customHeight="1">
      <c r="B733" t="str">
        <f>Tuts!B731</f>
        <v>DISCO 9'' CORTE AÇO/INOX WURTH</v>
      </c>
      <c r="C733" s="13">
        <f>Tuts!E731</f>
        <v>16.899999999999999</v>
      </c>
      <c r="D733" s="18">
        <f>Tuts!J731</f>
        <v>15.257142857142858</v>
      </c>
      <c r="E733" s="13">
        <f>Tuts!D731</f>
        <v>10.68</v>
      </c>
    </row>
    <row r="734" spans="2:5" ht="15.75" hidden="1" customHeight="1">
      <c r="B734" t="str">
        <f>Tuts!B732</f>
        <v>DISCO 9'' DE SERRA MADEIRA 24D  THOMPSON</v>
      </c>
      <c r="C734" s="13">
        <f>Tuts!E732</f>
        <v>78</v>
      </c>
      <c r="D734" s="18">
        <f>Tuts!J732</f>
        <v>72.2</v>
      </c>
      <c r="E734" s="13">
        <f>Tuts!D732</f>
        <v>50.54</v>
      </c>
    </row>
    <row r="735" spans="2:5" ht="15.75" hidden="1" customHeight="1">
      <c r="B735" t="str">
        <f>Tuts!B733</f>
        <v>DISCO 9'' SEGMENTADO PROFIELD</v>
      </c>
      <c r="C735" s="13">
        <f>Tuts!E733</f>
        <v>78</v>
      </c>
      <c r="D735" s="18">
        <f>Tuts!J733</f>
        <v>71.142857142857139</v>
      </c>
      <c r="E735" s="13">
        <f>Tuts!D733</f>
        <v>49.8</v>
      </c>
    </row>
    <row r="736" spans="2:5" ht="15.75" hidden="1" customHeight="1">
      <c r="B736" t="str">
        <f>Tuts!B734</f>
        <v>DISCO 9'' TURBO PROFIELD</v>
      </c>
      <c r="C736" s="13">
        <f>Tuts!E734</f>
        <v>68</v>
      </c>
      <c r="D736" s="18">
        <f>Tuts!J734</f>
        <v>60.000000000000007</v>
      </c>
      <c r="E736" s="13">
        <f>Tuts!D734</f>
        <v>42</v>
      </c>
    </row>
    <row r="737" spans="2:5" ht="15.75" hidden="1" customHeight="1">
      <c r="B737" t="str">
        <f>Tuts!B735</f>
        <v>DISCO LIXA 4''</v>
      </c>
      <c r="C737" s="13">
        <f>Tuts!E735</f>
        <v>6.5</v>
      </c>
      <c r="D737" s="18">
        <f>Tuts!J735</f>
        <v>5.6000000000000005</v>
      </c>
      <c r="E737" s="13">
        <f>Tuts!D735</f>
        <v>3.92</v>
      </c>
    </row>
    <row r="738" spans="2:5" ht="15.75" hidden="1" customHeight="1">
      <c r="B738" t="str">
        <f>Tuts!B736</f>
        <v>DISCO LIXA 7''</v>
      </c>
      <c r="C738" s="13">
        <f>Tuts!E736</f>
        <v>11.8</v>
      </c>
      <c r="D738" s="18">
        <f>Tuts!J736</f>
        <v>10.857142857142858</v>
      </c>
      <c r="E738" s="13">
        <f>Tuts!D736</f>
        <v>7.6</v>
      </c>
    </row>
    <row r="739" spans="2:5" ht="15.75" hidden="1" customHeight="1">
      <c r="B739" t="str">
        <f>Tuts!B737</f>
        <v>DISCO VELCRO 4''</v>
      </c>
      <c r="C739" s="13">
        <f>Tuts!E737</f>
        <v>1.5</v>
      </c>
      <c r="D739" s="18">
        <f>Tuts!J737</f>
        <v>0.92857142857142871</v>
      </c>
      <c r="E739" s="13">
        <f>Tuts!D737</f>
        <v>0.65</v>
      </c>
    </row>
    <row r="740" spans="2:5" ht="15.75" hidden="1" customHeight="1">
      <c r="B740" t="str">
        <f>Tuts!B738</f>
        <v>DISJUNTOR BIPOLAR 10A</v>
      </c>
      <c r="C740" s="13">
        <f>Tuts!E738</f>
        <v>35.6</v>
      </c>
      <c r="D740" s="18">
        <f>Tuts!J738</f>
        <v>29.857142857142858</v>
      </c>
      <c r="E740" s="13">
        <f>Tuts!D738</f>
        <v>20.9</v>
      </c>
    </row>
    <row r="741" spans="2:5" ht="15.75" hidden="1" customHeight="1">
      <c r="B741" t="str">
        <f>Tuts!B739</f>
        <v>DISJUNTOR BIPOLAR 16A</v>
      </c>
      <c r="C741" s="13">
        <f>Tuts!E739</f>
        <v>37.4</v>
      </c>
      <c r="D741" s="18">
        <f>Tuts!J739</f>
        <v>29.857142857142858</v>
      </c>
      <c r="E741" s="13">
        <f>Tuts!D739</f>
        <v>20.9</v>
      </c>
    </row>
    <row r="742" spans="2:5" ht="15.75" hidden="1" customHeight="1">
      <c r="B742" t="str">
        <f>Tuts!B740</f>
        <v>DISJUNTOR BIPOLAR 25A</v>
      </c>
      <c r="C742" s="13">
        <f>Tuts!E740</f>
        <v>37</v>
      </c>
      <c r="D742" s="18">
        <f>Tuts!J740</f>
        <v>32.75714285714286</v>
      </c>
      <c r="E742" s="13">
        <f>Tuts!D740</f>
        <v>22.93</v>
      </c>
    </row>
    <row r="743" spans="2:5" ht="15.75" hidden="1" customHeight="1">
      <c r="B743" t="str">
        <f>Tuts!B741</f>
        <v>DISJUNTOR BIPOLAR 32A</v>
      </c>
      <c r="C743" s="13">
        <f>Tuts!E741</f>
        <v>35</v>
      </c>
      <c r="D743" s="18">
        <f>Tuts!J741</f>
        <v>32.75714285714286</v>
      </c>
      <c r="E743" s="13">
        <f>Tuts!D741</f>
        <v>22.93</v>
      </c>
    </row>
    <row r="744" spans="2:5" ht="15.75" hidden="1" customHeight="1">
      <c r="B744" t="str">
        <f>Tuts!B742</f>
        <v>DISJUNTOR BIPOLAR 40A</v>
      </c>
      <c r="C744" s="13">
        <f>Tuts!E742</f>
        <v>37</v>
      </c>
      <c r="D744" s="18">
        <f>Tuts!J742</f>
        <v>34.142857142857146</v>
      </c>
      <c r="E744" s="13">
        <f>Tuts!D742</f>
        <v>23.9</v>
      </c>
    </row>
    <row r="745" spans="2:5" ht="15.75" hidden="1" customHeight="1">
      <c r="B745" t="str">
        <f>Tuts!B743</f>
        <v>DISJUNTOR BIPOLAR 63A</v>
      </c>
      <c r="C745" s="13">
        <f>Tuts!E743</f>
        <v>40</v>
      </c>
      <c r="D745" s="18">
        <f>Tuts!J743</f>
        <v>36.028571428571432</v>
      </c>
      <c r="E745" s="13">
        <f>Tuts!D743</f>
        <v>25.22</v>
      </c>
    </row>
    <row r="746" spans="2:5" ht="15.75" hidden="1" customHeight="1">
      <c r="B746" t="str">
        <f>Tuts!B744</f>
        <v>DISJUNTOR NEMA BIPOLAR  40A PRETO</v>
      </c>
      <c r="C746" s="13">
        <f>Tuts!E744</f>
        <v>98</v>
      </c>
      <c r="D746" s="18">
        <f>Tuts!J744</f>
        <v>89.757142857142867</v>
      </c>
      <c r="E746" s="13">
        <f>Tuts!D744</f>
        <v>62.83</v>
      </c>
    </row>
    <row r="747" spans="2:5" ht="15.75" hidden="1" customHeight="1">
      <c r="B747" t="str">
        <f>Tuts!B745</f>
        <v>DISJUNTOR NEMA BIPOLAR  40A PRETO</v>
      </c>
      <c r="C747" s="13">
        <f>Tuts!E745</f>
        <v>125</v>
      </c>
      <c r="D747" s="18">
        <f>Tuts!J745</f>
        <v>116.04285714285716</v>
      </c>
      <c r="E747" s="13">
        <f>Tuts!D745</f>
        <v>81.23</v>
      </c>
    </row>
    <row r="748" spans="2:5" ht="15.75" hidden="1" customHeight="1">
      <c r="B748" t="str">
        <f>Tuts!B746</f>
        <v>DISJUNTOR NEMA TRIPOLAR 60A PRETO</v>
      </c>
      <c r="C748" s="13">
        <f>Tuts!E746</f>
        <v>140</v>
      </c>
      <c r="D748" s="18">
        <f>Tuts!J746</f>
        <v>129.92857142857144</v>
      </c>
      <c r="E748" s="13">
        <f>Tuts!D746</f>
        <v>90.95</v>
      </c>
    </row>
    <row r="749" spans="2:5" ht="15.75" hidden="1" customHeight="1">
      <c r="B749" t="str">
        <f>Tuts!B747</f>
        <v>DISJUNTOR NEMA UNIPOLAR 20A PRETO</v>
      </c>
      <c r="C749" s="13">
        <f>Tuts!E747</f>
        <v>16</v>
      </c>
      <c r="D749" s="18">
        <f>Tuts!J747</f>
        <v>14.828571428571431</v>
      </c>
      <c r="E749" s="13">
        <f>Tuts!D747</f>
        <v>10.38</v>
      </c>
    </row>
    <row r="750" spans="2:5" ht="15.75" hidden="1" customHeight="1">
      <c r="B750" t="str">
        <f>Tuts!B748</f>
        <v>DISJUNTOR NEMA UNIPOLAR 30A PRETO</v>
      </c>
      <c r="C750" s="13">
        <f>Tuts!E748</f>
        <v>16</v>
      </c>
      <c r="D750" s="18">
        <f>Tuts!J748</f>
        <v>13.314285714285715</v>
      </c>
      <c r="E750" s="13">
        <f>Tuts!D748</f>
        <v>9.32</v>
      </c>
    </row>
    <row r="751" spans="2:5" ht="15.75" hidden="1" customHeight="1">
      <c r="B751" t="str">
        <f>Tuts!B749</f>
        <v>DISJUNTOR NEMA UNIPOLAR 35A PRETO</v>
      </c>
      <c r="C751" s="13">
        <f>Tuts!E749</f>
        <v>27</v>
      </c>
      <c r="D751" s="18">
        <f>Tuts!J749</f>
        <v>24.171428571428574</v>
      </c>
      <c r="E751" s="13">
        <f>Tuts!D749</f>
        <v>16.920000000000002</v>
      </c>
    </row>
    <row r="752" spans="2:5" ht="15.75" hidden="1" customHeight="1">
      <c r="B752" t="str">
        <f>Tuts!B750</f>
        <v>DISJUNTOR NEMA UNIPOLAR 40A PRETO</v>
      </c>
      <c r="C752" s="13">
        <f>Tuts!E750</f>
        <v>25</v>
      </c>
      <c r="D752" s="18">
        <f>Tuts!J750</f>
        <v>23.142857142857142</v>
      </c>
      <c r="E752" s="13">
        <f>Tuts!D750</f>
        <v>16.2</v>
      </c>
    </row>
    <row r="753" spans="2:5" ht="15.75" hidden="1" customHeight="1">
      <c r="B753" t="str">
        <f>Tuts!B751</f>
        <v>DISJUNTOR NEMA UNIPOLAR 50A PRETO</v>
      </c>
      <c r="C753" s="13">
        <f>Tuts!E751</f>
        <v>26</v>
      </c>
      <c r="D753" s="18">
        <f>Tuts!J751</f>
        <v>23.142857142857142</v>
      </c>
      <c r="E753" s="13">
        <f>Tuts!D751</f>
        <v>16.2</v>
      </c>
    </row>
    <row r="754" spans="2:5" ht="15.75" hidden="1" customHeight="1">
      <c r="B754" t="str">
        <f>Tuts!B752</f>
        <v>DISJUNTOR NEMA UNIPOLAR 60A PRETO</v>
      </c>
      <c r="C754" s="13">
        <f>Tuts!E752</f>
        <v>43</v>
      </c>
      <c r="D754" s="18">
        <f>Tuts!J752</f>
        <v>38.557142857142857</v>
      </c>
      <c r="E754" s="13">
        <f>Tuts!D752</f>
        <v>26.99</v>
      </c>
    </row>
    <row r="755" spans="2:5" ht="15.75" hidden="1" customHeight="1">
      <c r="B755" t="str">
        <f>Tuts!B753</f>
        <v>DISJUNTOR NEMA UNIPOLAR 70A PRETO</v>
      </c>
      <c r="C755" s="13">
        <f>Tuts!E753</f>
        <v>38</v>
      </c>
      <c r="D755" s="18">
        <f>Tuts!J753</f>
        <v>34.085714285714289</v>
      </c>
      <c r="E755" s="13">
        <f>Tuts!D753</f>
        <v>23.86</v>
      </c>
    </row>
    <row r="756" spans="2:5" ht="15.75" hidden="1" customHeight="1">
      <c r="B756" t="str">
        <f>Tuts!B754</f>
        <v>DISJUNTOR NEMA UNIPOLAR 80A PRETO</v>
      </c>
      <c r="C756" s="13">
        <f>Tuts!E754</f>
        <v>49</v>
      </c>
      <c r="D756" s="18">
        <f>Tuts!J754</f>
        <v>38.557142857142857</v>
      </c>
      <c r="E756" s="13">
        <f>Tuts!D754</f>
        <v>26.99</v>
      </c>
    </row>
    <row r="757" spans="2:5" ht="15.75" hidden="1" customHeight="1">
      <c r="B757" t="str">
        <f>Tuts!B755</f>
        <v>DISJUNTOR NEMA UNIPOLAR 90A PRETO</v>
      </c>
      <c r="C757" s="13">
        <f>Tuts!E755</f>
        <v>46</v>
      </c>
      <c r="D757" s="18">
        <f>Tuts!J755</f>
        <v>40.75714285714286</v>
      </c>
      <c r="E757" s="13">
        <f>Tuts!D755</f>
        <v>28.53</v>
      </c>
    </row>
    <row r="758" spans="2:5" ht="15.75" hidden="1" customHeight="1">
      <c r="B758" t="str">
        <f>Tuts!B756</f>
        <v>DISJUNTOR TRIPOLAR 25A</v>
      </c>
      <c r="C758" s="13">
        <f>Tuts!E756</f>
        <v>56</v>
      </c>
      <c r="D758" s="18">
        <f>Tuts!J756</f>
        <v>50.714285714285715</v>
      </c>
      <c r="E758" s="13">
        <f>Tuts!D756</f>
        <v>35.5</v>
      </c>
    </row>
    <row r="759" spans="2:5" ht="15.75" hidden="1" customHeight="1">
      <c r="B759" t="str">
        <f>Tuts!B757</f>
        <v>DISJUNTOR TRIPOLAR 40A</v>
      </c>
      <c r="C759" s="13">
        <f>Tuts!E757</f>
        <v>62</v>
      </c>
      <c r="D759" s="18">
        <f>Tuts!J757</f>
        <v>61.414285714285718</v>
      </c>
      <c r="E759" s="13">
        <f>Tuts!D757</f>
        <v>42.99</v>
      </c>
    </row>
    <row r="760" spans="2:5" ht="15.75" hidden="1" customHeight="1">
      <c r="B760" t="str">
        <f>Tuts!B758</f>
        <v>DISJUNTOR TRIPOLAR 63A</v>
      </c>
      <c r="C760" s="13">
        <f>Tuts!E758</f>
        <v>65.7</v>
      </c>
      <c r="D760" s="18">
        <f>Tuts!J758</f>
        <v>58.057142857142864</v>
      </c>
      <c r="E760" s="13">
        <f>Tuts!D758</f>
        <v>40.64</v>
      </c>
    </row>
    <row r="761" spans="2:5" ht="15.75" hidden="1" customHeight="1">
      <c r="B761" t="str">
        <f>Tuts!B759</f>
        <v>DISJUNTOR UNIPOLAR 10A</v>
      </c>
      <c r="C761" s="13">
        <f>Tuts!E759</f>
        <v>10.5</v>
      </c>
      <c r="D761" s="18">
        <f>Tuts!J759</f>
        <v>9.4285714285714288</v>
      </c>
      <c r="E761" s="13">
        <f>Tuts!D759</f>
        <v>6.6</v>
      </c>
    </row>
    <row r="762" spans="2:5" ht="15.75" hidden="1" customHeight="1">
      <c r="B762" t="str">
        <f>Tuts!B760</f>
        <v>DISJUNTOR UNIPOLAR 16A</v>
      </c>
      <c r="C762" s="13">
        <f>Tuts!E760</f>
        <v>12.9</v>
      </c>
      <c r="D762" s="18">
        <f>Tuts!J760</f>
        <v>8.3714285714285719</v>
      </c>
      <c r="E762" s="13">
        <f>Tuts!D760</f>
        <v>5.86</v>
      </c>
    </row>
    <row r="763" spans="2:5" ht="15.75" hidden="1" customHeight="1">
      <c r="B763" t="str">
        <f>Tuts!B761</f>
        <v>DISJUNTOR UNIPOLAR 20A</v>
      </c>
      <c r="C763" s="13">
        <f>Tuts!E761</f>
        <v>12.9</v>
      </c>
      <c r="D763" s="18">
        <f>Tuts!J761</f>
        <v>9.2142857142857153</v>
      </c>
      <c r="E763" s="13">
        <f>Tuts!D761</f>
        <v>6.45</v>
      </c>
    </row>
    <row r="764" spans="2:5" ht="15.75" hidden="1" customHeight="1">
      <c r="B764" t="str">
        <f>Tuts!B762</f>
        <v>DISJUNTOR UNIPOLAR 25A</v>
      </c>
      <c r="C764" s="13">
        <f>Tuts!E762</f>
        <v>10.199999999999999</v>
      </c>
      <c r="D764" s="18">
        <f>Tuts!J762</f>
        <v>9.4142857142857146</v>
      </c>
      <c r="E764" s="13">
        <f>Tuts!D762</f>
        <v>6.59</v>
      </c>
    </row>
    <row r="765" spans="2:5" ht="15.75" hidden="1" customHeight="1">
      <c r="B765" t="str">
        <f>Tuts!B763</f>
        <v>DISJUNTOR UNIPOLAR 40A</v>
      </c>
      <c r="C765" s="13">
        <f>Tuts!E763</f>
        <v>12.5</v>
      </c>
      <c r="D765" s="18">
        <f>Tuts!J763</f>
        <v>10.171428571428573</v>
      </c>
      <c r="E765" s="13">
        <f>Tuts!D763</f>
        <v>7.12</v>
      </c>
    </row>
    <row r="766" spans="2:5" ht="15.75" hidden="1" customHeight="1">
      <c r="B766" t="str">
        <f>Tuts!B764</f>
        <v>DISJUNTOR UNIPOLAR 63A</v>
      </c>
      <c r="C766" s="13">
        <f>Tuts!E764</f>
        <v>12.5</v>
      </c>
      <c r="D766" s="18">
        <f>Tuts!J764</f>
        <v>10.285714285714286</v>
      </c>
      <c r="E766" s="13">
        <f>Tuts!D764</f>
        <v>7.2</v>
      </c>
    </row>
    <row r="767" spans="2:5" ht="15.75" hidden="1" customHeight="1">
      <c r="B767" t="str">
        <f>Tuts!B765</f>
        <v>DOBRADIÇA 2.0X1.1/2</v>
      </c>
      <c r="C767" s="13">
        <f>Tuts!E765</f>
        <v>1.5</v>
      </c>
      <c r="D767" s="18">
        <f>Tuts!J765</f>
        <v>1.2</v>
      </c>
      <c r="E767" s="13">
        <f>Tuts!D765</f>
        <v>0.84</v>
      </c>
    </row>
    <row r="768" spans="2:5" ht="15.75" hidden="1" customHeight="1">
      <c r="B768" t="str">
        <f>Tuts!B766</f>
        <v>DOBRADIÇA 3.0X1.7/8</v>
      </c>
      <c r="C768" s="13">
        <f>Tuts!E766</f>
        <v>3.5</v>
      </c>
      <c r="D768" s="18">
        <f>Tuts!J766</f>
        <v>2.842857142857143</v>
      </c>
      <c r="E768" s="13">
        <f>Tuts!D766</f>
        <v>1.99</v>
      </c>
    </row>
    <row r="769" spans="2:5" ht="15.75" hidden="1" customHeight="1">
      <c r="B769" t="str">
        <f>Tuts!B767</f>
        <v>DOBRADICA DE PORTEIRA N03</v>
      </c>
      <c r="C769" s="13">
        <f>Tuts!E767</f>
        <v>27</v>
      </c>
      <c r="D769" s="18">
        <f>Tuts!J767</f>
        <v>24.914285714285718</v>
      </c>
      <c r="E769" s="13">
        <f>Tuts!D767</f>
        <v>17.440000000000001</v>
      </c>
    </row>
    <row r="770" spans="2:5" ht="15.75" hidden="1" customHeight="1">
      <c r="B770" t="str">
        <f>Tuts!B768</f>
        <v>DOBRADICA PORTEIRA 3'' (PAR)</v>
      </c>
      <c r="C770" s="13">
        <f>Tuts!E768</f>
        <v>49</v>
      </c>
      <c r="D770" s="18">
        <f>Tuts!J768</f>
        <v>45.342857142857142</v>
      </c>
      <c r="E770" s="13">
        <f>Tuts!D768</f>
        <v>31.74</v>
      </c>
    </row>
    <row r="771" spans="2:5" ht="15.75" hidden="1" customHeight="1">
      <c r="B771" t="str">
        <f>Tuts!B769</f>
        <v>DOUBLE TAPE FITA DUPLA FACE 12 X 1 MTS</v>
      </c>
      <c r="C771" s="13">
        <f>Tuts!E769</f>
        <v>5.3</v>
      </c>
      <c r="D771" s="18">
        <f>Tuts!J769</f>
        <v>4.6142857142857148</v>
      </c>
      <c r="E771" s="13">
        <f>Tuts!D769</f>
        <v>3.23</v>
      </c>
    </row>
    <row r="772" spans="2:5" ht="15.75" hidden="1" customHeight="1">
      <c r="B772" t="str">
        <f>Tuts!B770</f>
        <v>DOUBLE TAPE FITA DUPLA FACE 15 X 1,5 MTS</v>
      </c>
      <c r="C772" s="13">
        <f>Tuts!E770</f>
        <v>8.9</v>
      </c>
      <c r="D772" s="18">
        <f>Tuts!J770</f>
        <v>7.5142857142857142</v>
      </c>
      <c r="E772" s="13">
        <f>Tuts!D770</f>
        <v>5.26</v>
      </c>
    </row>
    <row r="773" spans="2:5" ht="15.75" hidden="1" customHeight="1">
      <c r="B773" t="str">
        <f>Tuts!B771</f>
        <v>DRIVER LED 8W A 25W</v>
      </c>
      <c r="C773" s="13">
        <f>Tuts!E771</f>
        <v>18</v>
      </c>
      <c r="D773" s="18">
        <f>Tuts!J771</f>
        <v>16.428571428571431</v>
      </c>
      <c r="E773" s="13">
        <f>Tuts!D771</f>
        <v>11.5</v>
      </c>
    </row>
    <row r="774" spans="2:5" ht="15.75" hidden="1" customHeight="1">
      <c r="B774" t="str">
        <f>Tuts!B772</f>
        <v>DUCHA FRIA CHUVEIRAO 12</v>
      </c>
      <c r="C774" s="13">
        <f>Tuts!E772</f>
        <v>140</v>
      </c>
      <c r="D774" s="18">
        <f>Tuts!J772</f>
        <v>138.85714285714286</v>
      </c>
      <c r="E774" s="13">
        <f>Tuts!D772</f>
        <v>97.2</v>
      </c>
    </row>
    <row r="775" spans="2:5" ht="15.75" hidden="1" customHeight="1">
      <c r="B775" t="str">
        <f>Tuts!B773</f>
        <v>DUCHA FRIA CHUVEIRAO 8</v>
      </c>
      <c r="C775" s="13">
        <f>Tuts!E773</f>
        <v>110</v>
      </c>
      <c r="D775" s="18">
        <f>Tuts!J773</f>
        <v>110.11428571428571</v>
      </c>
      <c r="E775" s="13">
        <f>Tuts!D773</f>
        <v>77.08</v>
      </c>
    </row>
    <row r="776" spans="2:5" ht="15.75" hidden="1" customHeight="1">
      <c r="B776" t="str">
        <f>Tuts!B774</f>
        <v>DUCHE HIGIENICA WARLEI SEM MARCA</v>
      </c>
      <c r="C776" s="13">
        <f>Tuts!E774</f>
        <v>54.8</v>
      </c>
      <c r="D776" s="18">
        <f>Tuts!J774</f>
        <v>50</v>
      </c>
      <c r="E776" s="13">
        <f>Tuts!D774</f>
        <v>35</v>
      </c>
    </row>
    <row r="777" spans="2:5" ht="15.75" hidden="1" customHeight="1">
      <c r="B777" t="str">
        <f>Tuts!B775</f>
        <v>DUCOR FUNDO PREPARADOR 18L</v>
      </c>
      <c r="C777" s="13">
        <f>Tuts!E775</f>
        <v>125</v>
      </c>
      <c r="D777" s="18">
        <f>Tuts!J775</f>
        <v>108.71428571428571</v>
      </c>
      <c r="E777" s="13">
        <f>Tuts!D775</f>
        <v>76.099999999999994</v>
      </c>
    </row>
    <row r="778" spans="2:5" ht="15.75" hidden="1" customHeight="1">
      <c r="B778" t="str">
        <f>Tuts!B776</f>
        <v>DUCOR FUNDO PREPARADOR 3,6L</v>
      </c>
      <c r="C778" s="13">
        <f>Tuts!E776</f>
        <v>45</v>
      </c>
      <c r="D778" s="18">
        <f>Tuts!J776</f>
        <v>39.714285714285715</v>
      </c>
      <c r="E778" s="13">
        <f>Tuts!D776</f>
        <v>27.8</v>
      </c>
    </row>
    <row r="779" spans="2:5" ht="15.75" hidden="1" customHeight="1">
      <c r="B779" t="str">
        <f>Tuts!B777</f>
        <v>DUCOR GRAFIATO BARRICA</v>
      </c>
      <c r="C779" s="13">
        <f>Tuts!E777</f>
        <v>71</v>
      </c>
      <c r="D779" s="18">
        <f>Tuts!J777</f>
        <v>64.142857142857139</v>
      </c>
      <c r="E779" s="13">
        <f>Tuts!D777</f>
        <v>44.9</v>
      </c>
    </row>
    <row r="780" spans="2:5" ht="15.75" hidden="1" customHeight="1">
      <c r="B780" t="str">
        <f>Tuts!B778</f>
        <v>DUCOR LATEX ECONOMICA ROSA BEBE / VERDE BEBE</v>
      </c>
      <c r="C780" s="13">
        <f>Tuts!E778</f>
        <v>115</v>
      </c>
      <c r="D780" s="18">
        <f>Tuts!J778</f>
        <v>105.78571428571429</v>
      </c>
      <c r="E780" s="13">
        <f>Tuts!D778</f>
        <v>74.05</v>
      </c>
    </row>
    <row r="781" spans="2:5" ht="15.75" hidden="1" customHeight="1">
      <c r="B781" t="str">
        <f>Tuts!B779</f>
        <v>DUCOR LATEX STANDART BR/BR GELO 18L</v>
      </c>
      <c r="C781" s="13">
        <f>Tuts!E779</f>
        <v>165</v>
      </c>
      <c r="D781" s="18">
        <f>Tuts!J779</f>
        <v>134.14285714285717</v>
      </c>
      <c r="E781" s="13">
        <f>Tuts!D779</f>
        <v>93.9</v>
      </c>
    </row>
    <row r="782" spans="2:5" ht="15.75" hidden="1" customHeight="1">
      <c r="B782" t="str">
        <f>Tuts!B780</f>
        <v>DUCOR LATEX STANDART BR/BR GELO 3,6L</v>
      </c>
      <c r="C782" s="13">
        <f>Tuts!E780</f>
        <v>56</v>
      </c>
      <c r="D782" s="18">
        <f>Tuts!J780</f>
        <v>41.928571428571431</v>
      </c>
      <c r="E782" s="13">
        <f>Tuts!D780</f>
        <v>29.35</v>
      </c>
    </row>
    <row r="783" spans="2:5" ht="15.75" hidden="1" customHeight="1">
      <c r="B783" t="str">
        <f>Tuts!B781</f>
        <v>DUCOR LATEX STANDART BRANCO/CORES 1L</v>
      </c>
      <c r="C783" s="13">
        <f>Tuts!E781</f>
        <v>26</v>
      </c>
      <c r="D783" s="18">
        <f>Tuts!J781</f>
        <v>24.142857142857142</v>
      </c>
      <c r="E783" s="13">
        <f>Tuts!D781</f>
        <v>16.899999999999999</v>
      </c>
    </row>
    <row r="784" spans="2:5" ht="15.75" hidden="1" customHeight="1">
      <c r="B784" t="str">
        <f>Tuts!B782</f>
        <v>DUCOR LATEX STANDART CORES 18L</v>
      </c>
      <c r="C784" s="13">
        <f>Tuts!E782</f>
        <v>165</v>
      </c>
      <c r="D784" s="18">
        <f>Tuts!J782</f>
        <v>141.1</v>
      </c>
      <c r="E784" s="13">
        <f>Tuts!D782</f>
        <v>98.77</v>
      </c>
    </row>
    <row r="785" spans="2:5" ht="15.75" hidden="1" customHeight="1">
      <c r="B785" t="str">
        <f>Tuts!B783</f>
        <v>DUCOR MASSA ACRILICA EXTERNA 1L</v>
      </c>
      <c r="C785" s="13">
        <f>Tuts!E783</f>
        <v>20.9</v>
      </c>
      <c r="D785" s="18">
        <f>Tuts!J783</f>
        <v>19.142857142857146</v>
      </c>
      <c r="E785" s="13">
        <f>Tuts!D783</f>
        <v>13.4</v>
      </c>
    </row>
    <row r="786" spans="2:5" ht="15.75" hidden="1" customHeight="1">
      <c r="B786" t="str">
        <f>Tuts!B784</f>
        <v>DUCOR MASSA ACRILICA EXTERNA 3,6L</v>
      </c>
      <c r="C786" s="13">
        <f>Tuts!E784</f>
        <v>36.5</v>
      </c>
      <c r="D786" s="18">
        <f>Tuts!J784</f>
        <v>32.857142857142861</v>
      </c>
      <c r="E786" s="13">
        <f>Tuts!D784</f>
        <v>23</v>
      </c>
    </row>
    <row r="787" spans="2:5" ht="15.75" hidden="1" customHeight="1">
      <c r="B787" t="str">
        <f>Tuts!B785</f>
        <v>DUCOR MASSA ACRILICA EXTERNA BARRICA</v>
      </c>
      <c r="C787" s="13">
        <f>Tuts!E785</f>
        <v>83</v>
      </c>
      <c r="D787" s="18">
        <f>Tuts!J785</f>
        <v>76.357142857142861</v>
      </c>
      <c r="E787" s="13">
        <f>Tuts!D785</f>
        <v>53.45</v>
      </c>
    </row>
    <row r="788" spans="2:5" ht="15.75" hidden="1" customHeight="1">
      <c r="B788" t="str">
        <f>Tuts!B786</f>
        <v>DUCOR MASSA CORRIDA PVA INTERNA - LITRO</v>
      </c>
      <c r="C788" s="13">
        <f>Tuts!E786</f>
        <v>12</v>
      </c>
      <c r="D788" s="18">
        <f>Tuts!J786</f>
        <v>10</v>
      </c>
      <c r="E788" s="13">
        <f>Tuts!D786</f>
        <v>7</v>
      </c>
    </row>
    <row r="789" spans="2:5" ht="15.75" hidden="1" customHeight="1">
      <c r="B789" t="str">
        <f>Tuts!B787</f>
        <v>DUCOR MASSA CORRIDA PVA INTERNA 3,6L</v>
      </c>
      <c r="C789" s="13">
        <f>Tuts!E787</f>
        <v>25.5</v>
      </c>
      <c r="D789" s="18">
        <f>Tuts!J787</f>
        <v>21.928571428571431</v>
      </c>
      <c r="E789" s="13">
        <f>Tuts!D787</f>
        <v>15.35</v>
      </c>
    </row>
    <row r="790" spans="2:5" ht="15.75" hidden="1" customHeight="1">
      <c r="B790" t="str">
        <f>Tuts!B788</f>
        <v>DUCOR MASSA CORRIDA PVA INTERNA BARRICA</v>
      </c>
      <c r="C790" s="13">
        <f>Tuts!E788</f>
        <v>42</v>
      </c>
      <c r="D790" s="18">
        <f>Tuts!J788</f>
        <v>37.857142857142861</v>
      </c>
      <c r="E790" s="13">
        <f>Tuts!D788</f>
        <v>26.5</v>
      </c>
    </row>
    <row r="791" spans="2:5" ht="15.75" hidden="1" customHeight="1">
      <c r="B791" t="str">
        <f>Tuts!B789</f>
        <v>DUCOR SELADOR ACRILICO 18L</v>
      </c>
      <c r="C791" s="13">
        <f>Tuts!E789</f>
        <v>71</v>
      </c>
      <c r="D791" s="18">
        <f>Tuts!J789</f>
        <v>65.428571428571431</v>
      </c>
      <c r="E791" s="13">
        <f>Tuts!D789</f>
        <v>45.8</v>
      </c>
    </row>
    <row r="792" spans="2:5" ht="15.75" hidden="1" customHeight="1">
      <c r="B792" t="str">
        <f>Tuts!B790</f>
        <v>DUCOR SELADOR ACRILICO 1L</v>
      </c>
      <c r="C792" s="13">
        <f>Tuts!E790</f>
        <v>21</v>
      </c>
      <c r="D792" s="18">
        <f>Tuts!J790</f>
        <v>18.385714285714286</v>
      </c>
      <c r="E792" s="13">
        <f>Tuts!D790</f>
        <v>12.87</v>
      </c>
    </row>
    <row r="793" spans="2:5" ht="15.75" hidden="1" customHeight="1">
      <c r="B793" t="str">
        <f>Tuts!B791</f>
        <v>DUCOR SELADOR ACRILICO 3,6L</v>
      </c>
      <c r="C793" s="13">
        <f>Tuts!E791</f>
        <v>32.5</v>
      </c>
      <c r="D793" s="18">
        <f>Tuts!J791</f>
        <v>29.285714285714288</v>
      </c>
      <c r="E793" s="13">
        <f>Tuts!D791</f>
        <v>20.5</v>
      </c>
    </row>
    <row r="794" spans="2:5" ht="15.75" hidden="1" customHeight="1">
      <c r="B794" t="str">
        <f>Tuts!B792</f>
        <v>DUCOR TEXTURA LISA BARRICA</v>
      </c>
      <c r="C794" s="13">
        <f>Tuts!E792</f>
        <v>105</v>
      </c>
      <c r="D794" s="18">
        <f>Tuts!J792</f>
        <v>93.285714285714292</v>
      </c>
      <c r="E794" s="13">
        <f>Tuts!D792</f>
        <v>65.3</v>
      </c>
    </row>
    <row r="795" spans="2:5" ht="15.75" hidden="1" customHeight="1">
      <c r="B795" t="str">
        <f>Tuts!B793</f>
        <v>DUCOR TINTA PISO BASE AGUA CINZA/PRETO/CONCRETO 18L</v>
      </c>
      <c r="C795" s="13">
        <f>Tuts!E793</f>
        <v>128</v>
      </c>
      <c r="D795" s="18">
        <f>Tuts!J793</f>
        <v>110.35714285714286</v>
      </c>
      <c r="E795" s="13">
        <f>Tuts!D793</f>
        <v>77.25</v>
      </c>
    </row>
    <row r="796" spans="2:5" ht="15.75" hidden="1" customHeight="1">
      <c r="B796" t="str">
        <f>Tuts!B794</f>
        <v>DUCOR TINTA PISO BASE AGUA CINZA/PRETO/CONCRETO 3,6l</v>
      </c>
      <c r="C796" s="13">
        <f>Tuts!E794</f>
        <v>42</v>
      </c>
      <c r="D796" s="18">
        <f>Tuts!J794</f>
        <v>38.142857142857146</v>
      </c>
      <c r="E796" s="13">
        <f>Tuts!D794</f>
        <v>26.7</v>
      </c>
    </row>
    <row r="797" spans="2:5" ht="15.75" hidden="1" customHeight="1">
      <c r="B797" t="str">
        <f>Tuts!B795</f>
        <v>DUCOR VERNIZ ACRILICO INCOLOR 3,6L</v>
      </c>
      <c r="C797" s="13">
        <f>Tuts!E795</f>
        <v>73</v>
      </c>
      <c r="D797" s="18">
        <f>Tuts!J795</f>
        <v>63.142857142857153</v>
      </c>
      <c r="E797" s="13">
        <f>Tuts!D795</f>
        <v>44.2</v>
      </c>
    </row>
    <row r="798" spans="2:5" ht="15.75" hidden="1" customHeight="1">
      <c r="B798" t="str">
        <f>Tuts!B796</f>
        <v>DUREPOXI TRADICIONAL 100G</v>
      </c>
      <c r="C798" s="13">
        <f>Tuts!E796</f>
        <v>11.9</v>
      </c>
      <c r="D798" s="18">
        <f>Tuts!J796</f>
        <v>10.22857142857143</v>
      </c>
      <c r="E798" s="13">
        <f>Tuts!D796</f>
        <v>7.16</v>
      </c>
    </row>
    <row r="799" spans="2:5" ht="15.75" hidden="1" customHeight="1">
      <c r="B799" t="str">
        <f>Tuts!B797</f>
        <v>DUREPOXI TRADICIONAL 50G</v>
      </c>
      <c r="C799" s="13">
        <f>Tuts!E797</f>
        <v>6.5</v>
      </c>
      <c r="D799" s="18">
        <f>Tuts!J797</f>
        <v>6.0142857142857142</v>
      </c>
      <c r="E799" s="13">
        <f>Tuts!D797</f>
        <v>4.21</v>
      </c>
    </row>
    <row r="800" spans="2:5" ht="15.75" hidden="1" customHeight="1">
      <c r="B800" t="str">
        <f>Tuts!B798</f>
        <v>ECOPOWER LANTERNA DE MAO 0.5W</v>
      </c>
      <c r="C800" s="13">
        <f>Tuts!E798</f>
        <v>30</v>
      </c>
      <c r="D800" s="18">
        <f>Tuts!J798</f>
        <v>27.142857142857146</v>
      </c>
      <c r="E800" s="13">
        <f>Tuts!D798</f>
        <v>19</v>
      </c>
    </row>
    <row r="801" spans="2:5" ht="15.75" hidden="1" customHeight="1">
      <c r="B801" t="str">
        <f>Tuts!B799</f>
        <v>ECOPOWER LANTERNA DE MAO 130W</v>
      </c>
      <c r="C801" s="13">
        <f>Tuts!E799</f>
        <v>110</v>
      </c>
      <c r="D801" s="18">
        <f>Tuts!J799</f>
        <v>98.571428571428584</v>
      </c>
      <c r="E801" s="13">
        <f>Tuts!D799</f>
        <v>69</v>
      </c>
    </row>
    <row r="802" spans="2:5" ht="15.75" hidden="1" customHeight="1">
      <c r="B802" t="str">
        <f>Tuts!B800</f>
        <v>ELETRODO DENVER 2,5MM</v>
      </c>
      <c r="C802" s="13">
        <f>Tuts!E800</f>
        <v>32</v>
      </c>
      <c r="D802" s="18">
        <f>Tuts!J800</f>
        <v>27.142857142857146</v>
      </c>
      <c r="E802" s="13">
        <f>Tuts!D800</f>
        <v>19</v>
      </c>
    </row>
    <row r="803" spans="2:5" ht="15.75" hidden="1" customHeight="1">
      <c r="B803" t="str">
        <f>Tuts!B801</f>
        <v>ELETRODUTO GALVANIZADO 1.1/4</v>
      </c>
      <c r="C803" s="13">
        <f>Tuts!E801</f>
        <v>64.900000000000006</v>
      </c>
      <c r="D803" s="18">
        <f>Tuts!J801</f>
        <v>59.285714285714292</v>
      </c>
      <c r="E803" s="13">
        <f>Tuts!D801</f>
        <v>41.5</v>
      </c>
    </row>
    <row r="804" spans="2:5" ht="15.75" hidden="1" customHeight="1">
      <c r="B804" t="str">
        <f>Tuts!B802</f>
        <v>ELETRODUTO GALVANIZADO 2</v>
      </c>
      <c r="C804" s="13">
        <f>Tuts!E802</f>
        <v>83</v>
      </c>
      <c r="D804" s="18">
        <f>Tuts!J802</f>
        <v>76.657142857142858</v>
      </c>
      <c r="E804" s="13">
        <f>Tuts!D802</f>
        <v>53.66</v>
      </c>
    </row>
    <row r="805" spans="2:5" ht="15.75" hidden="1" customHeight="1">
      <c r="B805" t="str">
        <f>Tuts!B803</f>
        <v>ELETRODUTO GALVANIZADO 3/4</v>
      </c>
      <c r="C805" s="13">
        <f>Tuts!E803</f>
        <v>24</v>
      </c>
      <c r="D805" s="18">
        <f>Tuts!J803</f>
        <v>22.085714285714289</v>
      </c>
      <c r="E805" s="13">
        <f>Tuts!D803</f>
        <v>15.46</v>
      </c>
    </row>
    <row r="806" spans="2:5" ht="15.75" hidden="1" customHeight="1">
      <c r="B806" t="str">
        <f>Tuts!B804</f>
        <v>ELETRODUTO PVC PRETO 1.1/2 X 3</v>
      </c>
      <c r="C806" s="13">
        <f>Tuts!E804</f>
        <v>32</v>
      </c>
      <c r="D806" s="18">
        <f>Tuts!J804</f>
        <v>27.857142857142858</v>
      </c>
      <c r="E806" s="13">
        <f>Tuts!D804</f>
        <v>19.5</v>
      </c>
    </row>
    <row r="807" spans="2:5" ht="15.75" hidden="1" customHeight="1">
      <c r="B807" t="str">
        <f>Tuts!B805</f>
        <v>ELETRODUTO PVC PRETO 1.1/4 X 3</v>
      </c>
      <c r="C807" s="13">
        <f>Tuts!E805</f>
        <v>30</v>
      </c>
      <c r="D807" s="18">
        <f>Tuts!J805</f>
        <v>26.085714285714289</v>
      </c>
      <c r="E807" s="13">
        <f>Tuts!D805</f>
        <v>18.260000000000002</v>
      </c>
    </row>
    <row r="808" spans="2:5" ht="15.75" hidden="1" customHeight="1">
      <c r="B808" t="str">
        <f>Tuts!B806</f>
        <v>EMENDA RAPIDA TRAMONTINA</v>
      </c>
      <c r="C808" s="13">
        <f>Tuts!E806</f>
        <v>6</v>
      </c>
      <c r="D808" s="18">
        <f>Tuts!J806</f>
        <v>4.9857142857142867</v>
      </c>
      <c r="E808" s="13">
        <f>Tuts!D806</f>
        <v>3.49</v>
      </c>
    </row>
    <row r="809" spans="2:5" ht="15.75" hidden="1" customHeight="1">
      <c r="B809" t="str">
        <f>Tuts!B807</f>
        <v>EMENDA RETA MADEIRA 45CM (UNI)</v>
      </c>
      <c r="C809" s="13">
        <f>Tuts!E807</f>
        <v>19.899999999999999</v>
      </c>
      <c r="D809" s="18">
        <f>Tuts!J807</f>
        <v>16.357142857142858</v>
      </c>
      <c r="E809" s="13">
        <f>Tuts!D807</f>
        <v>11.45</v>
      </c>
    </row>
    <row r="810" spans="2:5" ht="15.75" hidden="1" customHeight="1">
      <c r="B810" t="str">
        <f>Tuts!B808</f>
        <v>ENGATE FLEXIVEL 30CM</v>
      </c>
      <c r="C810" s="13">
        <f>Tuts!E808</f>
        <v>7</v>
      </c>
      <c r="D810" s="18">
        <f>Tuts!J808</f>
        <v>6.2142857142857144</v>
      </c>
      <c r="E810" s="13">
        <f>Tuts!D808</f>
        <v>4.3499999999999996</v>
      </c>
    </row>
    <row r="811" spans="2:5" ht="15.75" hidden="1" customHeight="1">
      <c r="B811" t="str">
        <f>Tuts!B809</f>
        <v>ENGATE FLEXIVEL 40CM</v>
      </c>
      <c r="C811" s="13">
        <f>Tuts!E809</f>
        <v>8.5</v>
      </c>
      <c r="D811" s="18">
        <f>Tuts!J809</f>
        <v>6.1</v>
      </c>
      <c r="E811" s="13">
        <f>Tuts!D809</f>
        <v>4.2699999999999996</v>
      </c>
    </row>
    <row r="812" spans="2:5" ht="15.75" hidden="1" customHeight="1">
      <c r="B812" t="str">
        <f>Tuts!B810</f>
        <v>ENGATE FLEXIVEL 50CM</v>
      </c>
      <c r="C812" s="13">
        <f>Tuts!E810</f>
        <v>8</v>
      </c>
      <c r="D812" s="18">
        <f>Tuts!J810</f>
        <v>6.1428571428571432</v>
      </c>
      <c r="E812" s="13">
        <f>Tuts!D810</f>
        <v>4.3</v>
      </c>
    </row>
    <row r="813" spans="2:5" ht="15.75" hidden="1" customHeight="1">
      <c r="B813" t="str">
        <f>Tuts!B811</f>
        <v>ENGATE FLEXIVEL 60CM</v>
      </c>
      <c r="C813" s="13">
        <f>Tuts!E811</f>
        <v>10.5</v>
      </c>
      <c r="D813" s="18">
        <f>Tuts!J811</f>
        <v>9</v>
      </c>
      <c r="E813" s="13">
        <f>Tuts!D811</f>
        <v>6.3</v>
      </c>
    </row>
    <row r="814" spans="2:5" ht="15.75" hidden="1" customHeight="1">
      <c r="B814" t="str">
        <f>Tuts!B812</f>
        <v>ENGATE RAPIDO C/ ADAP METAL FOX</v>
      </c>
      <c r="C814" s="13">
        <f>Tuts!E812</f>
        <v>23</v>
      </c>
      <c r="D814" s="18">
        <f>Tuts!J812</f>
        <v>21.285714285714288</v>
      </c>
      <c r="E814" s="13">
        <f>Tuts!D812</f>
        <v>14.9</v>
      </c>
    </row>
    <row r="815" spans="2:5" ht="15.75" hidden="1" customHeight="1">
      <c r="B815" t="str">
        <f>Tuts!B813</f>
        <v>ENGATE RAPIDO ESGUICHO TRAMONTINA</v>
      </c>
      <c r="C815" s="13">
        <f>Tuts!E813</f>
        <v>6</v>
      </c>
      <c r="D815" s="18">
        <f>Tuts!J813</f>
        <v>5.5714285714285721</v>
      </c>
      <c r="E815" s="13">
        <f>Tuts!D813</f>
        <v>3.9</v>
      </c>
    </row>
    <row r="816" spans="2:5" ht="15.75" hidden="1" customHeight="1">
      <c r="B816" t="str">
        <f>Tuts!B814</f>
        <v>ENGATE RAPIDO FEMEA TRAMONTINA</v>
      </c>
      <c r="C816" s="13">
        <f>Tuts!E814</f>
        <v>5</v>
      </c>
      <c r="D816" s="18">
        <f>Tuts!J814</f>
        <v>3.5714285714285716</v>
      </c>
      <c r="E816" s="13">
        <f>Tuts!D814</f>
        <v>2.5</v>
      </c>
    </row>
    <row r="817" spans="2:5" ht="15.75" hidden="1" customHeight="1">
      <c r="B817" t="str">
        <f>Tuts!B815</f>
        <v>ENGATE RAPIDO MACHO TRAMONTINA</v>
      </c>
      <c r="C817" s="13">
        <f>Tuts!E815</f>
        <v>5</v>
      </c>
      <c r="D817" s="18">
        <f>Tuts!J815</f>
        <v>4.1714285714285717</v>
      </c>
      <c r="E817" s="13">
        <f>Tuts!D815</f>
        <v>2.92</v>
      </c>
    </row>
    <row r="818" spans="2:5" ht="15.75" hidden="1" customHeight="1">
      <c r="B818" t="str">
        <f>Tuts!B816</f>
        <v>ENROLADOR MANGUEIRA MEIA LUA METAL</v>
      </c>
      <c r="C818" s="13">
        <f>Tuts!E816</f>
        <v>40</v>
      </c>
      <c r="D818" s="18">
        <f>Tuts!J816</f>
        <v>35.714285714285715</v>
      </c>
      <c r="E818" s="13">
        <f>Tuts!D816</f>
        <v>25</v>
      </c>
    </row>
    <row r="819" spans="2:5" ht="15.75" hidden="1" customHeight="1">
      <c r="B819" t="str">
        <f>Tuts!B817</f>
        <v>ENXADA FUZIL 3,0L C/ CABO</v>
      </c>
      <c r="C819" s="13">
        <f>Tuts!E817</f>
        <v>76.900000000000006</v>
      </c>
      <c r="D819" s="18">
        <f>Tuts!J817</f>
        <v>70.885714285714286</v>
      </c>
      <c r="E819" s="13">
        <f>Tuts!D817</f>
        <v>49.62</v>
      </c>
    </row>
    <row r="820" spans="2:5" ht="15.75" hidden="1" customHeight="1">
      <c r="B820" t="str">
        <f>Tuts!B818</f>
        <v>ENXADA LARGA PEGORARI</v>
      </c>
      <c r="C820" s="13">
        <f>Tuts!E818</f>
        <v>55</v>
      </c>
      <c r="D820" s="18">
        <f>Tuts!J818</f>
        <v>50.75714285714286</v>
      </c>
      <c r="E820" s="13">
        <f>Tuts!D818</f>
        <v>35.53</v>
      </c>
    </row>
    <row r="821" spans="2:5" ht="15.75" hidden="1" customHeight="1">
      <c r="B821" t="str">
        <f>Tuts!B819</f>
        <v>ENXADA MONFORT 2,5L S/ CABO</v>
      </c>
      <c r="C821" s="13">
        <f>Tuts!E819</f>
        <v>56</v>
      </c>
      <c r="D821" s="18">
        <f>Tuts!J819</f>
        <v>51.071428571428577</v>
      </c>
      <c r="E821" s="13">
        <f>Tuts!D819</f>
        <v>35.75</v>
      </c>
    </row>
    <row r="822" spans="2:5" ht="15.75" hidden="1" customHeight="1">
      <c r="B822" t="str">
        <f>Tuts!B820</f>
        <v>ENXADA SERVENTE 2,0L</v>
      </c>
      <c r="C822" s="13">
        <f>Tuts!E820</f>
        <v>55</v>
      </c>
      <c r="D822" s="18">
        <f>Tuts!J820</f>
        <v>50.75714285714286</v>
      </c>
      <c r="E822" s="13">
        <f>Tuts!D820</f>
        <v>35.53</v>
      </c>
    </row>
    <row r="823" spans="2:5" ht="15.75" hidden="1" customHeight="1">
      <c r="B823" t="str">
        <f>Tuts!B821</f>
        <v>ENXADA TANE 1,5L</v>
      </c>
      <c r="C823" s="13">
        <f>Tuts!E821</f>
        <v>75</v>
      </c>
      <c r="D823" s="18">
        <f>Tuts!J821</f>
        <v>78.142857142857153</v>
      </c>
      <c r="E823" s="13">
        <f>Tuts!D821</f>
        <v>54.7</v>
      </c>
    </row>
    <row r="824" spans="2:5" ht="15.75" hidden="1" customHeight="1">
      <c r="B824" t="str">
        <f>Tuts!B822</f>
        <v>ENXADA TANE 2,0L</v>
      </c>
      <c r="C824" s="13">
        <f>Tuts!E822</f>
        <v>85</v>
      </c>
      <c r="D824" s="18">
        <f>Tuts!J822</f>
        <v>88.485714285714295</v>
      </c>
      <c r="E824" s="13">
        <f>Tuts!D822</f>
        <v>61.94</v>
      </c>
    </row>
    <row r="825" spans="2:5" ht="15.75" hidden="1" customHeight="1">
      <c r="B825" t="str">
        <f>Tuts!B823</f>
        <v>ENXADAO DUAS CARAS S/ CABO</v>
      </c>
      <c r="C825" s="13">
        <f>Tuts!E823</f>
        <v>65.3</v>
      </c>
      <c r="D825" s="18">
        <f>Tuts!J823</f>
        <v>69.099999999999994</v>
      </c>
      <c r="E825" s="13">
        <f>Tuts!D823</f>
        <v>48.37</v>
      </c>
    </row>
    <row r="826" spans="2:5" ht="15.75" hidden="1" customHeight="1">
      <c r="B826" t="str">
        <f>Tuts!B824</f>
        <v>ENXADAO LARGO TRAMONTINA S/ CABO</v>
      </c>
      <c r="C826" s="13">
        <f>Tuts!E824</f>
        <v>52</v>
      </c>
      <c r="D826" s="18">
        <f>Tuts!J824</f>
        <v>47.6</v>
      </c>
      <c r="E826" s="13">
        <f>Tuts!D824</f>
        <v>33.32</v>
      </c>
    </row>
    <row r="827" spans="2:5" ht="15.75" hidden="1" customHeight="1">
      <c r="B827" t="str">
        <f>Tuts!B825</f>
        <v>ENXADAO PANDOLFO S/ CABO</v>
      </c>
      <c r="C827" s="13">
        <f>Tuts!E825</f>
        <v>42.8</v>
      </c>
      <c r="D827" s="18">
        <f>Tuts!J825</f>
        <v>36.657142857142858</v>
      </c>
      <c r="E827" s="13">
        <f>Tuts!D825</f>
        <v>25.66</v>
      </c>
    </row>
    <row r="828" spans="2:5" ht="15.75" hidden="1" customHeight="1">
      <c r="B828" t="str">
        <f>Tuts!B826</f>
        <v>ENXADAO SERVENTE 2,5L C/ CABO</v>
      </c>
      <c r="C828" s="13">
        <f>Tuts!E826</f>
        <v>73.900000000000006</v>
      </c>
      <c r="D828" s="18">
        <f>Tuts!J826</f>
        <v>67.757142857142867</v>
      </c>
      <c r="E828" s="13">
        <f>Tuts!D826</f>
        <v>47.43</v>
      </c>
    </row>
    <row r="829" spans="2:5" ht="15.75" hidden="1" customHeight="1">
      <c r="B829" t="str">
        <f>Tuts!B827</f>
        <v>ESCADA DOMESTICA 4 DEGRAUS AGATA</v>
      </c>
      <c r="C829" s="13">
        <f>Tuts!E827</f>
        <v>199.9</v>
      </c>
      <c r="D829" s="18">
        <f>Tuts!J827</f>
        <v>185.51428571428573</v>
      </c>
      <c r="E829" s="13">
        <f>Tuts!D827</f>
        <v>129.86000000000001</v>
      </c>
    </row>
    <row r="830" spans="2:5" ht="15.75" hidden="1" customHeight="1">
      <c r="B830" t="str">
        <f>Tuts!B828</f>
        <v>ESCADA DOMESTICA 5 DEGRAUS AGATA</v>
      </c>
      <c r="C830" s="13">
        <f>Tuts!E828</f>
        <v>235</v>
      </c>
      <c r="D830" s="18">
        <f>Tuts!J828</f>
        <v>213.95714285714288</v>
      </c>
      <c r="E830" s="13">
        <f>Tuts!D828</f>
        <v>149.77000000000001</v>
      </c>
    </row>
    <row r="831" spans="2:5" ht="15.75" hidden="1" customHeight="1">
      <c r="B831" t="str">
        <f>Tuts!B829</f>
        <v>ESCADA DOMESTICA 6 DEGRAUS AGATA</v>
      </c>
      <c r="C831" s="13">
        <f>Tuts!E829</f>
        <v>290</v>
      </c>
      <c r="D831" s="18">
        <f>Tuts!J829</f>
        <v>269.0428571428572</v>
      </c>
      <c r="E831" s="13">
        <f>Tuts!D829</f>
        <v>188.33</v>
      </c>
    </row>
    <row r="832" spans="2:5" ht="15.75" hidden="1" customHeight="1">
      <c r="B832" t="str">
        <f>Tuts!B830</f>
        <v>ESCADA DOMESTICA 7 DEGRAUS AGATA</v>
      </c>
      <c r="C832" s="13">
        <f>Tuts!E830</f>
        <v>310</v>
      </c>
      <c r="D832" s="18">
        <f>Tuts!J830</f>
        <v>283.78571428571433</v>
      </c>
      <c r="E832" s="13">
        <f>Tuts!D830</f>
        <v>198.65</v>
      </c>
    </row>
    <row r="833" spans="2:5" ht="15.75" hidden="1" customHeight="1">
      <c r="B833" t="str">
        <f>Tuts!B831</f>
        <v>ESCADA DOMESTICA 8 DEGRAUS AGATA</v>
      </c>
      <c r="C833" s="13">
        <f>Tuts!E831</f>
        <v>363</v>
      </c>
      <c r="D833" s="18">
        <f>Tuts!J831</f>
        <v>336.55714285714288</v>
      </c>
      <c r="E833" s="13">
        <f>Tuts!D831</f>
        <v>235.59</v>
      </c>
    </row>
    <row r="834" spans="2:5" ht="15.75" hidden="1" customHeight="1">
      <c r="B834" t="str">
        <f>Tuts!B832</f>
        <v>ESCADA EXTENSIVA 10 DEGRAUS ALUMINIO AGATA</v>
      </c>
      <c r="C834" s="13">
        <f>Tuts!E832</f>
        <v>930</v>
      </c>
      <c r="D834" s="18">
        <f>Tuts!J832</f>
        <v>865.25714285714287</v>
      </c>
      <c r="E834" s="13">
        <f>Tuts!D832</f>
        <v>605.67999999999995</v>
      </c>
    </row>
    <row r="835" spans="2:5" ht="15.75" hidden="1" customHeight="1">
      <c r="B835" t="str">
        <f>Tuts!B833</f>
        <v>ESCOVA AÇO ATLAS 6 FILEIRAS</v>
      </c>
      <c r="C835" s="13">
        <f>Tuts!E833</f>
        <v>25.5</v>
      </c>
      <c r="D835" s="18">
        <f>Tuts!J833</f>
        <v>23.428571428571427</v>
      </c>
      <c r="E835" s="13">
        <f>Tuts!D833</f>
        <v>16.399999999999999</v>
      </c>
    </row>
    <row r="836" spans="2:5" ht="15.75" hidden="1" customHeight="1">
      <c r="B836" t="str">
        <f>Tuts!B834</f>
        <v>ESCOVA AÇO COMPEL COM CABO 3 FILEIRAS</v>
      </c>
      <c r="C836" s="13">
        <f>Tuts!E834</f>
        <v>8.5</v>
      </c>
      <c r="D836" s="18">
        <f>Tuts!J834</f>
        <v>6.6571428571428575</v>
      </c>
      <c r="E836" s="13">
        <f>Tuts!D834</f>
        <v>4.66</v>
      </c>
    </row>
    <row r="837" spans="2:5" ht="15.75" hidden="1" customHeight="1">
      <c r="B837" t="str">
        <f>Tuts!B835</f>
        <v>ESCUDO DE SOLDA</v>
      </c>
      <c r="C837" s="13">
        <f>Tuts!E835</f>
        <v>52</v>
      </c>
      <c r="D837" s="18">
        <f>Tuts!J835</f>
        <v>56.20000000000001</v>
      </c>
      <c r="E837" s="13">
        <f>Tuts!D835</f>
        <v>39.340000000000003</v>
      </c>
    </row>
    <row r="838" spans="2:5" ht="15.75" hidden="1" customHeight="1">
      <c r="B838" t="str">
        <f>Tuts!B836</f>
        <v>Esguicho 7 Funções</v>
      </c>
      <c r="C838" s="13">
        <f>Tuts!E836</f>
        <v>15</v>
      </c>
      <c r="D838" s="18">
        <f>Tuts!J836</f>
        <v>14.285714285714286</v>
      </c>
      <c r="E838" s="13">
        <f>Tuts!D836</f>
        <v>10</v>
      </c>
    </row>
    <row r="839" spans="2:5" ht="15.75" hidden="1" customHeight="1">
      <c r="B839" t="str">
        <f>Tuts!B837</f>
        <v>ESGUICHO JARDIM VERDE BICO DE METAL GARDEN</v>
      </c>
      <c r="C839" s="13">
        <f>Tuts!E837</f>
        <v>22</v>
      </c>
      <c r="D839" s="18">
        <f>Tuts!J837</f>
        <v>20</v>
      </c>
      <c r="E839" s="13">
        <f>Tuts!D837</f>
        <v>14</v>
      </c>
    </row>
    <row r="840" spans="2:5" ht="15.75" hidden="1" customHeight="1">
      <c r="B840" t="str">
        <f>Tuts!B838</f>
        <v>ESGUICHO METAL FOX</v>
      </c>
      <c r="C840" s="13">
        <f>Tuts!E838</f>
        <v>22</v>
      </c>
      <c r="D840" s="18">
        <f>Tuts!J838</f>
        <v>19.857142857142858</v>
      </c>
      <c r="E840" s="13">
        <f>Tuts!D838</f>
        <v>13.9</v>
      </c>
    </row>
    <row r="841" spans="2:5" ht="15.75" hidden="1" customHeight="1">
      <c r="B841" t="str">
        <f>Tuts!B839</f>
        <v>ESPACADOR CRUZETA</v>
      </c>
      <c r="C841" s="13">
        <f>Tuts!E839</f>
        <v>4.8</v>
      </c>
      <c r="D841" s="18">
        <f>Tuts!J839</f>
        <v>3.1285714285714286</v>
      </c>
      <c r="E841" s="13">
        <f>Tuts!D839</f>
        <v>2.19</v>
      </c>
    </row>
    <row r="842" spans="2:5" ht="15.75" hidden="1" customHeight="1">
      <c r="B842" t="str">
        <f>Tuts!B840</f>
        <v>ESPACADOR NIVELADOR ALINHA PISO 1/1.5/2MM DEPLASTI</v>
      </c>
      <c r="C842" s="13">
        <f>Tuts!E840</f>
        <v>11.2</v>
      </c>
      <c r="D842" s="18">
        <f>Tuts!J840</f>
        <v>9.2142857142857153</v>
      </c>
      <c r="E842" s="13">
        <f>Tuts!D840</f>
        <v>6.45</v>
      </c>
    </row>
    <row r="843" spans="2:5" ht="15.75" hidden="1" customHeight="1">
      <c r="B843" t="str">
        <f>Tuts!B841</f>
        <v>ESPAÇADOR NIVELADOR CORTAG C/ 50 PCS</v>
      </c>
      <c r="C843" s="13">
        <f>Tuts!E841</f>
        <v>22</v>
      </c>
      <c r="D843" s="18">
        <f>Tuts!J841</f>
        <v>17.857142857142858</v>
      </c>
      <c r="E843" s="13">
        <f>Tuts!D841</f>
        <v>12.5</v>
      </c>
    </row>
    <row r="844" spans="2:5" ht="15.75" hidden="1" customHeight="1">
      <c r="B844" t="str">
        <f>Tuts!B842</f>
        <v>ESPACADOR NIVELADOR CORTAG PCT C 50PCS</v>
      </c>
      <c r="C844" s="13">
        <f>Tuts!E842</f>
        <v>19.899999999999999</v>
      </c>
      <c r="D844" s="18">
        <f>Tuts!J842</f>
        <v>17.857142857142858</v>
      </c>
      <c r="E844" s="13">
        <f>Tuts!D842</f>
        <v>12.5</v>
      </c>
    </row>
    <row r="845" spans="2:5" ht="15.75" hidden="1" customHeight="1">
      <c r="B845" t="str">
        <f>Tuts!B843</f>
        <v>ESPATULA PAG 10</v>
      </c>
      <c r="C845" s="13">
        <f>Tuts!E843</f>
        <v>14</v>
      </c>
      <c r="D845" s="18">
        <f>Tuts!J843</f>
        <v>12.000000000000002</v>
      </c>
      <c r="E845" s="13">
        <f>Tuts!D843</f>
        <v>8.4</v>
      </c>
    </row>
    <row r="846" spans="2:5" ht="15.75" hidden="1" customHeight="1">
      <c r="B846" t="str">
        <f>Tuts!B844</f>
        <v>ESPATULA PAG 12</v>
      </c>
      <c r="C846" s="13">
        <f>Tuts!E844</f>
        <v>16</v>
      </c>
      <c r="D846" s="18">
        <f>Tuts!J844</f>
        <v>12.928571428571431</v>
      </c>
      <c r="E846" s="13">
        <f>Tuts!D844</f>
        <v>9.0500000000000007</v>
      </c>
    </row>
    <row r="847" spans="2:5" ht="15.75" hidden="1" customHeight="1">
      <c r="B847" t="str">
        <f>Tuts!B845</f>
        <v>ESPATULA PAG 15</v>
      </c>
      <c r="C847" s="13">
        <f>Tuts!E845</f>
        <v>18</v>
      </c>
      <c r="D847" s="18">
        <f>Tuts!J845</f>
        <v>13.642857142857144</v>
      </c>
      <c r="E847" s="13">
        <f>Tuts!D845</f>
        <v>9.5500000000000007</v>
      </c>
    </row>
    <row r="848" spans="2:5" ht="15.75" hidden="1" customHeight="1">
      <c r="B848" t="str">
        <f>Tuts!B846</f>
        <v xml:space="preserve">ESPETO SIMPLES GIRATORIO </v>
      </c>
      <c r="C848" s="13">
        <f>Tuts!E846</f>
        <v>170</v>
      </c>
      <c r="D848" s="18">
        <f>Tuts!J846</f>
        <v>157.14285714285714</v>
      </c>
      <c r="E848" s="13">
        <f>Tuts!D846</f>
        <v>110</v>
      </c>
    </row>
    <row r="849" spans="2:5" ht="15.75" hidden="1" customHeight="1">
      <c r="B849" t="str">
        <f>Tuts!B847</f>
        <v>ESPUDE PARA VASO</v>
      </c>
      <c r="C849" s="13">
        <f>Tuts!E847</f>
        <v>6</v>
      </c>
      <c r="D849" s="18">
        <f>Tuts!J847</f>
        <v>5.5714285714285721</v>
      </c>
      <c r="E849" s="13">
        <f>Tuts!D847</f>
        <v>3.9</v>
      </c>
    </row>
    <row r="850" spans="2:5" ht="15.75" hidden="1" customHeight="1">
      <c r="B850" t="str">
        <f>Tuts!B848</f>
        <v>ESPUMA EXPANSIVA  500ML</v>
      </c>
      <c r="C850" s="13">
        <f>Tuts!E848</f>
        <v>38</v>
      </c>
      <c r="D850" s="18">
        <f>Tuts!J848</f>
        <v>34.628571428571426</v>
      </c>
      <c r="E850" s="13">
        <f>Tuts!D848</f>
        <v>24.24</v>
      </c>
    </row>
    <row r="851" spans="2:5" ht="15.75" hidden="1" customHeight="1">
      <c r="B851" t="str">
        <f>Tuts!B849</f>
        <v>ESPUMA EXPANSIVA 430ML</v>
      </c>
      <c r="C851" s="13">
        <f>Tuts!E849</f>
        <v>26</v>
      </c>
      <c r="D851" s="18">
        <f>Tuts!J849</f>
        <v>24.114285714285714</v>
      </c>
      <c r="E851" s="13">
        <f>Tuts!D849</f>
        <v>16.88</v>
      </c>
    </row>
    <row r="852" spans="2:5" ht="15.75" hidden="1" customHeight="1">
      <c r="B852" t="str">
        <f>Tuts!B850</f>
        <v>ESTANHO 15G</v>
      </c>
      <c r="C852" s="13">
        <f>Tuts!E850</f>
        <v>7</v>
      </c>
      <c r="D852" s="18">
        <f>Tuts!J850</f>
        <v>6.4285714285714288</v>
      </c>
      <c r="E852" s="13">
        <f>Tuts!D850</f>
        <v>4.5</v>
      </c>
    </row>
    <row r="853" spans="2:5" ht="15.75" hidden="1" customHeight="1">
      <c r="B853" t="str">
        <f>Tuts!B851</f>
        <v>Estilete 18mm Fertak</v>
      </c>
      <c r="C853" s="13">
        <f>Tuts!E851</f>
        <v>8</v>
      </c>
      <c r="D853" s="18">
        <f>Tuts!J851</f>
        <v>3.5714285714285716</v>
      </c>
      <c r="E853" s="13">
        <f>Tuts!D851</f>
        <v>2.5</v>
      </c>
    </row>
    <row r="854" spans="2:5" ht="15.75" hidden="1" customHeight="1">
      <c r="B854" t="str">
        <f>Tuts!B852</f>
        <v>ESTRIBO QUADRADO 15X15 5/16</v>
      </c>
      <c r="C854" s="13">
        <f>Tuts!E852</f>
        <v>2.4500000000000002</v>
      </c>
      <c r="D854" s="18">
        <f>Tuts!J852</f>
        <v>2.2428571428571429</v>
      </c>
      <c r="E854" s="13">
        <f>Tuts!D852</f>
        <v>1.57</v>
      </c>
    </row>
    <row r="855" spans="2:5" ht="15.75" hidden="1" customHeight="1">
      <c r="B855" t="str">
        <f>Tuts!B853</f>
        <v>ESTRIBO RETANGULAR 7X15 5/16</v>
      </c>
      <c r="C855" s="13">
        <f>Tuts!E853</f>
        <v>1.85</v>
      </c>
      <c r="D855" s="18">
        <f>Tuts!J853</f>
        <v>1.4285714285714286</v>
      </c>
      <c r="E855" s="13">
        <f>Tuts!D853</f>
        <v>1</v>
      </c>
    </row>
    <row r="856" spans="2:5" ht="15.75" hidden="1" customHeight="1">
      <c r="B856" t="str">
        <f>Tuts!B854</f>
        <v>EUCATEX ACRILICA RENDE EXTRA 18L</v>
      </c>
      <c r="C856" s="13">
        <f>Tuts!E854</f>
        <v>345</v>
      </c>
      <c r="D856" s="18">
        <f>Tuts!J854</f>
        <v>306.11428571428576</v>
      </c>
      <c r="E856" s="13">
        <f>Tuts!D854</f>
        <v>214.28</v>
      </c>
    </row>
    <row r="857" spans="2:5" ht="15.75" hidden="1" customHeight="1">
      <c r="B857" t="str">
        <f>Tuts!B855</f>
        <v>EUCATEX ACRILICA RENDE EXTRA 3,6L</v>
      </c>
      <c r="C857" s="13">
        <f>Tuts!E855</f>
        <v>87.5</v>
      </c>
      <c r="D857" s="18">
        <f>Tuts!J855</f>
        <v>74.728571428571442</v>
      </c>
      <c r="E857" s="13">
        <f>Tuts!D855</f>
        <v>52.31</v>
      </c>
    </row>
    <row r="858" spans="2:5" ht="15.75" hidden="1" customHeight="1">
      <c r="B858" t="str">
        <f>Tuts!B856</f>
        <v>EUCATEX AGUARRAS 5L</v>
      </c>
      <c r="C858" s="13">
        <f>Tuts!E856</f>
        <v>100</v>
      </c>
      <c r="D858" s="18">
        <f>Tuts!J856</f>
        <v>92.857142857142861</v>
      </c>
      <c r="E858" s="13">
        <f>Tuts!D856</f>
        <v>65</v>
      </c>
    </row>
    <row r="859" spans="2:5" ht="15.75" hidden="1" customHeight="1">
      <c r="B859" t="str">
        <f>Tuts!B857</f>
        <v>EUCATEX AGUARRAS 900ML</v>
      </c>
      <c r="C859" s="13">
        <f>Tuts!E857</f>
        <v>18</v>
      </c>
      <c r="D859" s="18">
        <f>Tuts!J857</f>
        <v>16.742857142857144</v>
      </c>
      <c r="E859" s="13">
        <f>Tuts!D857</f>
        <v>11.72</v>
      </c>
    </row>
    <row r="860" spans="2:5" ht="15.75" hidden="1" customHeight="1">
      <c r="B860" t="str">
        <f>Tuts!B858</f>
        <v>EUCATEX ESMALTE EUCALUX PRETO FOSCO 3,6L</v>
      </c>
      <c r="C860" s="13">
        <f>Tuts!E858</f>
        <v>130</v>
      </c>
      <c r="D860" s="18">
        <f>Tuts!J858</f>
        <v>118.78571428571431</v>
      </c>
      <c r="E860" s="13">
        <f>Tuts!D858</f>
        <v>83.15</v>
      </c>
    </row>
    <row r="861" spans="2:5" ht="15.75" hidden="1" customHeight="1">
      <c r="B861" t="str">
        <f>Tuts!B859</f>
        <v>EUCATEX ESMALTE PEG PINTE 3,6L</v>
      </c>
      <c r="C861" s="13">
        <f>Tuts!E859</f>
        <v>110</v>
      </c>
      <c r="D861" s="18">
        <f>Tuts!J859</f>
        <v>101.42857142857143</v>
      </c>
      <c r="E861" s="13">
        <f>Tuts!D859</f>
        <v>71</v>
      </c>
    </row>
    <row r="862" spans="2:5" ht="15.75" hidden="1" customHeight="1">
      <c r="B862" t="str">
        <f>Tuts!B860</f>
        <v>EUCATEX ESMALTE PEG PINTE 900ML</v>
      </c>
      <c r="C862" s="13">
        <f>Tuts!E860</f>
        <v>32</v>
      </c>
      <c r="D862" s="18">
        <f>Tuts!J860</f>
        <v>28.557142857142857</v>
      </c>
      <c r="E862" s="13">
        <f>Tuts!D860</f>
        <v>19.989999999999998</v>
      </c>
    </row>
    <row r="863" spans="2:5" ht="15.75" hidden="1" customHeight="1">
      <c r="B863" t="str">
        <f>Tuts!B861</f>
        <v>EUCATEX ESMALTE PEG PINTE ALUMINIO 900ML</v>
      </c>
      <c r="C863" s="13">
        <f>Tuts!E861</f>
        <v>41</v>
      </c>
      <c r="D863" s="18">
        <f>Tuts!J861</f>
        <v>37.857142857142861</v>
      </c>
      <c r="E863" s="13">
        <f>Tuts!D861</f>
        <v>26.5</v>
      </c>
    </row>
    <row r="864" spans="2:5" ht="15.75" hidden="1" customHeight="1">
      <c r="B864" t="str">
        <f>Tuts!B862</f>
        <v>EUCATEX EUC SUPERPREN PAREDES BR 18L</v>
      </c>
      <c r="C864" s="13">
        <f>Tuts!E862</f>
        <v>350</v>
      </c>
      <c r="D864" s="18">
        <f>Tuts!J862</f>
        <v>322.22857142857146</v>
      </c>
      <c r="E864" s="13">
        <f>Tuts!D862</f>
        <v>225.56</v>
      </c>
    </row>
    <row r="865" spans="2:5" ht="15.75" hidden="1" customHeight="1">
      <c r="B865" t="str">
        <f>Tuts!B863</f>
        <v>EUCATEX EXTRA PISO 18L</v>
      </c>
      <c r="C865" s="13">
        <f>Tuts!E863</f>
        <v>260</v>
      </c>
      <c r="D865" s="18">
        <f>Tuts!J863</f>
        <v>238.15714285714287</v>
      </c>
      <c r="E865" s="13">
        <f>Tuts!D863</f>
        <v>166.71</v>
      </c>
    </row>
    <row r="866" spans="2:5" ht="15.75" hidden="1" customHeight="1">
      <c r="B866" t="str">
        <f>Tuts!B864</f>
        <v>EUCATEX PEG PINTE TINTA ACRILICA INTERIOR 3,6L</v>
      </c>
      <c r="C866" s="13">
        <f>Tuts!E864</f>
        <v>60</v>
      </c>
      <c r="D866" s="18">
        <f>Tuts!J864</f>
        <v>54.971428571428568</v>
      </c>
      <c r="E866" s="13">
        <f>Tuts!D864</f>
        <v>38.479999999999997</v>
      </c>
    </row>
    <row r="867" spans="2:5" ht="15.75" hidden="1" customHeight="1">
      <c r="B867" t="str">
        <f>Tuts!B865</f>
        <v>EUCATEX RESINA ACRILICA CERAMICA TELHA 18L</v>
      </c>
      <c r="C867" s="13">
        <f>Tuts!E865</f>
        <v>361</v>
      </c>
      <c r="D867" s="18">
        <f>Tuts!J865</f>
        <v>334.75714285714292</v>
      </c>
      <c r="E867" s="13">
        <f>Tuts!D865</f>
        <v>234.33</v>
      </c>
    </row>
    <row r="868" spans="2:5" ht="15.75" hidden="1" customHeight="1">
      <c r="B868" t="str">
        <f>Tuts!B866</f>
        <v>EUCATEX RESINA ACRILICA INCOLOR 3,6L</v>
      </c>
      <c r="C868" s="13">
        <f>Tuts!E866</f>
        <v>93</v>
      </c>
      <c r="D868" s="18">
        <f>Tuts!J866</f>
        <v>85.985714285714295</v>
      </c>
      <c r="E868" s="13">
        <f>Tuts!D866</f>
        <v>60.19</v>
      </c>
    </row>
    <row r="869" spans="2:5" ht="15.75" hidden="1" customHeight="1">
      <c r="B869" t="str">
        <f>Tuts!B867</f>
        <v>EUCATEX SELADORA MADEIRA 3,6L</v>
      </c>
      <c r="C869" s="13">
        <f>Tuts!E867</f>
        <v>133</v>
      </c>
      <c r="D869" s="18">
        <f>Tuts!J867</f>
        <v>123.14285714285715</v>
      </c>
      <c r="E869" s="13">
        <f>Tuts!D867</f>
        <v>86.2</v>
      </c>
    </row>
    <row r="870" spans="2:5" ht="15.75" hidden="1" customHeight="1">
      <c r="B870" t="str">
        <f>Tuts!B868</f>
        <v>EUCATEX SELADORA MADEIRA 900ML</v>
      </c>
      <c r="C870" s="13">
        <f>Tuts!E868</f>
        <v>40</v>
      </c>
      <c r="D870" s="18">
        <f>Tuts!J868</f>
        <v>36.828571428571429</v>
      </c>
      <c r="E870" s="13">
        <f>Tuts!D868</f>
        <v>25.78</v>
      </c>
    </row>
    <row r="871" spans="2:5" ht="15.75" hidden="1" customHeight="1">
      <c r="B871" t="str">
        <f>Tuts!B869</f>
        <v>EUCATEX SUPERPREN PAREDES 3,6L</v>
      </c>
      <c r="C871" s="13">
        <f>Tuts!E869</f>
        <v>90</v>
      </c>
      <c r="D871" s="18">
        <f>Tuts!J869</f>
        <v>82.657142857142858</v>
      </c>
      <c r="E871" s="13">
        <f>Tuts!D869</f>
        <v>57.86</v>
      </c>
    </row>
    <row r="872" spans="2:5" ht="15.75" hidden="1" customHeight="1">
      <c r="B872" t="str">
        <f>Tuts!B870</f>
        <v>EUCATEX THINNER  5L</v>
      </c>
      <c r="C872" s="13">
        <f>Tuts!E870</f>
        <v>85</v>
      </c>
      <c r="D872" s="18">
        <f>Tuts!J870</f>
        <v>76.928571428571431</v>
      </c>
      <c r="E872" s="13">
        <f>Tuts!D870</f>
        <v>53.85</v>
      </c>
    </row>
    <row r="873" spans="2:5" ht="15.75" hidden="1" customHeight="1">
      <c r="B873" t="str">
        <f>Tuts!B871</f>
        <v>EUCATEX THINNER 900ML</v>
      </c>
      <c r="C873" s="13">
        <f>Tuts!E871</f>
        <v>18</v>
      </c>
      <c r="D873" s="18">
        <f>Tuts!J871</f>
        <v>15.485714285714286</v>
      </c>
      <c r="E873" s="13">
        <f>Tuts!D871</f>
        <v>10.84</v>
      </c>
    </row>
    <row r="874" spans="2:5" ht="15.75" hidden="1" customHeight="1">
      <c r="B874" t="str">
        <f>Tuts!B872</f>
        <v>EUCATEX VERNIZ BRILHANTE 225ML</v>
      </c>
      <c r="C874" s="13">
        <f>Tuts!E872</f>
        <v>19.5</v>
      </c>
      <c r="D874" s="18">
        <f>Tuts!J872</f>
        <v>15.142857142857144</v>
      </c>
      <c r="E874" s="13">
        <f>Tuts!D872</f>
        <v>10.6</v>
      </c>
    </row>
    <row r="875" spans="2:5" ht="15.75" hidden="1" customHeight="1">
      <c r="B875" t="str">
        <f>Tuts!B873</f>
        <v>EUCATEX VERNIZ BRILHANTE 900ML</v>
      </c>
      <c r="C875" s="13">
        <f>Tuts!E873</f>
        <v>38</v>
      </c>
      <c r="D875" s="18">
        <f>Tuts!J873</f>
        <v>34.6</v>
      </c>
      <c r="E875" s="13">
        <f>Tuts!D873</f>
        <v>24.22</v>
      </c>
    </row>
    <row r="876" spans="2:5" ht="15.75" hidden="1" customHeight="1">
      <c r="B876" t="str">
        <f>Tuts!B874</f>
        <v>EUCATEX VERNIZ IMBUIA/MOGNO 225ML</v>
      </c>
      <c r="C876" s="13">
        <f>Tuts!E874</f>
        <v>19.5</v>
      </c>
      <c r="D876" s="18">
        <f>Tuts!J874</f>
        <v>15.12857142857143</v>
      </c>
      <c r="E876" s="13">
        <f>Tuts!D874</f>
        <v>10.59</v>
      </c>
    </row>
    <row r="877" spans="2:5" ht="15.75" hidden="1" customHeight="1">
      <c r="B877" t="str">
        <f>Tuts!B875</f>
        <v>EUCATEX VERNIZ IMBUIA/MOGNO 3,6L</v>
      </c>
      <c r="C877" s="13">
        <f>Tuts!E875</f>
        <v>132</v>
      </c>
      <c r="D877" s="18">
        <f>Tuts!J875</f>
        <v>121.82857142857144</v>
      </c>
      <c r="E877" s="13">
        <f>Tuts!D875</f>
        <v>85.28</v>
      </c>
    </row>
    <row r="878" spans="2:5" ht="15.75" hidden="1" customHeight="1">
      <c r="B878" t="str">
        <f>Tuts!B876</f>
        <v>EUCATEX VERNIZ IMBUIA/MOGNO 900ML</v>
      </c>
      <c r="C878" s="13">
        <f>Tuts!E876</f>
        <v>40</v>
      </c>
      <c r="D878" s="18">
        <f>Tuts!J876</f>
        <v>36.614285714285714</v>
      </c>
      <c r="E878" s="13">
        <f>Tuts!D876</f>
        <v>25.63</v>
      </c>
    </row>
    <row r="879" spans="2:5" ht="15.75" hidden="1" customHeight="1">
      <c r="B879" t="str">
        <f>Tuts!B877</f>
        <v>EUCATEX VERNIZ MARITIMO BRILHANTE 3,6L</v>
      </c>
      <c r="C879" s="13">
        <f>Tuts!E877</f>
        <v>138</v>
      </c>
      <c r="D879" s="18">
        <f>Tuts!J877</f>
        <v>125.71428571428572</v>
      </c>
      <c r="E879" s="13">
        <f>Tuts!D877</f>
        <v>88</v>
      </c>
    </row>
    <row r="880" spans="2:5" ht="15.75" hidden="1" customHeight="1">
      <c r="B880" t="str">
        <f>Tuts!B878</f>
        <v>EUCATEX ZARCAO LARANJA/CINZA 3,6L</v>
      </c>
      <c r="C880" s="13">
        <f>Tuts!E878</f>
        <v>135</v>
      </c>
      <c r="D880" s="18">
        <f>Tuts!J878</f>
        <v>123.12857142857143</v>
      </c>
      <c r="E880" s="13">
        <f>Tuts!D878</f>
        <v>86.19</v>
      </c>
    </row>
    <row r="881" spans="2:5" ht="15.75" hidden="1" customHeight="1">
      <c r="B881" t="str">
        <f>Tuts!B879</f>
        <v>EUCATEX ZARCAO LARANJA/CINZA 900ML</v>
      </c>
      <c r="C881" s="13">
        <f>Tuts!E879</f>
        <v>40</v>
      </c>
      <c r="D881" s="18">
        <f>Tuts!J879</f>
        <v>34.657142857142858</v>
      </c>
      <c r="E881" s="13">
        <f>Tuts!D879</f>
        <v>24.26</v>
      </c>
    </row>
    <row r="882" spans="2:5" ht="15.75" hidden="1" customHeight="1">
      <c r="B882" t="str">
        <f>Tuts!B880</f>
        <v>EXTENSAO CROMADA CURTA 1/2</v>
      </c>
      <c r="C882" s="13">
        <f>Tuts!E880</f>
        <v>9.6</v>
      </c>
      <c r="D882" s="18">
        <f>Tuts!J880</f>
        <v>8.8571428571428577</v>
      </c>
      <c r="E882" s="13">
        <f>Tuts!D880</f>
        <v>6.2</v>
      </c>
    </row>
    <row r="883" spans="2:5" ht="15.75" hidden="1" customHeight="1">
      <c r="B883" t="str">
        <f>Tuts!B881</f>
        <v>EXTENSAO CROMADA CURTA 3/4</v>
      </c>
      <c r="C883" s="13">
        <f>Tuts!E881</f>
        <v>15.5</v>
      </c>
      <c r="D883" s="18">
        <f>Tuts!J881</f>
        <v>14.142857142857144</v>
      </c>
      <c r="E883" s="13">
        <f>Tuts!D881</f>
        <v>9.9</v>
      </c>
    </row>
    <row r="884" spans="2:5" ht="15.75" hidden="1" customHeight="1">
      <c r="B884" t="str">
        <f>Tuts!B882</f>
        <v>EXTENSAO CROMADA LONGA 1/2</v>
      </c>
      <c r="C884" s="13">
        <f>Tuts!E882</f>
        <v>14.5</v>
      </c>
      <c r="D884" s="18">
        <f>Tuts!J882</f>
        <v>13.142857142857142</v>
      </c>
      <c r="E884" s="13">
        <f>Tuts!D882</f>
        <v>9.1999999999999993</v>
      </c>
    </row>
    <row r="885" spans="2:5" ht="15.75" hidden="1" customHeight="1">
      <c r="B885" t="str">
        <f>Tuts!B883</f>
        <v>EXTENSAO CROMADA LONGA 3/4</v>
      </c>
      <c r="C885" s="13">
        <f>Tuts!E883</f>
        <v>18.8</v>
      </c>
      <c r="D885" s="18">
        <f>Tuts!J883</f>
        <v>17.357142857142858</v>
      </c>
      <c r="E885" s="13">
        <f>Tuts!D883</f>
        <v>12.15</v>
      </c>
    </row>
    <row r="886" spans="2:5" ht="15.75" hidden="1" customHeight="1">
      <c r="B886" t="str">
        <f>Tuts!B884</f>
        <v>EXTENSAO CROMADA MEDIA 1/2</v>
      </c>
      <c r="C886" s="13">
        <f>Tuts!E884</f>
        <v>13.5</v>
      </c>
      <c r="D886" s="18">
        <f>Tuts!J884</f>
        <v>11.857142857142859</v>
      </c>
      <c r="E886" s="13">
        <f>Tuts!D884</f>
        <v>8.3000000000000007</v>
      </c>
    </row>
    <row r="887" spans="2:5" ht="15.75" hidden="1" customHeight="1">
      <c r="B887" t="str">
        <f>Tuts!B885</f>
        <v>EXTENSOR FLEXIVEL DE TORNEIRA</v>
      </c>
      <c r="C887" s="13">
        <f>Tuts!E885</f>
        <v>23.9</v>
      </c>
      <c r="D887" s="18">
        <f>Tuts!J885</f>
        <v>17</v>
      </c>
      <c r="E887" s="13">
        <f>Tuts!D885</f>
        <v>11.9</v>
      </c>
    </row>
    <row r="888" spans="2:5" ht="15.75" hidden="1" customHeight="1">
      <c r="B888" t="str">
        <f>Tuts!B886</f>
        <v>EXTENSOR PARAFUSADEIRA</v>
      </c>
      <c r="C888" s="13">
        <f>Tuts!E886</f>
        <v>18.899999999999999</v>
      </c>
      <c r="D888" s="18">
        <f>Tuts!J886</f>
        <v>15.714285714285715</v>
      </c>
      <c r="E888" s="13">
        <f>Tuts!D886</f>
        <v>11</v>
      </c>
    </row>
    <row r="889" spans="2:5" ht="15.75" hidden="1" customHeight="1">
      <c r="B889" t="str">
        <f>Tuts!B887</f>
        <v>FACAO LONGO WENZEL</v>
      </c>
      <c r="C889" s="13">
        <f>Tuts!E887</f>
        <v>59.9</v>
      </c>
      <c r="D889" s="18">
        <f>Tuts!J887</f>
        <v>54.285714285714292</v>
      </c>
      <c r="E889" s="13">
        <f>Tuts!D887</f>
        <v>38</v>
      </c>
    </row>
    <row r="890" spans="2:5" ht="15.75" hidden="1" customHeight="1">
      <c r="B890" t="str">
        <f>Tuts!B888</f>
        <v>FAMASTIL IRRIGADOR SETORIAL 1/2</v>
      </c>
      <c r="C890" s="13">
        <f>Tuts!E888</f>
        <v>39</v>
      </c>
      <c r="D890" s="18">
        <f>Tuts!J888</f>
        <v>35.957142857142863</v>
      </c>
      <c r="E890" s="13">
        <f>Tuts!D888</f>
        <v>25.17</v>
      </c>
    </row>
    <row r="891" spans="2:5" ht="15.75" hidden="1" customHeight="1">
      <c r="B891" t="str">
        <f>Tuts!B889</f>
        <v>FAME CHUVEIRO DUCHA FAMINHO 4T 110/220</v>
      </c>
      <c r="C891" s="13">
        <f>Tuts!E889</f>
        <v>70</v>
      </c>
      <c r="D891" s="18">
        <f>Tuts!J889</f>
        <v>72.800000000000011</v>
      </c>
      <c r="E891" s="13">
        <f>Tuts!D889</f>
        <v>50.96</v>
      </c>
    </row>
    <row r="892" spans="2:5" ht="15.75" hidden="1" customHeight="1">
      <c r="B892" t="str">
        <f>Tuts!B890</f>
        <v>FAME PISTOLA COLA QUENTE 15W</v>
      </c>
      <c r="C892" s="13">
        <f>Tuts!E890</f>
        <v>38.5</v>
      </c>
      <c r="D892" s="18">
        <f>Tuts!J890</f>
        <v>34.68571428571429</v>
      </c>
      <c r="E892" s="13">
        <f>Tuts!D890</f>
        <v>24.28</v>
      </c>
    </row>
    <row r="893" spans="2:5" ht="15.75" hidden="1" customHeight="1">
      <c r="B893" t="str">
        <f>Tuts!B891</f>
        <v>FAME RESISTENCIA P/ DUCHA FAMINHO</v>
      </c>
      <c r="C893" s="13">
        <f>Tuts!E891</f>
        <v>44</v>
      </c>
      <c r="D893" s="18">
        <f>Tuts!J891</f>
        <v>40.142857142857146</v>
      </c>
      <c r="E893" s="13">
        <f>Tuts!D891</f>
        <v>28.1</v>
      </c>
    </row>
    <row r="894" spans="2:5" ht="15.75" hidden="1" customHeight="1">
      <c r="B894" t="str">
        <f>Tuts!B892</f>
        <v>FAME TORNEIRA COM FILTRO ACQUAFAM</v>
      </c>
      <c r="C894" s="13">
        <f>Tuts!E892</f>
        <v>110</v>
      </c>
      <c r="D894" s="18">
        <f>Tuts!J892</f>
        <v>102.04285714285716</v>
      </c>
      <c r="E894" s="13">
        <f>Tuts!D892</f>
        <v>71.430000000000007</v>
      </c>
    </row>
    <row r="895" spans="2:5" ht="15.75" hidden="1" customHeight="1">
      <c r="B895" t="str">
        <f>Tuts!B893</f>
        <v>FAME TORNEIRA ELETRICA 4T ELEGANCE</v>
      </c>
      <c r="C895" s="13">
        <f>Tuts!E893</f>
        <v>230</v>
      </c>
      <c r="D895" s="18">
        <f>Tuts!J893</f>
        <v>212.85714285714286</v>
      </c>
      <c r="E895" s="13">
        <f>Tuts!D893</f>
        <v>149</v>
      </c>
    </row>
    <row r="896" spans="2:5" ht="15.75" hidden="1" customHeight="1">
      <c r="B896" t="str">
        <f>Tuts!B894</f>
        <v>FECHADURA ELETRONICA AGL</v>
      </c>
      <c r="C896" s="13">
        <f>Tuts!E894</f>
        <v>165</v>
      </c>
      <c r="D896" s="18">
        <f>Tuts!J894</f>
        <v>152.42857142857144</v>
      </c>
      <c r="E896" s="13">
        <f>Tuts!D894</f>
        <v>106.7</v>
      </c>
    </row>
    <row r="897" spans="2:5" ht="15.75" hidden="1" customHeight="1">
      <c r="B897" t="str">
        <f>Tuts!B895</f>
        <v>FECHADURA EXT BICO DE PAPAGAIO PORTA DE CORRER 6917 AROUCA</v>
      </c>
      <c r="C897" s="13">
        <f>Tuts!E895</f>
        <v>72</v>
      </c>
      <c r="D897" s="18">
        <f>Tuts!J895</f>
        <v>65.7</v>
      </c>
      <c r="E897" s="13">
        <f>Tuts!D895</f>
        <v>45.99</v>
      </c>
    </row>
    <row r="898" spans="2:5" ht="15.75" hidden="1" customHeight="1">
      <c r="B898" t="str">
        <f>Tuts!B896</f>
        <v>FERRO DE PUA 1/4</v>
      </c>
      <c r="C898" s="13">
        <f>Tuts!E896</f>
        <v>35</v>
      </c>
      <c r="D898" s="18">
        <f>Tuts!J896</f>
        <v>29.4</v>
      </c>
      <c r="E898" s="13">
        <f>Tuts!D896</f>
        <v>20.58</v>
      </c>
    </row>
    <row r="899" spans="2:5" ht="15.75" hidden="1" customHeight="1">
      <c r="B899" t="str">
        <f>Tuts!B897</f>
        <v>FERRO DE PUA 3/8</v>
      </c>
      <c r="C899" s="13">
        <f>Tuts!E897</f>
        <v>38</v>
      </c>
      <c r="D899" s="18">
        <f>Tuts!J897</f>
        <v>33.742857142857147</v>
      </c>
      <c r="E899" s="13">
        <f>Tuts!D897</f>
        <v>23.62</v>
      </c>
    </row>
    <row r="900" spans="2:5" ht="15.75" hidden="1" customHeight="1">
      <c r="B900" t="str">
        <f>Tuts!B898</f>
        <v>FERRO DE PUA 5/16</v>
      </c>
      <c r="C900" s="13">
        <f>Tuts!E898</f>
        <v>35</v>
      </c>
      <c r="D900" s="18">
        <f>Tuts!J898</f>
        <v>29.4</v>
      </c>
      <c r="E900" s="13">
        <f>Tuts!D898</f>
        <v>20.58</v>
      </c>
    </row>
    <row r="901" spans="2:5" ht="15.75" hidden="1" customHeight="1">
      <c r="B901" t="str">
        <f>Tuts!B899</f>
        <v>FERRO DE SOLDA</v>
      </c>
      <c r="C901" s="13">
        <f>Tuts!E899</f>
        <v>39.9</v>
      </c>
      <c r="D901" s="18">
        <f>Tuts!J899</f>
        <v>34.857142857142854</v>
      </c>
      <c r="E901" s="13">
        <f>Tuts!D899</f>
        <v>24.4</v>
      </c>
    </row>
    <row r="902" spans="2:5" ht="15.75" hidden="1" customHeight="1">
      <c r="B902" t="str">
        <f>Tuts!B900</f>
        <v>FERTAK ALICATE BOMBA D'AGUA</v>
      </c>
      <c r="C902" s="13">
        <f>Tuts!E900</f>
        <v>47.9</v>
      </c>
      <c r="D902" s="18">
        <f>Tuts!J900</f>
        <v>44.18571428571429</v>
      </c>
      <c r="E902" s="13">
        <f>Tuts!D900</f>
        <v>30.93</v>
      </c>
    </row>
    <row r="903" spans="2:5" ht="15.75" hidden="1" customHeight="1">
      <c r="B903" t="str">
        <f>Tuts!B901</f>
        <v>FERTAK DISCO FLAP 4'' G40</v>
      </c>
      <c r="C903" s="13">
        <f>Tuts!E901</f>
        <v>8</v>
      </c>
      <c r="D903" s="18">
        <f>Tuts!J901</f>
        <v>7.128571428571429</v>
      </c>
      <c r="E903" s="13">
        <f>Tuts!D901</f>
        <v>4.99</v>
      </c>
    </row>
    <row r="904" spans="2:5" ht="15.75" hidden="1" customHeight="1">
      <c r="B904" t="str">
        <f>Tuts!B902</f>
        <v>FERTAK DISCO FLAP 7''</v>
      </c>
      <c r="C904" s="13">
        <f>Tuts!E902</f>
        <v>16</v>
      </c>
      <c r="D904" s="18">
        <f>Tuts!J902</f>
        <v>13.885714285714288</v>
      </c>
      <c r="E904" s="13">
        <f>Tuts!D902</f>
        <v>9.7200000000000006</v>
      </c>
    </row>
    <row r="905" spans="2:5" ht="15.75" hidden="1" customHeight="1">
      <c r="B905" t="str">
        <f>Tuts!B903</f>
        <v>FERTAK SERRA COPO DIAMANTADA C/ HASTE 40MM</v>
      </c>
      <c r="C905" s="13">
        <f>Tuts!E903</f>
        <v>110</v>
      </c>
      <c r="D905" s="18">
        <f>Tuts!J903</f>
        <v>100.21428571428572</v>
      </c>
      <c r="E905" s="13">
        <f>Tuts!D903</f>
        <v>70.150000000000006</v>
      </c>
    </row>
    <row r="906" spans="2:5" ht="15.75" hidden="1" customHeight="1">
      <c r="B906" t="str">
        <f>Tuts!B904</f>
        <v>FERTAK TOOLS ALICATE MULTIFUNCAO</v>
      </c>
      <c r="C906" s="13">
        <f>Tuts!E904</f>
        <v>47</v>
      </c>
      <c r="D906" s="18">
        <f>Tuts!J904</f>
        <v>42.714285714285715</v>
      </c>
      <c r="E906" s="13">
        <f>Tuts!D904</f>
        <v>29.9</v>
      </c>
    </row>
    <row r="907" spans="2:5" ht="15.75" hidden="1" customHeight="1">
      <c r="B907" t="str">
        <f>Tuts!B905</f>
        <v>FERTAK TOOLS CHAVE DESTE DIGITAL</v>
      </c>
      <c r="C907" s="13">
        <f>Tuts!E905</f>
        <v>12</v>
      </c>
      <c r="D907" s="18">
        <f>Tuts!J905</f>
        <v>10.285714285714286</v>
      </c>
      <c r="E907" s="13">
        <f>Tuts!D905</f>
        <v>7.2</v>
      </c>
    </row>
    <row r="908" spans="2:5" ht="15.75" hidden="1" customHeight="1">
      <c r="B908" t="str">
        <f>Tuts!B906</f>
        <v>FERTAK TOOLS COLHER DE PEDREIRO N10</v>
      </c>
      <c r="C908" s="13">
        <f>Tuts!E906</f>
        <v>32</v>
      </c>
      <c r="D908" s="18">
        <f>Tuts!J906</f>
        <v>27</v>
      </c>
      <c r="E908" s="13">
        <f>Tuts!D906</f>
        <v>18.899999999999999</v>
      </c>
    </row>
    <row r="909" spans="2:5" ht="15.75" hidden="1" customHeight="1">
      <c r="B909" t="str">
        <f>Tuts!B907</f>
        <v>FERTAK TOOLS COLHER DE PEDREIRO N7</v>
      </c>
      <c r="C909" s="13">
        <f>Tuts!E907</f>
        <v>34</v>
      </c>
      <c r="D909" s="18">
        <f>Tuts!J907</f>
        <v>22.714285714285715</v>
      </c>
      <c r="E909" s="13">
        <f>Tuts!D907</f>
        <v>15.9</v>
      </c>
    </row>
    <row r="910" spans="2:5" ht="15.75" hidden="1" customHeight="1">
      <c r="B910" t="str">
        <f>Tuts!B908</f>
        <v>FERTAK TOOLS COLHER DE PEDREIRO N8</v>
      </c>
      <c r="C910" s="13">
        <f>Tuts!E908</f>
        <v>35</v>
      </c>
      <c r="D910" s="18">
        <f>Tuts!J908</f>
        <v>25</v>
      </c>
      <c r="E910" s="13">
        <f>Tuts!D908</f>
        <v>17.5</v>
      </c>
    </row>
    <row r="911" spans="2:5" ht="15.75" hidden="1" customHeight="1">
      <c r="B911" t="str">
        <f>Tuts!B909</f>
        <v>FERTAK TOOLS COLHER DE PEDREIRO N9</v>
      </c>
      <c r="C911" s="13">
        <f>Tuts!E909</f>
        <v>37</v>
      </c>
      <c r="D911" s="18">
        <f>Tuts!J909</f>
        <v>27</v>
      </c>
      <c r="E911" s="13">
        <f>Tuts!D909</f>
        <v>18.899999999999999</v>
      </c>
    </row>
    <row r="912" spans="2:5" ht="15.75" hidden="1" customHeight="1">
      <c r="B912" t="str">
        <f>Tuts!B910</f>
        <v>FILTRO DE LINHA 4 TOMADAS NBR</v>
      </c>
      <c r="C912" s="13">
        <f>Tuts!E910</f>
        <v>27</v>
      </c>
      <c r="D912" s="18">
        <f>Tuts!J910</f>
        <v>24.271428571428572</v>
      </c>
      <c r="E912" s="13">
        <f>Tuts!D910</f>
        <v>16.989999999999998</v>
      </c>
    </row>
    <row r="913" spans="2:5" ht="15.75" hidden="1" customHeight="1">
      <c r="B913" t="str">
        <f>Tuts!B911</f>
        <v>FILTRO DE LINHA 5 TOMADAS NBR</v>
      </c>
      <c r="C913" s="13">
        <f>Tuts!E911</f>
        <v>29.5</v>
      </c>
      <c r="D913" s="18">
        <f>Tuts!J911</f>
        <v>26.571428571428577</v>
      </c>
      <c r="E913" s="13">
        <f>Tuts!D911</f>
        <v>18.600000000000001</v>
      </c>
    </row>
    <row r="914" spans="2:5" ht="15.75" hidden="1" customHeight="1">
      <c r="B914" t="str">
        <f>Tuts!B912</f>
        <v>FIMAP ARMARIO QUARTZO 64,5CM - APENAS A PARTE DE BAIXO</v>
      </c>
      <c r="C914" s="13">
        <f>Tuts!E912</f>
        <v>575</v>
      </c>
      <c r="D914" s="18">
        <f>Tuts!J912</f>
        <v>532.34285714285716</v>
      </c>
      <c r="E914" s="13">
        <f>Tuts!D912</f>
        <v>372.64</v>
      </c>
    </row>
    <row r="915" spans="2:5" ht="15.75" hidden="1" customHeight="1">
      <c r="B915" t="str">
        <f>Tuts!B913</f>
        <v>FIMAP ARMARIO VENEZA 58CM - APENAS A PARTE DE BAIXO</v>
      </c>
      <c r="C915" s="13">
        <f>Tuts!E913</f>
        <v>439</v>
      </c>
      <c r="D915" s="18">
        <f>Tuts!J913</f>
        <v>398.42857142857144</v>
      </c>
      <c r="E915" s="13">
        <f>Tuts!D913</f>
        <v>278.89999999999998</v>
      </c>
    </row>
    <row r="916" spans="2:5" ht="15.75" hidden="1" customHeight="1">
      <c r="B916" t="str">
        <f>Tuts!B914</f>
        <v>FIMAP CONJUNTO HIT 44,2CM</v>
      </c>
      <c r="C916" s="13">
        <f>Tuts!E914</f>
        <v>295</v>
      </c>
      <c r="D916" s="18">
        <f>Tuts!J914</f>
        <v>252.67142857142861</v>
      </c>
      <c r="E916" s="13">
        <f>Tuts!D914</f>
        <v>176.87</v>
      </c>
    </row>
    <row r="917" spans="2:5" ht="15.75" hidden="1" customHeight="1">
      <c r="B917" t="str">
        <f>Tuts!B915</f>
        <v>FIMAP CONJUNTO QUALITY 58CM</v>
      </c>
      <c r="C917" s="13">
        <f>Tuts!E915</f>
        <v>475</v>
      </c>
      <c r="D917" s="18">
        <f>Tuts!J915</f>
        <v>414.28571428571433</v>
      </c>
      <c r="E917" s="13">
        <f>Tuts!D915</f>
        <v>290</v>
      </c>
    </row>
    <row r="918" spans="2:5" ht="15.75" hidden="1" customHeight="1">
      <c r="B918" t="str">
        <f>Tuts!B916</f>
        <v>FIMAP CONJUNTO SONNY 58CM</v>
      </c>
      <c r="C918" s="13">
        <f>Tuts!E916</f>
        <v>447</v>
      </c>
      <c r="D918" s="18">
        <f>Tuts!J916</f>
        <v>396.81428571428569</v>
      </c>
      <c r="E918" s="13">
        <f>Tuts!D916</f>
        <v>277.77</v>
      </c>
    </row>
    <row r="919" spans="2:5" ht="15.75" hidden="1" customHeight="1">
      <c r="B919" t="str">
        <f>Tuts!B917</f>
        <v>FIMAP ESPELHEIRA REFLEX LED 64CM</v>
      </c>
      <c r="C919" s="13">
        <f>Tuts!E917</f>
        <v>254</v>
      </c>
      <c r="D919" s="18">
        <f>Tuts!J917</f>
        <v>220.87142857142859</v>
      </c>
      <c r="E919" s="13">
        <f>Tuts!D917</f>
        <v>154.61000000000001</v>
      </c>
    </row>
    <row r="920" spans="2:5" ht="15.75" hidden="1" customHeight="1">
      <c r="B920" t="str">
        <f>Tuts!B918</f>
        <v>FIMAP ESPELHEIRA VENEZA 57,2CM</v>
      </c>
      <c r="C920" s="13">
        <f>Tuts!E918</f>
        <v>235</v>
      </c>
      <c r="D920" s="18">
        <f>Tuts!J918</f>
        <v>211.42857142857144</v>
      </c>
      <c r="E920" s="13">
        <f>Tuts!D918</f>
        <v>148</v>
      </c>
    </row>
    <row r="921" spans="2:5" ht="15.75" hidden="1" customHeight="1">
      <c r="B921" t="str">
        <f>Tuts!B919</f>
        <v>FIMAP GABINETE FIT 1,44</v>
      </c>
      <c r="C921" s="13">
        <f>Tuts!E919</f>
        <v>630</v>
      </c>
      <c r="D921" s="18">
        <f>Tuts!J919</f>
        <v>578.2714285714286</v>
      </c>
      <c r="E921" s="13">
        <f>Tuts!D919</f>
        <v>404.79</v>
      </c>
    </row>
    <row r="922" spans="2:5" ht="15.75" hidden="1" customHeight="1">
      <c r="B922" t="str">
        <f>Tuts!B920</f>
        <v>FITA CREPE 18x50 ADERE</v>
      </c>
      <c r="C922" s="13">
        <f>Tuts!E920</f>
        <v>6.5</v>
      </c>
      <c r="D922" s="18">
        <f>Tuts!J920</f>
        <v>4.7142857142857144</v>
      </c>
      <c r="E922" s="13">
        <f>Tuts!D920</f>
        <v>3.3</v>
      </c>
    </row>
    <row r="923" spans="2:5" ht="15.75" hidden="1" customHeight="1">
      <c r="B923" t="str">
        <f>Tuts!B921</f>
        <v>FITA CREPE 24X50 ADERE</v>
      </c>
      <c r="C923" s="13">
        <f>Tuts!E921</f>
        <v>7.5</v>
      </c>
      <c r="D923" s="18">
        <f>Tuts!J921</f>
        <v>6.7428571428571429</v>
      </c>
      <c r="E923" s="13">
        <f>Tuts!D921</f>
        <v>4.72</v>
      </c>
    </row>
    <row r="924" spans="2:5" ht="15.75" hidden="1" customHeight="1">
      <c r="B924" t="str">
        <f>Tuts!B922</f>
        <v>FITA CREPE 48x50 ADERE</v>
      </c>
      <c r="C924" s="13">
        <f>Tuts!E922</f>
        <v>13.9</v>
      </c>
      <c r="D924" s="18">
        <f>Tuts!J922</f>
        <v>12.842857142857143</v>
      </c>
      <c r="E924" s="13">
        <f>Tuts!D922</f>
        <v>8.99</v>
      </c>
    </row>
    <row r="925" spans="2:5" ht="15.75" hidden="1" customHeight="1">
      <c r="B925" t="str">
        <f>Tuts!B923</f>
        <v>Fita Demarcação Amarela</v>
      </c>
      <c r="C925" s="13">
        <f>Tuts!E923</f>
        <v>17.5</v>
      </c>
      <c r="D925" s="18">
        <f>Tuts!J923</f>
        <v>14.542857142857143</v>
      </c>
      <c r="E925" s="13">
        <f>Tuts!D923</f>
        <v>10.18</v>
      </c>
    </row>
    <row r="926" spans="2:5" ht="15.75" hidden="1" customHeight="1">
      <c r="B926" t="str">
        <f>Tuts!B924</f>
        <v>FITA EMPACOTAMENTO TRANSPARENTE</v>
      </c>
      <c r="C926" s="13">
        <f>Tuts!E924</f>
        <v>8</v>
      </c>
      <c r="D926" s="18">
        <f>Tuts!J924</f>
        <v>6.4428571428571431</v>
      </c>
      <c r="E926" s="13">
        <f>Tuts!D924</f>
        <v>4.51</v>
      </c>
    </row>
    <row r="927" spans="2:5" ht="15.75" hidden="1" customHeight="1">
      <c r="B927" t="str">
        <f>Tuts!B925</f>
        <v>Fita Isolante 33+ 3M</v>
      </c>
      <c r="C927" s="13">
        <f>Tuts!E925</f>
        <v>26.5</v>
      </c>
      <c r="D927" s="18">
        <f>Tuts!J925</f>
        <v>25.428571428571431</v>
      </c>
      <c r="E927" s="13">
        <f>Tuts!D925</f>
        <v>17.8</v>
      </c>
    </row>
    <row r="928" spans="2:5" ht="15.75" hidden="1" customHeight="1">
      <c r="B928" t="str">
        <f>Tuts!B926</f>
        <v>FITA ISOLANTE COLORIDA FOXLUX</v>
      </c>
      <c r="C928" s="13">
        <f>Tuts!E926</f>
        <v>6.5</v>
      </c>
      <c r="D928" s="18">
        <f>Tuts!J926</f>
        <v>5.2857142857142865</v>
      </c>
      <c r="E928" s="13">
        <f>Tuts!D926</f>
        <v>3.7</v>
      </c>
    </row>
    <row r="929" spans="2:5" ht="15.75" hidden="1" customHeight="1">
      <c r="B929" t="str">
        <f>Tuts!B927</f>
        <v>FITA ISOLANTE IMPERIAL 3M 18MM X 10M</v>
      </c>
      <c r="C929" s="13">
        <f>Tuts!E927</f>
        <v>6.5</v>
      </c>
      <c r="D929" s="18">
        <f>Tuts!J927</f>
        <v>5.7000000000000011</v>
      </c>
      <c r="E929" s="13">
        <f>Tuts!D927</f>
        <v>3.99</v>
      </c>
    </row>
    <row r="930" spans="2:5" ht="15.75" hidden="1" customHeight="1">
      <c r="B930" t="str">
        <f>Tuts!B928</f>
        <v>FITA ISOLANTE IMPERIAL 3M 18MM X 20M</v>
      </c>
      <c r="C930" s="13">
        <f>Tuts!E928</f>
        <v>9.6999999999999993</v>
      </c>
      <c r="D930" s="18">
        <f>Tuts!J928</f>
        <v>9.6428571428571441</v>
      </c>
      <c r="E930" s="13">
        <f>Tuts!D928</f>
        <v>6.75</v>
      </c>
    </row>
    <row r="931" spans="2:5" ht="15.75" hidden="1" customHeight="1">
      <c r="B931" t="str">
        <f>Tuts!B929</f>
        <v>FITA ISOLANTE IMPERIAL 3M 18MM X 5M</v>
      </c>
      <c r="C931" s="13">
        <f>Tuts!E929</f>
        <v>3.9</v>
      </c>
      <c r="D931" s="18">
        <f>Tuts!J929</f>
        <v>3.5714285714285716</v>
      </c>
      <c r="E931" s="13">
        <f>Tuts!D929</f>
        <v>2.5</v>
      </c>
    </row>
    <row r="932" spans="2:5" ht="15.75" hidden="1" customHeight="1">
      <c r="B932" t="str">
        <f>Tuts!B930</f>
        <v>FITA ISOLANTE STECK 20M</v>
      </c>
      <c r="C932" s="13">
        <f>Tuts!E930</f>
        <v>8</v>
      </c>
      <c r="D932" s="18">
        <f>Tuts!J930</f>
        <v>5.3571428571428577</v>
      </c>
      <c r="E932" s="13">
        <f>Tuts!D930</f>
        <v>3.75</v>
      </c>
    </row>
    <row r="933" spans="2:5" ht="15.75" hidden="1" customHeight="1">
      <c r="B933" t="str">
        <f>Tuts!B931</f>
        <v>FITA VEDA ROSCA 12MMX5M WURTH</v>
      </c>
      <c r="C933" s="13">
        <f>Tuts!E931</f>
        <v>2.5</v>
      </c>
      <c r="D933" s="18">
        <f>Tuts!J931</f>
        <v>2.0285714285714285</v>
      </c>
      <c r="E933" s="13">
        <f>Tuts!D931</f>
        <v>1.42</v>
      </c>
    </row>
    <row r="934" spans="2:5" ht="15.75" hidden="1" customHeight="1">
      <c r="B934" t="str">
        <f>Tuts!B932</f>
        <v>FITA VEDA ROSCA 18MMX10M WURTH</v>
      </c>
      <c r="C934" s="13">
        <f>Tuts!E932</f>
        <v>4.5</v>
      </c>
      <c r="D934" s="18">
        <f>Tuts!J932</f>
        <v>3.8285714285714292</v>
      </c>
      <c r="E934" s="13">
        <f>Tuts!D932</f>
        <v>2.68</v>
      </c>
    </row>
    <row r="935" spans="2:5" ht="15.75" hidden="1" customHeight="1">
      <c r="B935" t="str">
        <f>Tuts!B933</f>
        <v>FITA VEDA ROSCA 18MMX25M FIRLON</v>
      </c>
      <c r="C935" s="13">
        <f>Tuts!E933</f>
        <v>5.8</v>
      </c>
      <c r="D935" s="18">
        <f>Tuts!J933</f>
        <v>5.2142857142857144</v>
      </c>
      <c r="E935" s="13">
        <f>Tuts!D933</f>
        <v>3.65</v>
      </c>
    </row>
    <row r="936" spans="2:5" ht="15.75" hidden="1" customHeight="1">
      <c r="B936" t="str">
        <f>Tuts!B934</f>
        <v>FITA VEDA ROSCA 18MMX50M FIRLON</v>
      </c>
      <c r="C936" s="13">
        <f>Tuts!E934</f>
        <v>9.5</v>
      </c>
      <c r="D936" s="18">
        <f>Tuts!J934</f>
        <v>8.8000000000000007</v>
      </c>
      <c r="E936" s="13">
        <f>Tuts!D934</f>
        <v>6.16</v>
      </c>
    </row>
    <row r="937" spans="2:5" ht="15.75" hidden="1" customHeight="1">
      <c r="B937" t="str">
        <f>Tuts!B935</f>
        <v>FITA VEDA ROSCA 18MMX50M WURTH</v>
      </c>
      <c r="C937" s="13">
        <f>Tuts!E935</f>
        <v>21</v>
      </c>
      <c r="D937" s="18">
        <f>Tuts!J935</f>
        <v>19.142857142857146</v>
      </c>
      <c r="E937" s="13">
        <f>Tuts!D935</f>
        <v>13.4</v>
      </c>
    </row>
    <row r="938" spans="2:5" ht="15.75" hidden="1" customHeight="1">
      <c r="B938" t="str">
        <f>Tuts!B936</f>
        <v>FIXA FORTE DUPLA FACE 19X02 400G</v>
      </c>
      <c r="C938" s="13">
        <f>Tuts!E936</f>
        <v>9.8000000000000007</v>
      </c>
      <c r="D938" s="18">
        <f>Tuts!J936</f>
        <v>8.8428571428571434</v>
      </c>
      <c r="E938" s="13">
        <f>Tuts!D936</f>
        <v>6.19</v>
      </c>
    </row>
    <row r="939" spans="2:5" ht="15.75" hidden="1" customHeight="1">
      <c r="B939" t="str">
        <f>Tuts!B937</f>
        <v>FIXA FORTE DUPLA FACE 19X02 4KG</v>
      </c>
      <c r="C939" s="13">
        <f>Tuts!E937</f>
        <v>18.899999999999999</v>
      </c>
      <c r="D939" s="18">
        <f>Tuts!J937</f>
        <v>17.542857142857144</v>
      </c>
      <c r="E939" s="13">
        <f>Tuts!D937</f>
        <v>12.28</v>
      </c>
    </row>
    <row r="940" spans="2:5" ht="15.75" hidden="1" customHeight="1">
      <c r="B940" t="str">
        <f>Tuts!B938</f>
        <v>FIXA FORTE DUPLA FACE 19X02 800G</v>
      </c>
      <c r="C940" s="13">
        <f>Tuts!E938</f>
        <v>13</v>
      </c>
      <c r="D940" s="18">
        <f>Tuts!J938</f>
        <v>11.642857142857144</v>
      </c>
      <c r="E940" s="13">
        <f>Tuts!D938</f>
        <v>8.15</v>
      </c>
    </row>
    <row r="941" spans="2:5" ht="15.75" hidden="1" customHeight="1">
      <c r="B941" t="str">
        <f>Tuts!B939</f>
        <v xml:space="preserve">FIXA TUDO BRANCO 80G GARIN </v>
      </c>
      <c r="C941" s="13">
        <f>Tuts!E939</f>
        <v>15.3</v>
      </c>
      <c r="D941" s="18">
        <f>Tuts!J939</f>
        <v>10.714285714285715</v>
      </c>
      <c r="E941" s="13">
        <f>Tuts!D939</f>
        <v>7.5</v>
      </c>
    </row>
    <row r="942" spans="2:5" ht="15.75" hidden="1" customHeight="1">
      <c r="B942" t="str">
        <f>Tuts!B940</f>
        <v>Fixador de Cal</v>
      </c>
      <c r="C942" s="13">
        <f>Tuts!E940</f>
        <v>2</v>
      </c>
      <c r="D942" s="18">
        <f>Tuts!J940</f>
        <v>1.4142857142857144</v>
      </c>
      <c r="E942" s="13">
        <f>Tuts!D940</f>
        <v>0.99</v>
      </c>
    </row>
    <row r="943" spans="2:5" ht="15.75" hidden="1" customHeight="1">
      <c r="B943" t="str">
        <f>Tuts!B941</f>
        <v>FORMAO PREMIUM 1.1/4 CHANFRADO THOMPSON</v>
      </c>
      <c r="C943" s="13">
        <f>Tuts!E941</f>
        <v>21</v>
      </c>
      <c r="D943" s="18">
        <f>Tuts!J941</f>
        <v>18.871428571428574</v>
      </c>
      <c r="E943" s="13">
        <f>Tuts!D941</f>
        <v>13.21</v>
      </c>
    </row>
    <row r="944" spans="2:5" ht="15.75" hidden="1" customHeight="1">
      <c r="B944" t="str">
        <f>Tuts!B942</f>
        <v>FORTFIX 900ML</v>
      </c>
      <c r="C944" s="13">
        <f>Tuts!E942</f>
        <v>18</v>
      </c>
      <c r="D944" s="18">
        <f>Tuts!J942</f>
        <v>13.571428571428573</v>
      </c>
      <c r="E944" s="13">
        <f>Tuts!D942</f>
        <v>9.5</v>
      </c>
    </row>
    <row r="945" spans="2:5" ht="15.75" hidden="1" customHeight="1">
      <c r="B945" t="str">
        <f>Tuts!B943</f>
        <v>FORTLEV BOIA HASTE ABS</v>
      </c>
      <c r="C945" s="13">
        <f>Tuts!E943</f>
        <v>15</v>
      </c>
      <c r="D945" s="18">
        <f>Tuts!J943</f>
        <v>12.842857142857143</v>
      </c>
      <c r="E945" s="13">
        <f>Tuts!D943</f>
        <v>8.99</v>
      </c>
    </row>
    <row r="946" spans="2:5" ht="15.75" hidden="1" customHeight="1">
      <c r="B946" t="str">
        <f>Tuts!B944</f>
        <v>FORTLEV BOIA HASTE ALUMINIO</v>
      </c>
      <c r="C946" s="13">
        <f>Tuts!E944</f>
        <v>16</v>
      </c>
      <c r="D946" s="18">
        <f>Tuts!J944</f>
        <v>13.657142857142858</v>
      </c>
      <c r="E946" s="13">
        <f>Tuts!D944</f>
        <v>9.56</v>
      </c>
    </row>
    <row r="947" spans="2:5" ht="15.75" hidden="1" customHeight="1">
      <c r="B947" t="str">
        <f>Tuts!B945</f>
        <v>FOXLUX DISCO CORTE INOX ACO 4''</v>
      </c>
      <c r="C947" s="13">
        <f>Tuts!E945</f>
        <v>3</v>
      </c>
      <c r="D947" s="18">
        <f>Tuts!J945</f>
        <v>2.1285714285714286</v>
      </c>
      <c r="E947" s="13">
        <f>Tuts!D945</f>
        <v>1.49</v>
      </c>
    </row>
    <row r="948" spans="2:5" ht="15.75" hidden="1" customHeight="1">
      <c r="B948" t="str">
        <f>Tuts!B946</f>
        <v>FOXLUX LUVA MULTIUSO LATEX AMARELA M/G</v>
      </c>
      <c r="C948" s="13">
        <f>Tuts!E946</f>
        <v>8</v>
      </c>
      <c r="D948" s="18">
        <f>Tuts!J946</f>
        <v>6.2</v>
      </c>
      <c r="E948" s="13">
        <f>Tuts!D946</f>
        <v>4.34</v>
      </c>
    </row>
    <row r="949" spans="2:5" ht="15.75" hidden="1" customHeight="1">
      <c r="B949" t="str">
        <f>Tuts!B947</f>
        <v>FOXLUX PLAFON BRANCO SOQUETE PORCELANA</v>
      </c>
      <c r="C949" s="13">
        <f>Tuts!E947</f>
        <v>7</v>
      </c>
      <c r="D949" s="18">
        <f>Tuts!J947</f>
        <v>4.2714285714285722</v>
      </c>
      <c r="E949" s="13">
        <f>Tuts!D947</f>
        <v>2.99</v>
      </c>
    </row>
    <row r="950" spans="2:5" ht="15.75" hidden="1" customHeight="1">
      <c r="B950" t="str">
        <f>Tuts!B948</f>
        <v>FOXLUX TRENA EMBORRACHADA 5MTS</v>
      </c>
      <c r="C950" s="13">
        <f>Tuts!E948</f>
        <v>29.9</v>
      </c>
      <c r="D950" s="18">
        <f>Tuts!J948</f>
        <v>27.071428571428573</v>
      </c>
      <c r="E950" s="13">
        <f>Tuts!D948</f>
        <v>18.95</v>
      </c>
    </row>
    <row r="951" spans="2:5" ht="15.75" hidden="1" customHeight="1">
      <c r="B951" t="str">
        <f>Tuts!B949</f>
        <v>FRISO RODINHO DE PORTA 80CM</v>
      </c>
      <c r="C951" s="13">
        <f>Tuts!E949</f>
        <v>10.5</v>
      </c>
      <c r="D951" s="18">
        <f>Tuts!J949</f>
        <v>9.4285714285714288</v>
      </c>
      <c r="E951" s="13">
        <f>Tuts!D949</f>
        <v>6.6</v>
      </c>
    </row>
    <row r="952" spans="2:5" ht="15.75" hidden="1" customHeight="1">
      <c r="B952" t="str">
        <f>Tuts!B950</f>
        <v>FUNDO CRISTAL 14L</v>
      </c>
      <c r="C952" s="13">
        <f>Tuts!E950</f>
        <v>148</v>
      </c>
      <c r="D952" s="18">
        <f>Tuts!J950</f>
        <v>142.85714285714286</v>
      </c>
      <c r="E952" s="13">
        <f>Tuts!D950</f>
        <v>100</v>
      </c>
    </row>
    <row r="953" spans="2:5" ht="15.75" hidden="1" customHeight="1">
      <c r="B953" t="str">
        <f>Tuts!B951</f>
        <v>FUNDO CRISTAL 3,6L</v>
      </c>
      <c r="C953" s="13">
        <f>Tuts!E951</f>
        <v>63</v>
      </c>
      <c r="D953" s="18">
        <f>Tuts!J951</f>
        <v>57.142857142857146</v>
      </c>
      <c r="E953" s="13">
        <f>Tuts!D951</f>
        <v>40</v>
      </c>
    </row>
    <row r="954" spans="2:5" ht="15.75" hidden="1" customHeight="1">
      <c r="B954" t="str">
        <f>Tuts!B952</f>
        <v>FUSILVEL FACA 100A</v>
      </c>
      <c r="C954" s="13">
        <f>Tuts!E952</f>
        <v>65</v>
      </c>
      <c r="D954" s="18">
        <f>Tuts!J952</f>
        <v>56.928571428571438</v>
      </c>
      <c r="E954" s="13">
        <f>Tuts!D952</f>
        <v>39.85</v>
      </c>
    </row>
    <row r="955" spans="2:5" ht="15.75" hidden="1" customHeight="1">
      <c r="B955" t="str">
        <f>Tuts!B953</f>
        <v>FUSIVEL CARRTUCHO 60A 250V</v>
      </c>
      <c r="C955" s="13">
        <f>Tuts!E953</f>
        <v>14.6</v>
      </c>
      <c r="D955" s="18">
        <f>Tuts!J953</f>
        <v>10.257142857142858</v>
      </c>
      <c r="E955" s="13">
        <f>Tuts!D953</f>
        <v>7.18</v>
      </c>
    </row>
    <row r="956" spans="2:5" ht="15.75" hidden="1" customHeight="1">
      <c r="B956" t="str">
        <f>Tuts!B954</f>
        <v>GANCHO 10 C/ BUCHA</v>
      </c>
      <c r="C956" s="13">
        <f>Tuts!E954</f>
        <v>1.1000000000000001</v>
      </c>
      <c r="D956" s="18">
        <f>Tuts!J954</f>
        <v>0.98571428571428565</v>
      </c>
      <c r="E956" s="13">
        <f>Tuts!D954</f>
        <v>0.69</v>
      </c>
    </row>
    <row r="957" spans="2:5" ht="15.75" hidden="1" customHeight="1">
      <c r="B957" t="str">
        <f>Tuts!B955</f>
        <v>GANCHO 6 C/ BUCHA</v>
      </c>
      <c r="C957" s="13">
        <f>Tuts!E955</f>
        <v>0.45</v>
      </c>
      <c r="D957" s="18">
        <f>Tuts!J955</f>
        <v>0.35714285714285715</v>
      </c>
      <c r="E957" s="13">
        <f>Tuts!D955</f>
        <v>0.25</v>
      </c>
    </row>
    <row r="958" spans="2:5" ht="15.75" hidden="1" customHeight="1">
      <c r="B958" t="str">
        <f>Tuts!B956</f>
        <v>GANCHO 8 C/ BUCHA</v>
      </c>
      <c r="C958" s="13">
        <f>Tuts!E956</f>
        <v>1.05</v>
      </c>
      <c r="D958" s="18">
        <f>Tuts!J956</f>
        <v>0.9571428571428573</v>
      </c>
      <c r="E958" s="13">
        <f>Tuts!D956</f>
        <v>0.67</v>
      </c>
    </row>
    <row r="959" spans="2:5" ht="15.75" hidden="1" customHeight="1">
      <c r="B959" t="str">
        <f>Tuts!B957</f>
        <v>GANCHO L 6 C/ BUCHA</v>
      </c>
      <c r="C959" s="13">
        <f>Tuts!E957</f>
        <v>0.5</v>
      </c>
      <c r="D959" s="18">
        <f>Tuts!J957</f>
        <v>0.4285714285714286</v>
      </c>
      <c r="E959" s="13">
        <f>Tuts!D957</f>
        <v>0.3</v>
      </c>
    </row>
    <row r="960" spans="2:5" ht="15.75" hidden="1" customHeight="1">
      <c r="B960" t="str">
        <f>Tuts!B958</f>
        <v>GANCHO L 8 C/ BUCHA</v>
      </c>
      <c r="C960" s="13">
        <f>Tuts!E958</f>
        <v>0.8</v>
      </c>
      <c r="D960" s="18">
        <f>Tuts!J958</f>
        <v>0.72857142857142865</v>
      </c>
      <c r="E960" s="13">
        <f>Tuts!D958</f>
        <v>0.51</v>
      </c>
    </row>
    <row r="961" spans="2:5" ht="15.75" hidden="1" customHeight="1">
      <c r="B961" t="str">
        <f>Tuts!B959</f>
        <v>GANCHO REDE PARAFUSAR</v>
      </c>
      <c r="C961" s="13">
        <f>Tuts!E959</f>
        <v>26</v>
      </c>
      <c r="D961" s="18">
        <f>Tuts!J959</f>
        <v>23.857142857142858</v>
      </c>
      <c r="E961" s="13">
        <f>Tuts!D959</f>
        <v>16.7</v>
      </c>
    </row>
    <row r="962" spans="2:5" ht="15.75" hidden="1" customHeight="1">
      <c r="B962" t="str">
        <f>Tuts!B960</f>
        <v>GARDEN IRRIGADOR GIRATORIO 6 JATOS ALUMINIO</v>
      </c>
      <c r="C962" s="13">
        <f>Tuts!E960</f>
        <v>36</v>
      </c>
      <c r="D962" s="18">
        <f>Tuts!J960</f>
        <v>32.714285714285715</v>
      </c>
      <c r="E962" s="13">
        <f>Tuts!D960</f>
        <v>22.9</v>
      </c>
    </row>
    <row r="963" spans="2:5" ht="15.75" hidden="1" customHeight="1">
      <c r="B963" t="str">
        <f>Tuts!B961</f>
        <v>GARFO COMUM REFORÇADO</v>
      </c>
      <c r="C963" s="13">
        <f>Tuts!E961</f>
        <v>12</v>
      </c>
      <c r="D963" s="18">
        <f>Tuts!J961</f>
        <v>8.4285714285714288</v>
      </c>
      <c r="E963" s="13">
        <f>Tuts!D961</f>
        <v>5.9</v>
      </c>
    </row>
    <row r="964" spans="2:5" ht="15.75" hidden="1" customHeight="1">
      <c r="B964" t="str">
        <f>Tuts!B962</f>
        <v>GARFO GAIOLA ATLAS</v>
      </c>
      <c r="C964" s="13">
        <f>Tuts!E962</f>
        <v>10</v>
      </c>
      <c r="D964" s="18">
        <f>Tuts!J962</f>
        <v>9.0714285714285712</v>
      </c>
      <c r="E964" s="13">
        <f>Tuts!D962</f>
        <v>6.35</v>
      </c>
    </row>
    <row r="965" spans="2:5" ht="15.75" hidden="1" customHeight="1">
      <c r="B965" t="str">
        <f>Tuts!B963</f>
        <v>GARFO GAIOLA REFORÇADO</v>
      </c>
      <c r="C965" s="13">
        <f>Tuts!E963</f>
        <v>14</v>
      </c>
      <c r="D965" s="18">
        <f>Tuts!J963</f>
        <v>9.8571428571428577</v>
      </c>
      <c r="E965" s="13">
        <f>Tuts!D963</f>
        <v>6.9</v>
      </c>
    </row>
    <row r="966" spans="2:5" ht="15.75" hidden="1" customHeight="1">
      <c r="B966" t="str">
        <f>Tuts!B964</f>
        <v>GARIN PU CALHA 80G</v>
      </c>
      <c r="C966" s="13">
        <f>Tuts!E964</f>
        <v>10.8</v>
      </c>
      <c r="D966" s="18">
        <f>Tuts!J964</f>
        <v>9.9857142857142858</v>
      </c>
      <c r="E966" s="13">
        <f>Tuts!D964</f>
        <v>6.99</v>
      </c>
    </row>
    <row r="967" spans="2:5" ht="15.75" hidden="1" customHeight="1">
      <c r="B967" t="str">
        <f>Tuts!B965</f>
        <v>GARIN SILICONE 250G INCOLOR</v>
      </c>
      <c r="C967" s="13">
        <f>Tuts!E965</f>
        <v>25</v>
      </c>
      <c r="D967" s="18">
        <f>Tuts!J965</f>
        <v>22.714285714285715</v>
      </c>
      <c r="E967" s="13">
        <f>Tuts!D965</f>
        <v>15.9</v>
      </c>
    </row>
    <row r="968" spans="2:5" ht="15.75" hidden="1" customHeight="1">
      <c r="B968" t="str">
        <f>Tuts!B966</f>
        <v>GARIN SILICONE ALTA TEMPERATURA</v>
      </c>
      <c r="C968" s="13">
        <f>Tuts!E966</f>
        <v>16</v>
      </c>
      <c r="D968" s="18">
        <f>Tuts!J966</f>
        <v>14.142857142857144</v>
      </c>
      <c r="E968" s="13">
        <f>Tuts!D966</f>
        <v>9.9</v>
      </c>
    </row>
    <row r="969" spans="2:5" ht="15.75" hidden="1" customHeight="1">
      <c r="B969" t="str">
        <f>Tuts!B967</f>
        <v>GAXETA E PORCA MIX 105</v>
      </c>
      <c r="C969" s="13">
        <f>Tuts!E967</f>
        <v>15.8</v>
      </c>
      <c r="D969" s="18">
        <f>Tuts!J967</f>
        <v>11.000000000000002</v>
      </c>
      <c r="E969" s="13">
        <f>Tuts!D967</f>
        <v>7.7</v>
      </c>
    </row>
    <row r="970" spans="2:5" ht="15.75" hidden="1" customHeight="1">
      <c r="B970" t="str">
        <f>Tuts!B968</f>
        <v>GEL SILICONE 200G WURTH</v>
      </c>
      <c r="C970" s="13">
        <f>Tuts!E968</f>
        <v>35</v>
      </c>
      <c r="D970" s="18">
        <f>Tuts!J968</f>
        <v>32.4</v>
      </c>
      <c r="E970" s="13">
        <f>Tuts!D968</f>
        <v>22.68</v>
      </c>
    </row>
    <row r="971" spans="2:5" ht="15.75" hidden="1" customHeight="1">
      <c r="B971" t="str">
        <f>Tuts!B969</f>
        <v>GENCO ALGICIDA DE CHOQUE 1L</v>
      </c>
      <c r="C971" s="13">
        <f>Tuts!E969</f>
        <v>52.8</v>
      </c>
      <c r="D971" s="18">
        <f>Tuts!J969</f>
        <v>48.842857142857142</v>
      </c>
      <c r="E971" s="13">
        <f>Tuts!D969</f>
        <v>34.19</v>
      </c>
    </row>
    <row r="972" spans="2:5" ht="15.75" hidden="1" customHeight="1">
      <c r="B972" t="str">
        <f>Tuts!B970</f>
        <v>GENCO CLARIFICANTE 1L</v>
      </c>
      <c r="C972" s="13">
        <f>Tuts!E970</f>
        <v>28.9</v>
      </c>
      <c r="D972" s="18">
        <f>Tuts!J970</f>
        <v>26.400000000000002</v>
      </c>
      <c r="E972" s="13">
        <f>Tuts!D970</f>
        <v>18.48</v>
      </c>
    </row>
    <row r="973" spans="2:5" ht="15.75" hidden="1" customHeight="1">
      <c r="B973" t="str">
        <f>Tuts!B971</f>
        <v>GENCO LIMPA BORDAS 1L</v>
      </c>
      <c r="C973" s="13">
        <f>Tuts!E971</f>
        <v>31.5</v>
      </c>
      <c r="D973" s="18">
        <f>Tuts!J971</f>
        <v>28.742857142857147</v>
      </c>
      <c r="E973" s="13">
        <f>Tuts!D971</f>
        <v>20.12</v>
      </c>
    </row>
    <row r="974" spans="2:5" ht="15.75" hidden="1" customHeight="1">
      <c r="B974" t="str">
        <f>Tuts!B972</f>
        <v>GENCO PASTILHA CLORO</v>
      </c>
      <c r="C974" s="13">
        <f>Tuts!E972</f>
        <v>15.5</v>
      </c>
      <c r="D974" s="18">
        <f>Tuts!J972</f>
        <v>14.042857142857144</v>
      </c>
      <c r="E974" s="13">
        <f>Tuts!D972</f>
        <v>9.83</v>
      </c>
    </row>
    <row r="975" spans="2:5" ht="15.75" hidden="1" customHeight="1">
      <c r="B975" t="str">
        <f>Tuts!B973</f>
        <v>GESSO COLA BEM 1KG</v>
      </c>
      <c r="C975" s="13">
        <f>Tuts!E973</f>
        <v>5</v>
      </c>
      <c r="D975" s="18">
        <f>Tuts!J973</f>
        <v>4.2</v>
      </c>
      <c r="E975" s="13">
        <f>Tuts!D973</f>
        <v>2.94</v>
      </c>
    </row>
    <row r="976" spans="2:5" ht="15.75" hidden="1" customHeight="1">
      <c r="B976" t="str">
        <f>Tuts!B974</f>
        <v>GLASU ESMALTE 0,255ml</v>
      </c>
      <c r="C976" s="13">
        <f>Tuts!E974</f>
        <v>19.5</v>
      </c>
      <c r="D976" s="18">
        <f>Tuts!J974</f>
        <v>17.885714285714286</v>
      </c>
      <c r="E976" s="13">
        <f>Tuts!D974</f>
        <v>12.52</v>
      </c>
    </row>
    <row r="977" spans="2:5" ht="15.75" hidden="1" customHeight="1">
      <c r="B977" t="str">
        <f>Tuts!B975</f>
        <v>GLASU ESMALTE 0,9l</v>
      </c>
      <c r="C977" s="13">
        <f>Tuts!E975</f>
        <v>45</v>
      </c>
      <c r="D977" s="18">
        <f>Tuts!J975</f>
        <v>41.428571428571431</v>
      </c>
      <c r="E977" s="13">
        <f>Tuts!D975</f>
        <v>29</v>
      </c>
    </row>
    <row r="978" spans="2:5" ht="15.75" hidden="1" customHeight="1">
      <c r="B978" t="str">
        <f>Tuts!B976</f>
        <v>GLASU ESMALTE 3,6l</v>
      </c>
      <c r="C978" s="13">
        <f>Tuts!E976</f>
        <v>130</v>
      </c>
      <c r="D978" s="18">
        <f>Tuts!J976</f>
        <v>120.00000000000001</v>
      </c>
      <c r="E978" s="13">
        <f>Tuts!D976</f>
        <v>84</v>
      </c>
    </row>
    <row r="979" spans="2:5" ht="15.75" hidden="1" customHeight="1">
      <c r="B979" t="str">
        <f>Tuts!B977</f>
        <v>GONZO 5/8 OU 3/4</v>
      </c>
      <c r="C979" s="13">
        <f>Tuts!E977</f>
        <v>10</v>
      </c>
      <c r="D979" s="18">
        <f>Tuts!J977</f>
        <v>9.2857142857142865</v>
      </c>
      <c r="E979" s="13">
        <f>Tuts!D977</f>
        <v>6.5</v>
      </c>
    </row>
    <row r="980" spans="2:5" ht="15.75" hidden="1" customHeight="1">
      <c r="B980" t="str">
        <f>Tuts!B978</f>
        <v>GRAFITE EM PO 25GR</v>
      </c>
      <c r="C980" s="13">
        <f>Tuts!E978</f>
        <v>5</v>
      </c>
      <c r="D980" s="18">
        <f>Tuts!J978</f>
        <v>3.5000000000000004</v>
      </c>
      <c r="E980" s="13">
        <f>Tuts!D978</f>
        <v>2.4500000000000002</v>
      </c>
    </row>
    <row r="981" spans="2:5" ht="15.75" hidden="1" customHeight="1">
      <c r="B981" t="str">
        <f>Tuts!B979</f>
        <v>GRAMPO BIMETALICO</v>
      </c>
      <c r="C981" s="13">
        <f>Tuts!E979</f>
        <v>9</v>
      </c>
      <c r="D981" s="18">
        <f>Tuts!J979</f>
        <v>7.9714285714285724</v>
      </c>
      <c r="E981" s="13">
        <f>Tuts!D979</f>
        <v>5.58</v>
      </c>
    </row>
    <row r="982" spans="2:5" ht="15.75" hidden="1" customHeight="1">
      <c r="B982" t="str">
        <f>Tuts!B980</f>
        <v>GRAMPO HASTE TERRA 1/2</v>
      </c>
      <c r="C982" s="13">
        <f>Tuts!E980</f>
        <v>2.6</v>
      </c>
      <c r="D982" s="18">
        <f>Tuts!J980</f>
        <v>2.4</v>
      </c>
      <c r="E982" s="13">
        <f>Tuts!D980</f>
        <v>1.68</v>
      </c>
    </row>
    <row r="983" spans="2:5" ht="15.75" hidden="1" customHeight="1">
      <c r="B983" t="str">
        <f>Tuts!B981</f>
        <v>GRELHA ALUMINIO COM COLETOR 15X30</v>
      </c>
      <c r="C983" s="13">
        <f>Tuts!E981</f>
        <v>38</v>
      </c>
      <c r="D983" s="18">
        <f>Tuts!J981</f>
        <v>33.557142857142857</v>
      </c>
      <c r="E983" s="13">
        <f>Tuts!D981</f>
        <v>23.49</v>
      </c>
    </row>
    <row r="984" spans="2:5" ht="15.75" hidden="1" customHeight="1">
      <c r="B984" t="str">
        <f>Tuts!B982</f>
        <v>GRELHA ALUMINIO COM COLETOR 15X50</v>
      </c>
      <c r="C984" s="13">
        <f>Tuts!E982</f>
        <v>53.9</v>
      </c>
      <c r="D984" s="18">
        <f>Tuts!J982</f>
        <v>45.728571428571428</v>
      </c>
      <c r="E984" s="13">
        <f>Tuts!D982</f>
        <v>32.01</v>
      </c>
    </row>
    <row r="985" spans="2:5" ht="15.75" hidden="1" customHeight="1">
      <c r="B985" t="str">
        <f>Tuts!B983</f>
        <v>GRELHA ALUMINIO COM COLETOR 20X100</v>
      </c>
      <c r="C985" s="13">
        <f>Tuts!E983</f>
        <v>120</v>
      </c>
      <c r="D985" s="18">
        <f>Tuts!J983</f>
        <v>109.24285714285715</v>
      </c>
      <c r="E985" s="13">
        <f>Tuts!D983</f>
        <v>76.47</v>
      </c>
    </row>
    <row r="986" spans="2:5" ht="15.75" hidden="1" customHeight="1">
      <c r="B986" t="str">
        <f>Tuts!B984</f>
        <v>GRELHA ALUMINIO COM COLETOR 20X20</v>
      </c>
      <c r="C986" s="13">
        <f>Tuts!E984</f>
        <v>32</v>
      </c>
      <c r="D986" s="18">
        <f>Tuts!J984</f>
        <v>28.771428571428576</v>
      </c>
      <c r="E986" s="13">
        <f>Tuts!D984</f>
        <v>20.14</v>
      </c>
    </row>
    <row r="987" spans="2:5" ht="15.75" hidden="1" customHeight="1">
      <c r="B987" t="str">
        <f>Tuts!B985</f>
        <v>GRELHA ALUMINIO COM COLETOR 20X30</v>
      </c>
      <c r="C987" s="13">
        <f>Tuts!E985</f>
        <v>43.9</v>
      </c>
      <c r="D987" s="18">
        <f>Tuts!J985</f>
        <v>37.742857142857147</v>
      </c>
      <c r="E987" s="13">
        <f>Tuts!D985</f>
        <v>26.42</v>
      </c>
    </row>
    <row r="988" spans="2:5" ht="15.75" hidden="1" customHeight="1">
      <c r="B988" t="str">
        <f>Tuts!B986</f>
        <v>GRELHA ALUMINIO COM COLETOR 20X50</v>
      </c>
      <c r="C988" s="13">
        <f>Tuts!E986</f>
        <v>64.5</v>
      </c>
      <c r="D988" s="18">
        <f>Tuts!J986</f>
        <v>53.628571428571433</v>
      </c>
      <c r="E988" s="13">
        <f>Tuts!D986</f>
        <v>37.54</v>
      </c>
    </row>
    <row r="989" spans="2:5" ht="15.75" hidden="1" customHeight="1">
      <c r="B989" t="str">
        <f>Tuts!B987</f>
        <v>GRELHA ALUMINIO SEM COLETOR 15X30 SEM SUPORTE</v>
      </c>
      <c r="C989" s="13">
        <f>Tuts!E987</f>
        <v>35</v>
      </c>
      <c r="D989" s="18">
        <f>Tuts!J987</f>
        <v>32.200000000000003</v>
      </c>
      <c r="E989" s="13">
        <f>Tuts!D987</f>
        <v>22.54</v>
      </c>
    </row>
    <row r="990" spans="2:5" ht="15.75" hidden="1" customHeight="1">
      <c r="B990" t="str">
        <f>Tuts!B988</f>
        <v>GRELHA ALUMINIO SEM COLETOR 20X100 COM SUPORTE</v>
      </c>
      <c r="C990" s="13">
        <f>Tuts!E988</f>
        <v>115</v>
      </c>
      <c r="D990" s="18">
        <f>Tuts!J988</f>
        <v>106.51428571428572</v>
      </c>
      <c r="E990" s="13">
        <f>Tuts!D988</f>
        <v>74.56</v>
      </c>
    </row>
    <row r="991" spans="2:5" ht="15.75" hidden="1" customHeight="1">
      <c r="B991" t="str">
        <f>Tuts!B989</f>
        <v>GRELHA ALUMINIO SEM COLETOR 20X20 COM SUPORTE</v>
      </c>
      <c r="C991" s="13">
        <f>Tuts!E989</f>
        <v>30</v>
      </c>
      <c r="D991" s="18">
        <f>Tuts!J989</f>
        <v>27.828571428571429</v>
      </c>
      <c r="E991" s="13">
        <f>Tuts!D989</f>
        <v>19.48</v>
      </c>
    </row>
    <row r="992" spans="2:5" ht="15.75" hidden="1" customHeight="1">
      <c r="B992" t="str">
        <f>Tuts!B990</f>
        <v>GRELHA ALUMINIO SEM COLETOR 20X20 SEM SUPORTE</v>
      </c>
      <c r="C992" s="13">
        <f>Tuts!E990</f>
        <v>20</v>
      </c>
      <c r="D992" s="18">
        <f>Tuts!J990</f>
        <v>16.8</v>
      </c>
      <c r="E992" s="13">
        <f>Tuts!D990</f>
        <v>11.76</v>
      </c>
    </row>
    <row r="993" spans="2:5" ht="15.75" hidden="1" customHeight="1">
      <c r="B993" t="str">
        <f>Tuts!B991</f>
        <v>GRELHA ALUMINIO SEM COLETOR 20X30 SEM SUPORTE</v>
      </c>
      <c r="C993" s="13">
        <f>Tuts!E991</f>
        <v>47.5</v>
      </c>
      <c r="D993" s="18">
        <f>Tuts!J991</f>
        <v>43.414285714285718</v>
      </c>
      <c r="E993" s="13">
        <f>Tuts!D991</f>
        <v>30.39</v>
      </c>
    </row>
    <row r="994" spans="2:5" ht="15.75" hidden="1" customHeight="1">
      <c r="B994" t="str">
        <f>Tuts!B992</f>
        <v>GRELHA ALUMINIO SEM COLETOR 20X50 COM SUPORTE</v>
      </c>
      <c r="C994" s="13">
        <f>Tuts!E992</f>
        <v>48</v>
      </c>
      <c r="D994" s="18">
        <f>Tuts!J992</f>
        <v>44.485714285714288</v>
      </c>
      <c r="E994" s="13">
        <f>Tuts!D992</f>
        <v>31.14</v>
      </c>
    </row>
    <row r="995" spans="2:5" ht="15.75" hidden="1" customHeight="1">
      <c r="B995" t="str">
        <f>Tuts!B993</f>
        <v>GRELHA ALUMINIO SEM COLETOR 20X50 SEM SUPORTE</v>
      </c>
      <c r="C995" s="13">
        <f>Tuts!E993</f>
        <v>45</v>
      </c>
      <c r="D995" s="18">
        <f>Tuts!J993</f>
        <v>39.642857142857146</v>
      </c>
      <c r="E995" s="13">
        <f>Tuts!D993</f>
        <v>27.75</v>
      </c>
    </row>
    <row r="996" spans="2:5" ht="15.75" hidden="1" customHeight="1">
      <c r="B996" t="str">
        <f>Tuts!B994</f>
        <v>GRELHA CHURRASCO 40X50</v>
      </c>
      <c r="C996" s="13">
        <f>Tuts!E994</f>
        <v>60</v>
      </c>
      <c r="D996" s="18">
        <f>Tuts!J994</f>
        <v>62.857142857142861</v>
      </c>
      <c r="E996" s="13">
        <f>Tuts!D994</f>
        <v>44</v>
      </c>
    </row>
    <row r="997" spans="2:5" ht="15.75" hidden="1" customHeight="1">
      <c r="B997" t="str">
        <f>Tuts!B995</f>
        <v>GRELHA CHURRASCO 50X50</v>
      </c>
      <c r="C997" s="13">
        <f>Tuts!E995</f>
        <v>65</v>
      </c>
      <c r="D997" s="18">
        <f>Tuts!J995</f>
        <v>64.285714285714292</v>
      </c>
      <c r="E997" s="13">
        <f>Tuts!D995</f>
        <v>45</v>
      </c>
    </row>
    <row r="998" spans="2:5" ht="15.75" hidden="1" customHeight="1">
      <c r="B998" t="str">
        <f>Tuts!B996</f>
        <v>GRELHA CHURRASCO INOX 40X50</v>
      </c>
      <c r="C998" s="13">
        <f>Tuts!E996</f>
        <v>100</v>
      </c>
      <c r="D998" s="18">
        <f>Tuts!J996</f>
        <v>100</v>
      </c>
      <c r="E998" s="13">
        <f>Tuts!D996</f>
        <v>70</v>
      </c>
    </row>
    <row r="999" spans="2:5" ht="15.75" hidden="1" customHeight="1">
      <c r="B999" t="str">
        <f>Tuts!B997</f>
        <v>GRELHA INOX 100MM QUAD/RED SSMETAIS</v>
      </c>
      <c r="C999" s="13">
        <f>Tuts!E997</f>
        <v>9</v>
      </c>
      <c r="D999" s="18">
        <f>Tuts!J997</f>
        <v>6.6428571428571441</v>
      </c>
      <c r="E999" s="13">
        <f>Tuts!D997</f>
        <v>4.6500000000000004</v>
      </c>
    </row>
    <row r="1000" spans="2:5" ht="15.75" hidden="1" customHeight="1">
      <c r="B1000" t="str">
        <f>Tuts!B998</f>
        <v>GRELHA INOX 150MM QUAD/RED SSMETAIS</v>
      </c>
      <c r="C1000" s="13">
        <f>Tuts!E998</f>
        <v>15.5</v>
      </c>
      <c r="D1000" s="18">
        <f>Tuts!J998</f>
        <v>12.9</v>
      </c>
      <c r="E1000" s="13">
        <f>Tuts!D998</f>
        <v>9.0299999999999994</v>
      </c>
    </row>
    <row r="1001" spans="2:5" ht="15.75" hidden="1" customHeight="1">
      <c r="B1001" t="str">
        <f>Tuts!B999</f>
        <v>GRELHA QUAD/RETAN</v>
      </c>
      <c r="C1001" s="13">
        <f>Tuts!E999</f>
        <v>60</v>
      </c>
      <c r="D1001" s="18">
        <f>Tuts!J999</f>
        <v>54.285714285714292</v>
      </c>
      <c r="E1001" s="13">
        <f>Tuts!D999</f>
        <v>38</v>
      </c>
    </row>
    <row r="1002" spans="2:5" ht="15.75" hidden="1" customHeight="1">
      <c r="B1002" t="str">
        <f>Tuts!B1000</f>
        <v>HASTE TERRA 1/2 X 2MTS</v>
      </c>
      <c r="C1002" s="13">
        <f>Tuts!E1000</f>
        <v>35</v>
      </c>
      <c r="D1002" s="18">
        <f>Tuts!J1000</f>
        <v>28.100000000000005</v>
      </c>
      <c r="E1002" s="13">
        <f>Tuts!D1000</f>
        <v>19.670000000000002</v>
      </c>
    </row>
    <row r="1003" spans="2:5" ht="15.75" hidden="1" customHeight="1">
      <c r="B1003" t="str">
        <f>Tuts!B1001</f>
        <v>HERC IRRIGADOR GIRATORIO</v>
      </c>
      <c r="C1003" s="13">
        <f>Tuts!E1001</f>
        <v>25.6</v>
      </c>
      <c r="D1003" s="18">
        <f>Tuts!J1001</f>
        <v>22.485714285714288</v>
      </c>
      <c r="E1003" s="13">
        <f>Tuts!D1001</f>
        <v>15.74</v>
      </c>
    </row>
    <row r="1004" spans="2:5" ht="15.75" hidden="1" customHeight="1">
      <c r="B1004" t="str">
        <f>Tuts!B1002</f>
        <v>HIPERLAR ESMALTE 112,5ML</v>
      </c>
      <c r="C1004" s="13">
        <f>Tuts!E1002</f>
        <v>11.9</v>
      </c>
      <c r="D1004" s="18">
        <f>Tuts!J1002</f>
        <v>7.128571428571429</v>
      </c>
      <c r="E1004" s="13">
        <f>Tuts!D1002</f>
        <v>4.99</v>
      </c>
    </row>
    <row r="1005" spans="2:5" ht="15.75" hidden="1" customHeight="1">
      <c r="B1005" t="str">
        <f>Tuts!B1003</f>
        <v>HIPERLAR ESMALTE 3,6L</v>
      </c>
      <c r="C1005" s="13">
        <f>Tuts!E1003</f>
        <v>112</v>
      </c>
      <c r="D1005" s="18">
        <f>Tuts!J1003</f>
        <v>102.71428571428572</v>
      </c>
      <c r="E1005" s="13">
        <f>Tuts!D1003</f>
        <v>71.900000000000006</v>
      </c>
    </row>
    <row r="1006" spans="2:5" ht="15.75" hidden="1" customHeight="1">
      <c r="B1006" t="str">
        <f>Tuts!B1004</f>
        <v>HIPERLAR ESMALTE 900ML</v>
      </c>
      <c r="C1006" s="13">
        <f>Tuts!E1004</f>
        <v>30</v>
      </c>
      <c r="D1006" s="18">
        <f>Tuts!J1004</f>
        <v>25.571428571428569</v>
      </c>
      <c r="E1006" s="13">
        <f>Tuts!D1004</f>
        <v>17.899999999999999</v>
      </c>
    </row>
    <row r="1007" spans="2:5" ht="15.75" hidden="1" customHeight="1">
      <c r="B1007" t="str">
        <f>Tuts!B1005</f>
        <v>IGOL ECOASFALTO SIKA 3,6 (SIMILAR NEUTROL)</v>
      </c>
      <c r="C1007" s="13">
        <f>Tuts!E1005</f>
        <v>85</v>
      </c>
      <c r="D1007" s="18">
        <f>Tuts!J1005</f>
        <v>76.857142857142861</v>
      </c>
      <c r="E1007" s="13">
        <f>Tuts!D1005</f>
        <v>53.8</v>
      </c>
    </row>
    <row r="1008" spans="2:5" ht="15.75" hidden="1" customHeight="1">
      <c r="B1008" t="str">
        <f>Tuts!B1006</f>
        <v>ILUMI AA CONJUNTO 1 TOMADA 20A 4X2</v>
      </c>
      <c r="C1008" s="13">
        <f>Tuts!E1006</f>
        <v>8.3000000000000007</v>
      </c>
      <c r="D1008" s="18">
        <f>Tuts!J1006</f>
        <v>7.4285714285714297</v>
      </c>
      <c r="E1008" s="13">
        <f>Tuts!D1006</f>
        <v>5.2</v>
      </c>
    </row>
    <row r="1009" spans="2:5" ht="15.75" hidden="1" customHeight="1">
      <c r="B1009" t="str">
        <f>Tuts!B1007</f>
        <v xml:space="preserve">ILUMI AB CONJUNTO 1 TOMADA 10A 4x2 </v>
      </c>
      <c r="C1009" s="13">
        <f>Tuts!E1007</f>
        <v>8.5</v>
      </c>
      <c r="D1009" s="18">
        <f>Tuts!J1007</f>
        <v>6.8571428571428577</v>
      </c>
      <c r="E1009" s="13">
        <f>Tuts!D1007</f>
        <v>4.8</v>
      </c>
    </row>
    <row r="1010" spans="2:5" ht="15.75" hidden="1" customHeight="1">
      <c r="B1010" t="str">
        <f>Tuts!B1008</f>
        <v>ILUMI AC CONJUNTO  2 TOMADAS 10A 4X2</v>
      </c>
      <c r="C1010" s="13">
        <f>Tuts!E1008</f>
        <v>13.2</v>
      </c>
      <c r="D1010" s="18">
        <f>Tuts!J1008</f>
        <v>11.9</v>
      </c>
      <c r="E1010" s="13">
        <f>Tuts!D1008</f>
        <v>8.33</v>
      </c>
    </row>
    <row r="1011" spans="2:5" ht="15.75" hidden="1" customHeight="1">
      <c r="B1011" t="str">
        <f>Tuts!B1009</f>
        <v>ILUMI AD CONJUNTO 3 TOMADAS 4X2</v>
      </c>
      <c r="C1011" s="13">
        <f>Tuts!E1009</f>
        <v>19.5</v>
      </c>
      <c r="D1011" s="18">
        <f>Tuts!J1009</f>
        <v>17.12857142857143</v>
      </c>
      <c r="E1011" s="13">
        <f>Tuts!D1009</f>
        <v>11.99</v>
      </c>
    </row>
    <row r="1012" spans="2:5" ht="15.75" hidden="1" customHeight="1">
      <c r="B1012" t="str">
        <f>Tuts!B1010</f>
        <v xml:space="preserve">ILUMI BA CONJUNTO  1 INTERRUPTOR SIMPLES  </v>
      </c>
      <c r="C1012" s="13">
        <f>Tuts!E1010</f>
        <v>7</v>
      </c>
      <c r="D1012" s="18">
        <f>Tuts!J1010</f>
        <v>4.8571428571428577</v>
      </c>
      <c r="E1012" s="13">
        <f>Tuts!D1010</f>
        <v>3.4</v>
      </c>
    </row>
    <row r="1013" spans="2:5" ht="15.75" hidden="1" customHeight="1">
      <c r="B1013" t="str">
        <f>Tuts!B1011</f>
        <v>ILUMI BB CONJUNTO 2 INTERRUPTOR SIMPLES</v>
      </c>
      <c r="C1013" s="13">
        <f>Tuts!E1011</f>
        <v>10.9</v>
      </c>
      <c r="D1013" s="18">
        <f>Tuts!J1011</f>
        <v>9.8571428571428577</v>
      </c>
      <c r="E1013" s="13">
        <f>Tuts!D1011</f>
        <v>6.9</v>
      </c>
    </row>
    <row r="1014" spans="2:5" ht="15.75" hidden="1" customHeight="1">
      <c r="B1014" t="str">
        <f>Tuts!B1012</f>
        <v>ILUMI BC CONJUNTO 3 INTERRUPTOR SIMPLES</v>
      </c>
      <c r="C1014" s="13">
        <f>Tuts!E1012</f>
        <v>15.5</v>
      </c>
      <c r="D1014" s="18">
        <f>Tuts!J1012</f>
        <v>14.142857142857144</v>
      </c>
      <c r="E1014" s="13">
        <f>Tuts!D1012</f>
        <v>9.9</v>
      </c>
    </row>
    <row r="1015" spans="2:5" ht="15.75" hidden="1" customHeight="1">
      <c r="B1015" t="str">
        <f>Tuts!B1013</f>
        <v>ILUMI CA CONJUNTO  1 INTER SIMP + 1 TOMADA 10A</v>
      </c>
      <c r="C1015" s="13">
        <f>Tuts!E1013</f>
        <v>10.8</v>
      </c>
      <c r="D1015" s="18">
        <f>Tuts!J1013</f>
        <v>9.7857142857142865</v>
      </c>
      <c r="E1015" s="13">
        <f>Tuts!D1013</f>
        <v>6.85</v>
      </c>
    </row>
    <row r="1016" spans="2:5" ht="15.75" hidden="1" customHeight="1">
      <c r="B1016" t="str">
        <f>Tuts!B1014</f>
        <v>ILUMI CB CONJUNTO  2 INTER SIMP + 1 TOMADA 10A</v>
      </c>
      <c r="C1016" s="13">
        <f>Tuts!E1014</f>
        <v>17.2</v>
      </c>
      <c r="D1016" s="18">
        <f>Tuts!J1014</f>
        <v>15.700000000000001</v>
      </c>
      <c r="E1016" s="13">
        <f>Tuts!D1014</f>
        <v>10.99</v>
      </c>
    </row>
    <row r="1017" spans="2:5" ht="15.75" hidden="1" customHeight="1">
      <c r="B1017" t="str">
        <f>Tuts!B1015</f>
        <v>ILUMI CONJUNTO 1 INTERRUPTOR EXTERNO</v>
      </c>
      <c r="C1017" s="13">
        <f>Tuts!E1015</f>
        <v>8.3000000000000007</v>
      </c>
      <c r="D1017" s="18">
        <f>Tuts!J1015</f>
        <v>7.0000000000000009</v>
      </c>
      <c r="E1017" s="13">
        <f>Tuts!D1015</f>
        <v>4.9000000000000004</v>
      </c>
    </row>
    <row r="1018" spans="2:5" ht="15.75" hidden="1" customHeight="1">
      <c r="B1018" t="str">
        <f>Tuts!B1016</f>
        <v>ILUMI CONJUNTO 1 TOMADA EXTERNO</v>
      </c>
      <c r="C1018" s="13">
        <f>Tuts!E1016</f>
        <v>9.5</v>
      </c>
      <c r="D1018" s="18">
        <f>Tuts!J1016</f>
        <v>8</v>
      </c>
      <c r="E1018" s="13">
        <f>Tuts!D1016</f>
        <v>5.6</v>
      </c>
    </row>
    <row r="1019" spans="2:5" ht="15.75" hidden="1" customHeight="1">
      <c r="B1019" t="str">
        <f>Tuts!B1017</f>
        <v>ILUMI ESPELHO CEGO PLACA CEGA</v>
      </c>
      <c r="C1019" s="13">
        <f>Tuts!E1017</f>
        <v>3</v>
      </c>
      <c r="D1019" s="18">
        <f>Tuts!J1017</f>
        <v>2</v>
      </c>
      <c r="E1019" s="13">
        <f>Tuts!D1017</f>
        <v>1.4</v>
      </c>
    </row>
    <row r="1020" spans="2:5" ht="15.75" hidden="1" customHeight="1">
      <c r="B1020" t="str">
        <f>Tuts!B1018</f>
        <v>ILUMI ESPELHO CEGO PLACA CEGA COM FURO</v>
      </c>
      <c r="C1020" s="13">
        <f>Tuts!E1018</f>
        <v>3.5</v>
      </c>
      <c r="D1020" s="18">
        <f>Tuts!J1018</f>
        <v>2</v>
      </c>
      <c r="E1020" s="13">
        <f>Tuts!D1018</f>
        <v>1.4</v>
      </c>
    </row>
    <row r="1021" spans="2:5" ht="15.75" hidden="1" customHeight="1">
      <c r="B1021" t="str">
        <f>Tuts!B1019</f>
        <v>ILUMI EXTENSAO 2P 10A 10MT</v>
      </c>
      <c r="C1021" s="13">
        <f>Tuts!E1019</f>
        <v>45</v>
      </c>
      <c r="D1021" s="18">
        <f>Tuts!J1019</f>
        <v>39.428571428571431</v>
      </c>
      <c r="E1021" s="13">
        <f>Tuts!D1019</f>
        <v>27.6</v>
      </c>
    </row>
    <row r="1022" spans="2:5" ht="15.75" hidden="1" customHeight="1">
      <c r="B1022" t="str">
        <f>Tuts!B1020</f>
        <v>ILUMI EXTENSAO 2P 10A 3MT</v>
      </c>
      <c r="C1022" s="13">
        <f>Tuts!E1020</f>
        <v>20</v>
      </c>
      <c r="D1022" s="18">
        <f>Tuts!J1020</f>
        <v>18.557142857142857</v>
      </c>
      <c r="E1022" s="13">
        <f>Tuts!D1020</f>
        <v>12.99</v>
      </c>
    </row>
    <row r="1023" spans="2:5" ht="15.75" hidden="1" customHeight="1">
      <c r="B1023" t="str">
        <f>Tuts!B1021</f>
        <v>ILUMI EXTENSAO 2P 10A 5MT</v>
      </c>
      <c r="C1023" s="13">
        <f>Tuts!E1021</f>
        <v>27</v>
      </c>
      <c r="D1023" s="18">
        <f>Tuts!J1021</f>
        <v>22.842857142857145</v>
      </c>
      <c r="E1023" s="13">
        <f>Tuts!D1021</f>
        <v>15.99</v>
      </c>
    </row>
    <row r="1024" spans="2:5" ht="15.75" hidden="1" customHeight="1">
      <c r="B1024" t="str">
        <f>Tuts!B1022</f>
        <v xml:space="preserve">ILUMI PLAFON PRETO SOQUETE PORCELANA </v>
      </c>
      <c r="C1024" s="13">
        <f>Tuts!E1022</f>
        <v>7</v>
      </c>
      <c r="D1024" s="18">
        <f>Tuts!J1022</f>
        <v>4.2714285714285722</v>
      </c>
      <c r="E1024" s="13">
        <f>Tuts!D1022</f>
        <v>2.99</v>
      </c>
    </row>
    <row r="1025" spans="2:5" ht="15.75" hidden="1" customHeight="1">
      <c r="B1025" t="str">
        <f>Tuts!B1023</f>
        <v xml:space="preserve">ILUMI PLUGUE FEMEA 2P 10A POTE </v>
      </c>
      <c r="C1025" s="13">
        <f>Tuts!E1023</f>
        <v>5</v>
      </c>
      <c r="D1025" s="18">
        <f>Tuts!J1023</f>
        <v>3.1285714285714286</v>
      </c>
      <c r="E1025" s="13">
        <f>Tuts!D1023</f>
        <v>2.19</v>
      </c>
    </row>
    <row r="1026" spans="2:5" ht="15.75" hidden="1" customHeight="1">
      <c r="B1026" t="str">
        <f>Tuts!B1024</f>
        <v>ILUMI PULSADOR CAMPAINHA EXTERNO</v>
      </c>
      <c r="C1026" s="13">
        <f>Tuts!E1024</f>
        <v>10</v>
      </c>
      <c r="D1026" s="18">
        <f>Tuts!J1024</f>
        <v>6.3428571428571434</v>
      </c>
      <c r="E1026" s="13">
        <f>Tuts!D1024</f>
        <v>4.4400000000000004</v>
      </c>
    </row>
    <row r="1027" spans="2:5" ht="15.75" hidden="1" customHeight="1">
      <c r="B1027" t="str">
        <f>Tuts!B1025</f>
        <v>ILUMI QUADRO DE DISJUNTORES 12DIN</v>
      </c>
      <c r="C1027" s="13">
        <f>Tuts!E1025</f>
        <v>48</v>
      </c>
      <c r="D1027" s="18">
        <f>Tuts!J1025</f>
        <v>44.142857142857146</v>
      </c>
      <c r="E1027" s="13">
        <f>Tuts!D1025</f>
        <v>30.9</v>
      </c>
    </row>
    <row r="1028" spans="2:5" ht="15.75" hidden="1" customHeight="1">
      <c r="B1028" t="str">
        <f>Tuts!B1026</f>
        <v>ILUMI QUADRO DE DISJUNTORES 16DIN</v>
      </c>
      <c r="C1028" s="13">
        <f>Tuts!E1026</f>
        <v>58</v>
      </c>
      <c r="D1028" s="18">
        <f>Tuts!J1026</f>
        <v>51.414285714285718</v>
      </c>
      <c r="E1028" s="13">
        <f>Tuts!D1026</f>
        <v>35.99</v>
      </c>
    </row>
    <row r="1029" spans="2:5" ht="15.75" hidden="1" customHeight="1">
      <c r="B1029" t="str">
        <f>Tuts!B1027</f>
        <v>ILUMI QUADRO DE DISJUNTORES 4DIN</v>
      </c>
      <c r="C1029" s="13">
        <f>Tuts!E1027</f>
        <v>32</v>
      </c>
      <c r="D1029" s="18">
        <f>Tuts!J1027</f>
        <v>26.428571428571431</v>
      </c>
      <c r="E1029" s="13">
        <f>Tuts!D1027</f>
        <v>18.5</v>
      </c>
    </row>
    <row r="1030" spans="2:5" ht="15.75" hidden="1" customHeight="1">
      <c r="B1030" t="str">
        <f>Tuts!B1028</f>
        <v>ILUMI QUADRO DE DISJUNTORES SOBREPOR 4DIN</v>
      </c>
      <c r="C1030" s="13">
        <f>Tuts!E1028</f>
        <v>45</v>
      </c>
      <c r="D1030" s="18">
        <f>Tuts!J1028</f>
        <v>38.428571428571431</v>
      </c>
      <c r="E1030" s="13">
        <f>Tuts!D1028</f>
        <v>26.9</v>
      </c>
    </row>
    <row r="1031" spans="2:5" ht="15.75" hidden="1" customHeight="1">
      <c r="B1031" t="str">
        <f>Tuts!B1029</f>
        <v>ILUMINARIA PLAFON LED 25W 33X33CM SEM FIM</v>
      </c>
      <c r="C1031" s="13">
        <f>Tuts!E1029</f>
        <v>104.9</v>
      </c>
      <c r="D1031" s="18">
        <f>Tuts!J1029</f>
        <v>95.7</v>
      </c>
      <c r="E1031" s="13">
        <f>Tuts!D1029</f>
        <v>66.989999999999995</v>
      </c>
    </row>
    <row r="1032" spans="2:5" ht="15.75" hidden="1" customHeight="1">
      <c r="B1032" t="str">
        <f>Tuts!B1030</f>
        <v>IMBER TUBO SOLDAVEL 32MM</v>
      </c>
      <c r="C1032" s="13">
        <f>Tuts!E1030</f>
        <v>51</v>
      </c>
      <c r="D1032" s="18">
        <f>Tuts!J1030</f>
        <v>47.114285714285714</v>
      </c>
      <c r="E1032" s="13">
        <f>Tuts!D1030</f>
        <v>32.979999999999997</v>
      </c>
    </row>
    <row r="1033" spans="2:5" ht="15.75" hidden="1" customHeight="1">
      <c r="B1033" t="str">
        <f>Tuts!B1031</f>
        <v>INOVA ESGUICHO GATILHO</v>
      </c>
      <c r="C1033" s="13">
        <f>Tuts!E1031</f>
        <v>13.2</v>
      </c>
      <c r="D1033" s="18">
        <f>Tuts!J1031</f>
        <v>11.428571428571429</v>
      </c>
      <c r="E1033" s="13">
        <f>Tuts!D1031</f>
        <v>8</v>
      </c>
    </row>
    <row r="1034" spans="2:5" ht="15.75" hidden="1" customHeight="1">
      <c r="B1034" t="str">
        <f>Tuts!B1032</f>
        <v>INOVA TORNEIRA BICA MOVEL LAVATORIO</v>
      </c>
      <c r="C1034" s="13">
        <f>Tuts!E1032</f>
        <v>29.5</v>
      </c>
      <c r="D1034" s="18">
        <f>Tuts!J1032</f>
        <v>26.428571428571431</v>
      </c>
      <c r="E1034" s="13">
        <f>Tuts!D1032</f>
        <v>18.5</v>
      </c>
    </row>
    <row r="1035" spans="2:5" ht="15.75" hidden="1" customHeight="1">
      <c r="B1035" t="str">
        <f>Tuts!B1033</f>
        <v>INOVA TORNEIRA BICA MOVEL PAREDE</v>
      </c>
      <c r="C1035" s="13">
        <f>Tuts!E1033</f>
        <v>27.9</v>
      </c>
      <c r="D1035" s="18">
        <f>Tuts!J1033</f>
        <v>25</v>
      </c>
      <c r="E1035" s="13">
        <f>Tuts!D1033</f>
        <v>17.5</v>
      </c>
    </row>
    <row r="1036" spans="2:5" ht="15.75" hidden="1" customHeight="1">
      <c r="B1036" t="str">
        <f>Tuts!B1034</f>
        <v>INOVA TORNEIRA COZINHA LONGA</v>
      </c>
      <c r="C1036" s="13">
        <f>Tuts!E1034</f>
        <v>21.9</v>
      </c>
      <c r="D1036" s="18">
        <f>Tuts!J1034</f>
        <v>17.142857142857142</v>
      </c>
      <c r="E1036" s="13">
        <f>Tuts!D1034</f>
        <v>12</v>
      </c>
    </row>
    <row r="1037" spans="2:5" ht="15.75" hidden="1" customHeight="1">
      <c r="B1037" t="str">
        <f>Tuts!B1035</f>
        <v>INOVA TORNEIRA COZINHA/TANQUE LONGA</v>
      </c>
      <c r="C1037" s="13">
        <f>Tuts!E1035</f>
        <v>20.9</v>
      </c>
      <c r="D1037" s="18">
        <f>Tuts!J1035</f>
        <v>15.714285714285715</v>
      </c>
      <c r="E1037" s="13">
        <f>Tuts!D1035</f>
        <v>11</v>
      </c>
    </row>
    <row r="1038" spans="2:5" ht="15.75" hidden="1" customHeight="1">
      <c r="B1038" t="str">
        <f>Tuts!B1036</f>
        <v xml:space="preserve">INOVA TORNEIRA DE MESA LAVATORIO </v>
      </c>
      <c r="C1038" s="13">
        <f>Tuts!E1036</f>
        <v>19.5</v>
      </c>
      <c r="D1038" s="18">
        <f>Tuts!J1036</f>
        <v>17.142857142857142</v>
      </c>
      <c r="E1038" s="13">
        <f>Tuts!D1036</f>
        <v>12</v>
      </c>
    </row>
    <row r="1039" spans="2:5" ht="15.75" hidden="1" customHeight="1">
      <c r="B1039" t="str">
        <f>Tuts!B1037</f>
        <v xml:space="preserve">INOVA TORNEIRA JARDIM PRATA </v>
      </c>
      <c r="C1039" s="13">
        <f>Tuts!E1037</f>
        <v>12</v>
      </c>
      <c r="D1039" s="18">
        <f>Tuts!J1037</f>
        <v>8.5714285714285712</v>
      </c>
      <c r="E1039" s="13">
        <f>Tuts!D1037</f>
        <v>6</v>
      </c>
    </row>
    <row r="1040" spans="2:5" ht="15.75" hidden="1" customHeight="1">
      <c r="B1040" t="str">
        <f>Tuts!B1038</f>
        <v>INOVA TORNEIRA MAQUINA DE LAVAR</v>
      </c>
      <c r="C1040" s="13">
        <f>Tuts!E1038</f>
        <v>23</v>
      </c>
      <c r="D1040" s="18">
        <f>Tuts!J1038</f>
        <v>17.857142857142858</v>
      </c>
      <c r="E1040" s="13">
        <f>Tuts!D1038</f>
        <v>12.5</v>
      </c>
    </row>
    <row r="1041" spans="2:5" ht="15.75" hidden="1" customHeight="1">
      <c r="B1041" t="str">
        <f>Tuts!B1039</f>
        <v>INTERFONE PORTEIRO ELETRONICO AGL</v>
      </c>
      <c r="C1041" s="13">
        <f>Tuts!E1039</f>
        <v>230</v>
      </c>
      <c r="D1041" s="18">
        <f>Tuts!J1039</f>
        <v>205.14285714285714</v>
      </c>
      <c r="E1041" s="13">
        <f>Tuts!D1039</f>
        <v>143.6</v>
      </c>
    </row>
    <row r="1042" spans="2:5" ht="15.75" hidden="1" customHeight="1">
      <c r="B1042" t="str">
        <f>Tuts!B1040</f>
        <v>IQUINE DELANIL ESMALTE 3L</v>
      </c>
      <c r="C1042" s="13">
        <f>Tuts!E1040</f>
        <v>130</v>
      </c>
      <c r="D1042" s="18">
        <f>Tuts!J1040</f>
        <v>119.98571428571428</v>
      </c>
      <c r="E1042" s="13">
        <f>Tuts!D1040</f>
        <v>83.99</v>
      </c>
    </row>
    <row r="1043" spans="2:5" ht="15.75" hidden="1" customHeight="1">
      <c r="B1043" t="str">
        <f>Tuts!B1041</f>
        <v>IQUINE DELANIL ESMALTE 750ML</v>
      </c>
      <c r="C1043" s="13">
        <f>Tuts!E1041</f>
        <v>38</v>
      </c>
      <c r="D1043" s="18">
        <f>Tuts!J1041</f>
        <v>34.271428571428572</v>
      </c>
      <c r="E1043" s="13">
        <f>Tuts!D1041</f>
        <v>23.99</v>
      </c>
    </row>
    <row r="1044" spans="2:5" ht="15.75" hidden="1" customHeight="1">
      <c r="B1044" t="str">
        <f>Tuts!B1042</f>
        <v>IRWIN LAPIS DE CARPINTEIRO</v>
      </c>
      <c r="C1044" s="13">
        <f>Tuts!E1042</f>
        <v>3.8</v>
      </c>
      <c r="D1044" s="18">
        <f>Tuts!J1042</f>
        <v>3.342857142857143</v>
      </c>
      <c r="E1044" s="13">
        <f>Tuts!D1042</f>
        <v>2.34</v>
      </c>
    </row>
    <row r="1045" spans="2:5" ht="15.75" hidden="1" customHeight="1">
      <c r="B1045" t="str">
        <f>Tuts!B1043</f>
        <v>IRWIN TRENA PROFISSIONAL EMBORRACHADA 8MT</v>
      </c>
      <c r="C1045" s="13">
        <f>Tuts!E1043</f>
        <v>45</v>
      </c>
      <c r="D1045" s="18">
        <f>Tuts!J1043</f>
        <v>41</v>
      </c>
      <c r="E1045" s="13">
        <f>Tuts!D1043</f>
        <v>28.7</v>
      </c>
    </row>
    <row r="1046" spans="2:5" ht="15.75" hidden="1" customHeight="1">
      <c r="B1046" t="str">
        <f>Tuts!B1044</f>
        <v>IRWIN TRENA STANDARD 5M</v>
      </c>
      <c r="C1046" s="13">
        <f>Tuts!E1044</f>
        <v>31.2</v>
      </c>
      <c r="D1046" s="18">
        <f>Tuts!J1044</f>
        <v>24.457142857142859</v>
      </c>
      <c r="E1046" s="13">
        <f>Tuts!D1044</f>
        <v>17.12</v>
      </c>
    </row>
    <row r="1047" spans="2:5" ht="15.75" hidden="1" customHeight="1">
      <c r="B1047" t="str">
        <f>Tuts!B1045</f>
        <v>ISERO FECHADURA CAIXAO</v>
      </c>
      <c r="C1047" s="13">
        <f>Tuts!E1045</f>
        <v>26</v>
      </c>
      <c r="D1047" s="18">
        <f>Tuts!J1045</f>
        <v>20.614285714285714</v>
      </c>
      <c r="E1047" s="13">
        <f>Tuts!D1045</f>
        <v>14.43</v>
      </c>
    </row>
    <row r="1048" spans="2:5" ht="15.75" hidden="1" customHeight="1">
      <c r="B1048" t="str">
        <f>Tuts!B1046</f>
        <v>ISOLADOR DE CERCA TIPO CASTANHA GRANDE</v>
      </c>
      <c r="C1048" s="13">
        <f>Tuts!E1046</f>
        <v>1.2</v>
      </c>
      <c r="D1048" s="18">
        <f>Tuts!J1046</f>
        <v>0.85714285714285721</v>
      </c>
      <c r="E1048" s="13">
        <f>Tuts!D1046</f>
        <v>0.6</v>
      </c>
    </row>
    <row r="1049" spans="2:5" ht="15.75" hidden="1" customHeight="1">
      <c r="B1049" t="str">
        <f>Tuts!B1047</f>
        <v>ISOLADOR DE CERCA TIPO GANCHO</v>
      </c>
      <c r="C1049" s="13">
        <f>Tuts!E1047</f>
        <v>1.8</v>
      </c>
      <c r="D1049" s="18">
        <f>Tuts!J1047</f>
        <v>1.6000000000000003</v>
      </c>
      <c r="E1049" s="13">
        <f>Tuts!D1047</f>
        <v>1.1200000000000001</v>
      </c>
    </row>
    <row r="1050" spans="2:5" ht="15.75" hidden="1" customHeight="1">
      <c r="B1050" t="str">
        <f>Tuts!B1048</f>
        <v>ISOLADOR DE CERCA TIPO W GRANDE</v>
      </c>
      <c r="C1050" s="13">
        <f>Tuts!E1048</f>
        <v>0.9</v>
      </c>
      <c r="D1050" s="18">
        <f>Tuts!J1048</f>
        <v>0.67142857142857149</v>
      </c>
      <c r="E1050" s="13">
        <f>Tuts!D1048</f>
        <v>0.47</v>
      </c>
    </row>
    <row r="1051" spans="2:5" ht="15.75" hidden="1" customHeight="1">
      <c r="B1051" t="str">
        <f>Tuts!B1049</f>
        <v>JANELA CORRER 100X150X120  RIOBRAS AÇO BR</v>
      </c>
      <c r="C1051" s="13">
        <f>Tuts!E1049</f>
        <v>755</v>
      </c>
      <c r="D1051" s="18">
        <f>Tuts!J1049</f>
        <v>700.52857142857147</v>
      </c>
      <c r="E1051" s="13">
        <f>Tuts!D1049</f>
        <v>490.37</v>
      </c>
    </row>
    <row r="1052" spans="2:5" ht="15.75" hidden="1" customHeight="1">
      <c r="B1052" t="str">
        <f>Tuts!B1050</f>
        <v>JANELA CORRER 100X150X120 COD002 GEROTO ALUMINIO BR</v>
      </c>
      <c r="C1052" s="13">
        <f>Tuts!E1050</f>
        <v>670</v>
      </c>
      <c r="D1052" s="18">
        <f>Tuts!J1050</f>
        <v>618.57142857142856</v>
      </c>
      <c r="E1052" s="13">
        <f>Tuts!D1050</f>
        <v>433</v>
      </c>
    </row>
    <row r="1053" spans="2:5" ht="15.75" hidden="1" customHeight="1">
      <c r="B1053" t="str">
        <f>Tuts!B1051</f>
        <v>JOELHEIRA CORTAG</v>
      </c>
      <c r="C1053" s="13">
        <f>Tuts!E1051</f>
        <v>58</v>
      </c>
      <c r="D1053" s="18">
        <f>Tuts!J1051</f>
        <v>57</v>
      </c>
      <c r="E1053" s="13">
        <f>Tuts!D1051</f>
        <v>39.9</v>
      </c>
    </row>
    <row r="1054" spans="2:5" ht="15.75" hidden="1" customHeight="1">
      <c r="B1054" t="str">
        <f>Tuts!B1052</f>
        <v>JOGO BROCAS CONCRETO 8UNI</v>
      </c>
      <c r="C1054" s="13">
        <f>Tuts!E1052</f>
        <v>28</v>
      </c>
      <c r="D1054" s="18">
        <f>Tuts!J1052</f>
        <v>22.142857142857146</v>
      </c>
      <c r="E1054" s="13">
        <f>Tuts!D1052</f>
        <v>15.5</v>
      </c>
    </row>
    <row r="1055" spans="2:5" ht="15.75" hidden="1" customHeight="1">
      <c r="B1055" t="str">
        <f>Tuts!B1053</f>
        <v>JOGO BROCAS HSS 8UNI</v>
      </c>
      <c r="C1055" s="13">
        <f>Tuts!E1053</f>
        <v>40</v>
      </c>
      <c r="D1055" s="18">
        <f>Tuts!J1053</f>
        <v>35.714285714285715</v>
      </c>
      <c r="E1055" s="13">
        <f>Tuts!D1053</f>
        <v>25</v>
      </c>
    </row>
    <row r="1056" spans="2:5" ht="15.75" hidden="1" customHeight="1">
      <c r="B1056" t="str">
        <f>Tuts!B1054</f>
        <v>JOGO CATRACA 17PCS</v>
      </c>
      <c r="C1056" s="13">
        <f>Tuts!E1054</f>
        <v>41.9</v>
      </c>
      <c r="D1056" s="18">
        <f>Tuts!J1054</f>
        <v>38.428571428571431</v>
      </c>
      <c r="E1056" s="13">
        <f>Tuts!D1054</f>
        <v>26.9</v>
      </c>
    </row>
    <row r="1057" spans="2:5" ht="15.75" hidden="1" customHeight="1">
      <c r="B1057" t="str">
        <f>Tuts!B1055</f>
        <v>JOGO CHAVE 3X1</v>
      </c>
      <c r="C1057" s="13">
        <f>Tuts!E1055</f>
        <v>17</v>
      </c>
      <c r="D1057" s="18">
        <f>Tuts!J1055</f>
        <v>10</v>
      </c>
      <c r="E1057" s="13">
        <f>Tuts!D1055</f>
        <v>7</v>
      </c>
    </row>
    <row r="1058" spans="2:5" ht="15.75" hidden="1" customHeight="1">
      <c r="B1058" t="str">
        <f>Tuts!B1056</f>
        <v>JOGO CHAVE BITS PROFIELD</v>
      </c>
      <c r="C1058" s="13">
        <f>Tuts!E1056</f>
        <v>28</v>
      </c>
      <c r="D1058" s="18">
        <f>Tuts!J1056</f>
        <v>25.571428571428569</v>
      </c>
      <c r="E1058" s="13">
        <f>Tuts!D1056</f>
        <v>17.899999999999999</v>
      </c>
    </row>
    <row r="1059" spans="2:5" ht="15.75" hidden="1" customHeight="1">
      <c r="B1059" t="str">
        <f>Tuts!B1057</f>
        <v>JOGO CHAVE BITS SAINT REF F93</v>
      </c>
      <c r="C1059" s="13">
        <f>Tuts!E1057</f>
        <v>28</v>
      </c>
      <c r="D1059" s="18">
        <f>Tuts!J1057</f>
        <v>25.571428571428569</v>
      </c>
      <c r="E1059" s="13">
        <f>Tuts!D1057</f>
        <v>17.899999999999999</v>
      </c>
    </row>
    <row r="1060" spans="2:5" ht="15.75" hidden="1" customHeight="1">
      <c r="B1060" t="str">
        <f>Tuts!B1058</f>
        <v>JOGO ESCOVA DE AÇO PROFIELD</v>
      </c>
      <c r="C1060" s="13">
        <f>Tuts!E1058</f>
        <v>26.5</v>
      </c>
      <c r="D1060" s="18">
        <f>Tuts!J1058</f>
        <v>24.242857142857144</v>
      </c>
      <c r="E1060" s="13">
        <f>Tuts!D1058</f>
        <v>16.97</v>
      </c>
    </row>
    <row r="1061" spans="2:5" ht="15.75" hidden="1" customHeight="1">
      <c r="B1061" t="str">
        <f>Tuts!B1059</f>
        <v>JUNCAO METAL MAQUINA DE LAVAR</v>
      </c>
      <c r="C1061" s="13">
        <f>Tuts!E1059</f>
        <v>23</v>
      </c>
      <c r="D1061" s="18">
        <f>Tuts!J1059</f>
        <v>19.857142857142858</v>
      </c>
      <c r="E1061" s="13">
        <f>Tuts!D1059</f>
        <v>13.9</v>
      </c>
    </row>
    <row r="1062" spans="2:5" ht="15.75" hidden="1" customHeight="1">
      <c r="B1062" t="str">
        <f>Tuts!B1060</f>
        <v>KIT ACABAMENTO P/ PARAFUSO TELHA COLONIAL C/ 20</v>
      </c>
      <c r="C1062" s="13">
        <f>Tuts!E1060</f>
        <v>65</v>
      </c>
      <c r="D1062" s="18">
        <f>Tuts!J1060</f>
        <v>59.914285714285718</v>
      </c>
      <c r="E1062" s="13">
        <f>Tuts!D1060</f>
        <v>41.94</v>
      </c>
    </row>
    <row r="1063" spans="2:5" ht="15.75" hidden="1" customHeight="1">
      <c r="B1063" t="str">
        <f>Tuts!B1061</f>
        <v>Kit Acessório Banheiro Alumínio</v>
      </c>
      <c r="C1063" s="13">
        <f>Tuts!E1061</f>
        <v>50.5</v>
      </c>
      <c r="D1063" s="18">
        <f>Tuts!J1061</f>
        <v>52.357142857142861</v>
      </c>
      <c r="E1063" s="13">
        <f>Tuts!D1061</f>
        <v>36.65</v>
      </c>
    </row>
    <row r="1064" spans="2:5" ht="15.75" hidden="1" customHeight="1">
      <c r="B1064" t="str">
        <f>Tuts!B1062</f>
        <v>KIT ATLAS ECONOMICO C/ BANDEJA 3PCS</v>
      </c>
      <c r="C1064" s="13">
        <f>Tuts!E1062</f>
        <v>38</v>
      </c>
      <c r="D1064" s="18">
        <f>Tuts!J1062</f>
        <v>32.142857142857146</v>
      </c>
      <c r="E1064" s="13">
        <f>Tuts!D1062</f>
        <v>22.5</v>
      </c>
    </row>
    <row r="1065" spans="2:5" ht="15.75" hidden="1" customHeight="1">
      <c r="B1065" t="str">
        <f>Tuts!B1063</f>
        <v>Kit Chaves Combinada 9 Peças</v>
      </c>
      <c r="C1065" s="13">
        <f>Tuts!E1063</f>
        <v>92.3</v>
      </c>
      <c r="D1065" s="18">
        <f>Tuts!J1063</f>
        <v>94.114285714285714</v>
      </c>
      <c r="E1065" s="13">
        <f>Tuts!D1063</f>
        <v>65.88</v>
      </c>
    </row>
    <row r="1066" spans="2:5" ht="15.75" hidden="1" customHeight="1">
      <c r="B1066" t="str">
        <f>Tuts!B1064</f>
        <v>KIT DUCHA HIGIENICA MARINI METAL</v>
      </c>
      <c r="C1066" s="13">
        <f>Tuts!E1064</f>
        <v>85</v>
      </c>
      <c r="D1066" s="18">
        <f>Tuts!J1064</f>
        <v>77.142857142857153</v>
      </c>
      <c r="E1066" s="13">
        <f>Tuts!D1064</f>
        <v>54</v>
      </c>
    </row>
    <row r="1067" spans="2:5" ht="15.75" hidden="1" customHeight="1">
      <c r="B1067" t="str">
        <f>Tuts!B1065</f>
        <v>KIT EMENDA TERMOSTATICA</v>
      </c>
      <c r="C1067" s="13">
        <f>Tuts!E1065</f>
        <v>64.400000000000006</v>
      </c>
      <c r="D1067" s="18">
        <f>Tuts!J1065</f>
        <v>54.142857142857146</v>
      </c>
      <c r="E1067" s="13">
        <f>Tuts!D1065</f>
        <v>37.9</v>
      </c>
    </row>
    <row r="1068" spans="2:5" ht="15.75" hidden="1" customHeight="1">
      <c r="B1068" t="str">
        <f>Tuts!B1066</f>
        <v>KIT JARDIM JARDINAGEM</v>
      </c>
      <c r="C1068" s="13">
        <f>Tuts!E1066</f>
        <v>25</v>
      </c>
      <c r="D1068" s="18">
        <f>Tuts!J1066</f>
        <v>21.428571428571431</v>
      </c>
      <c r="E1068" s="13">
        <f>Tuts!D1066</f>
        <v>15</v>
      </c>
    </row>
    <row r="1069" spans="2:5" ht="15.75" hidden="1" customHeight="1">
      <c r="B1069" t="str">
        <f>Tuts!B1067</f>
        <v>KIT MANGUEIRA 10M</v>
      </c>
      <c r="C1069" s="13">
        <f>Tuts!E1067</f>
        <v>33</v>
      </c>
      <c r="D1069" s="18">
        <f>Tuts!J1067</f>
        <v>28.957142857142859</v>
      </c>
      <c r="E1069" s="13">
        <f>Tuts!D1067</f>
        <v>20.27</v>
      </c>
    </row>
    <row r="1070" spans="2:5" ht="15.75" hidden="1" customHeight="1">
      <c r="B1070" t="str">
        <f>Tuts!B1068</f>
        <v>KIT MANGUEIRA 15M</v>
      </c>
      <c r="C1070" s="13">
        <f>Tuts!E1068</f>
        <v>46</v>
      </c>
      <c r="D1070" s="18">
        <f>Tuts!J1068</f>
        <v>42</v>
      </c>
      <c r="E1070" s="13">
        <f>Tuts!D1068</f>
        <v>29.4</v>
      </c>
    </row>
    <row r="1071" spans="2:5" ht="15.75" hidden="1" customHeight="1">
      <c r="B1071" t="str">
        <f>Tuts!B1069</f>
        <v>KIT MANGUEIRA 20M</v>
      </c>
      <c r="C1071" s="13">
        <f>Tuts!E1069</f>
        <v>62</v>
      </c>
      <c r="D1071" s="18">
        <f>Tuts!J1069</f>
        <v>56.000000000000007</v>
      </c>
      <c r="E1071" s="13">
        <f>Tuts!D1069</f>
        <v>39.200000000000003</v>
      </c>
    </row>
    <row r="1072" spans="2:5" ht="15.75" hidden="1" customHeight="1">
      <c r="B1072" t="str">
        <f>Tuts!B1070</f>
        <v>KIT MANGUEIRA 20M</v>
      </c>
      <c r="C1072" s="13">
        <f>Tuts!E1070</f>
        <v>62</v>
      </c>
      <c r="D1072" s="18">
        <f>Tuts!J1070</f>
        <v>56.000000000000007</v>
      </c>
      <c r="E1072" s="13">
        <f>Tuts!D1070</f>
        <v>39.200000000000003</v>
      </c>
    </row>
    <row r="1073" spans="2:5" ht="15.75" hidden="1" customHeight="1">
      <c r="B1073" t="str">
        <f>Tuts!B1071</f>
        <v>KIT MANGUEIRA DE GAS 1,25MTS</v>
      </c>
      <c r="C1073" s="13">
        <f>Tuts!E1071</f>
        <v>25</v>
      </c>
      <c r="D1073" s="18">
        <f>Tuts!J1071</f>
        <v>20.714285714285715</v>
      </c>
      <c r="E1073" s="13">
        <f>Tuts!D1071</f>
        <v>14.5</v>
      </c>
    </row>
    <row r="1074" spans="2:5" ht="15.75" hidden="1" customHeight="1">
      <c r="B1074" t="str">
        <f>Tuts!B1072</f>
        <v>KIT REPARO PNEU</v>
      </c>
      <c r="C1074" s="13">
        <f>Tuts!E1072</f>
        <v>18.899999999999999</v>
      </c>
      <c r="D1074" s="18">
        <f>Tuts!J1072</f>
        <v>18.428571428571431</v>
      </c>
      <c r="E1074" s="13">
        <f>Tuts!D1072</f>
        <v>12.9</v>
      </c>
    </row>
    <row r="1075" spans="2:5" ht="15.75" hidden="1" customHeight="1">
      <c r="B1075" t="str">
        <f>Tuts!B1073</f>
        <v>KIT REPARO VALVULA DOCOL 1.1/2 ORIGINAL</v>
      </c>
      <c r="C1075" s="13">
        <f>Tuts!E1073</f>
        <v>77</v>
      </c>
      <c r="D1075" s="18">
        <f>Tuts!J1073</f>
        <v>70.571428571428569</v>
      </c>
      <c r="E1075" s="13">
        <f>Tuts!D1073</f>
        <v>49.4</v>
      </c>
    </row>
    <row r="1076" spans="2:5" ht="15.75" hidden="1" customHeight="1">
      <c r="B1076" t="str">
        <f>Tuts!B1074</f>
        <v>KIT REPARO VALVULA HRDRA DECA ORIGINAL</v>
      </c>
      <c r="C1076" s="13">
        <f>Tuts!E1074</f>
        <v>88</v>
      </c>
      <c r="D1076" s="18">
        <f>Tuts!J1074</f>
        <v>79.971428571428575</v>
      </c>
      <c r="E1076" s="13">
        <f>Tuts!D1074</f>
        <v>55.98</v>
      </c>
    </row>
    <row r="1077" spans="2:5" ht="15.75" hidden="1" customHeight="1">
      <c r="B1077" t="str">
        <f>Tuts!B1075</f>
        <v>KIT VARAO DE CORTINA 2M</v>
      </c>
      <c r="C1077" s="13">
        <f>Tuts!E1075</f>
        <v>31.9</v>
      </c>
      <c r="D1077" s="18">
        <f>Tuts!J1075</f>
        <v>27.885714285714286</v>
      </c>
      <c r="E1077" s="13">
        <f>Tuts!D1075</f>
        <v>19.52</v>
      </c>
    </row>
    <row r="1078" spans="2:5" ht="15.75" hidden="1" customHeight="1">
      <c r="B1078" t="str">
        <f>Tuts!B1076</f>
        <v>KIT VARAO DE CORTINA 3M</v>
      </c>
      <c r="C1078" s="13">
        <f>Tuts!E1076</f>
        <v>46.9</v>
      </c>
      <c r="D1078" s="18">
        <f>Tuts!J1076</f>
        <v>41.814285714285717</v>
      </c>
      <c r="E1078" s="13">
        <f>Tuts!D1076</f>
        <v>29.27</v>
      </c>
    </row>
    <row r="1079" spans="2:5" ht="15.75" hidden="1" customHeight="1">
      <c r="B1079" t="str">
        <f>Tuts!B1077</f>
        <v>LAMINA ROCADEIRA 350MM</v>
      </c>
      <c r="C1079" s="13">
        <f>Tuts!E1077</f>
        <v>47.9</v>
      </c>
      <c r="D1079" s="18">
        <f>Tuts!J1077</f>
        <v>42.828571428571429</v>
      </c>
      <c r="E1079" s="13">
        <f>Tuts!D1077</f>
        <v>29.98</v>
      </c>
    </row>
    <row r="1080" spans="2:5" ht="15.75" hidden="1" customHeight="1">
      <c r="B1080" t="str">
        <f>Tuts!B1078</f>
        <v>LAMPADA 12W LED VER COMENTARIO</v>
      </c>
      <c r="C1080" s="13">
        <f>Tuts!E1078</f>
        <v>14.2</v>
      </c>
      <c r="D1080" s="18">
        <f>Tuts!J1078</f>
        <v>10.714285714285715</v>
      </c>
      <c r="E1080" s="13">
        <f>Tuts!D1078</f>
        <v>7.5</v>
      </c>
    </row>
    <row r="1081" spans="2:5" ht="15.75" hidden="1" customHeight="1">
      <c r="B1081" t="str">
        <f>Tuts!B1079</f>
        <v>LAMPADA 15W LED VER COMENTARIO</v>
      </c>
      <c r="C1081" s="13">
        <f>Tuts!E1079</f>
        <v>16</v>
      </c>
      <c r="D1081" s="18">
        <f>Tuts!J1079</f>
        <v>14.214285714285714</v>
      </c>
      <c r="E1081" s="13">
        <f>Tuts!D1079</f>
        <v>9.9499999999999993</v>
      </c>
    </row>
    <row r="1082" spans="2:5" ht="15.75" hidden="1" customHeight="1">
      <c r="B1082" t="str">
        <f>Tuts!B1080</f>
        <v>LAMPADA 20W LED</v>
      </c>
      <c r="C1082" s="13">
        <f>Tuts!E1080</f>
        <v>18</v>
      </c>
      <c r="D1082" s="18">
        <f>Tuts!J1080</f>
        <v>14.142857142857144</v>
      </c>
      <c r="E1082" s="13">
        <f>Tuts!D1080</f>
        <v>9.9</v>
      </c>
    </row>
    <row r="1083" spans="2:5" ht="15.75" hidden="1" customHeight="1">
      <c r="B1083" t="str">
        <f>Tuts!B1081</f>
        <v>LAMPADA 30W LED</v>
      </c>
      <c r="C1083" s="13">
        <f>Tuts!E1081</f>
        <v>29.9</v>
      </c>
      <c r="D1083" s="18">
        <f>Tuts!J1081</f>
        <v>27.128571428571426</v>
      </c>
      <c r="E1083" s="13">
        <f>Tuts!D1081</f>
        <v>18.989999999999998</v>
      </c>
    </row>
    <row r="1084" spans="2:5" ht="15.75" hidden="1" customHeight="1">
      <c r="B1084" t="str">
        <f>Tuts!B1082</f>
        <v>LAMPADA 50W LED</v>
      </c>
      <c r="C1084" s="13">
        <f>Tuts!E1082</f>
        <v>58</v>
      </c>
      <c r="D1084" s="18">
        <f>Tuts!J1082</f>
        <v>48.357142857142861</v>
      </c>
      <c r="E1084" s="13">
        <f>Tuts!D1082</f>
        <v>33.85</v>
      </c>
    </row>
    <row r="1085" spans="2:5" ht="15.75" hidden="1" customHeight="1">
      <c r="B1085" t="str">
        <f>Tuts!B1083</f>
        <v>LAMPADA 9W LED VER COMENTARIO</v>
      </c>
      <c r="C1085" s="13">
        <f>Tuts!E1083</f>
        <v>9.9</v>
      </c>
      <c r="D1085" s="18">
        <f>Tuts!J1083</f>
        <v>7.5000000000000009</v>
      </c>
      <c r="E1085" s="13">
        <f>Tuts!D1083</f>
        <v>5.25</v>
      </c>
    </row>
    <row r="1086" spans="2:5" ht="15.75" hidden="1" customHeight="1">
      <c r="B1086" t="str">
        <f>Tuts!B1084</f>
        <v>LAMPADA ANTI INSETO</v>
      </c>
      <c r="C1086" s="13">
        <f>Tuts!E1084</f>
        <v>12</v>
      </c>
      <c r="D1086" s="18">
        <f>Tuts!J1084</f>
        <v>9.7714285714285722</v>
      </c>
      <c r="E1086" s="13">
        <f>Tuts!D1084</f>
        <v>6.84</v>
      </c>
    </row>
    <row r="1087" spans="2:5" ht="15.75" hidden="1" customHeight="1">
      <c r="B1087" t="str">
        <f>Tuts!B1085</f>
        <v>LAMPADA BULBO HALOGENA 127V 70W</v>
      </c>
      <c r="C1087" s="13">
        <f>Tuts!E1085</f>
        <v>5</v>
      </c>
      <c r="D1087" s="18">
        <f>Tuts!J1085</f>
        <v>3.842857142857143</v>
      </c>
      <c r="E1087" s="13">
        <f>Tuts!D1085</f>
        <v>2.69</v>
      </c>
    </row>
    <row r="1088" spans="2:5" ht="15.75" hidden="1" customHeight="1">
      <c r="B1088" t="str">
        <f>Tuts!B1086</f>
        <v>LAMPADA GELADEIRA</v>
      </c>
      <c r="C1088" s="13">
        <f>Tuts!E1086</f>
        <v>8</v>
      </c>
      <c r="D1088" s="18">
        <f>Tuts!J1086</f>
        <v>6.0000000000000009</v>
      </c>
      <c r="E1088" s="13">
        <f>Tuts!D1086</f>
        <v>4.2</v>
      </c>
    </row>
    <row r="1089" spans="2:5" ht="15.75" hidden="1" customHeight="1">
      <c r="B1089" t="str">
        <f>Tuts!B1087</f>
        <v>LAMPADA TUBOLAR LED 18W 6500K BIV AVANT</v>
      </c>
      <c r="C1089" s="13">
        <f>Tuts!E1087</f>
        <v>24</v>
      </c>
      <c r="D1089" s="18">
        <f>Tuts!J1087</f>
        <v>20.714285714285715</v>
      </c>
      <c r="E1089" s="13">
        <f>Tuts!D1087</f>
        <v>14.5</v>
      </c>
    </row>
    <row r="1090" spans="2:5" ht="15.75" hidden="1" customHeight="1">
      <c r="B1090" t="str">
        <f>Tuts!B1088</f>
        <v>LAMPADA TUBOLAR LED 18W 6500K BIV FOXLUX</v>
      </c>
      <c r="C1090" s="13">
        <f>Tuts!E1088</f>
        <v>24</v>
      </c>
      <c r="D1090" s="18">
        <f>Tuts!J1088</f>
        <v>18.557142857142857</v>
      </c>
      <c r="E1090" s="13">
        <f>Tuts!D1088</f>
        <v>12.99</v>
      </c>
    </row>
    <row r="1091" spans="2:5" ht="15.75" hidden="1" customHeight="1">
      <c r="B1091" t="str">
        <f>Tuts!B1089</f>
        <v>LAMPADA TUBOLAR LED 9W 6500K BIV AVANT</v>
      </c>
      <c r="C1091" s="13">
        <f>Tuts!E1089</f>
        <v>22.5</v>
      </c>
      <c r="D1091" s="18">
        <f>Tuts!J1089</f>
        <v>15.071428571428573</v>
      </c>
      <c r="E1091" s="13">
        <f>Tuts!D1089</f>
        <v>10.55</v>
      </c>
    </row>
    <row r="1092" spans="2:5" ht="15.75" hidden="1" customHeight="1">
      <c r="B1092" t="str">
        <f>Tuts!B1090</f>
        <v>LANTERNA DE CABEÇA RECARREGAVEL</v>
      </c>
      <c r="C1092" s="13">
        <f>Tuts!E1090</f>
        <v>57.9</v>
      </c>
      <c r="D1092" s="18">
        <f>Tuts!J1090</f>
        <v>52.857142857142861</v>
      </c>
      <c r="E1092" s="13">
        <f>Tuts!D1090</f>
        <v>37</v>
      </c>
    </row>
    <row r="1093" spans="2:5" ht="15.75" hidden="1" customHeight="1">
      <c r="B1093" t="str">
        <f>Tuts!B1091</f>
        <v>LAVATORIO COM COLUNA CZ</v>
      </c>
      <c r="C1093" s="13">
        <f>Tuts!E1091</f>
        <v>250</v>
      </c>
      <c r="D1093" s="18">
        <f>Tuts!J1091</f>
        <v>248.57142857142858</v>
      </c>
      <c r="E1093" s="13">
        <f>Tuts!D1091</f>
        <v>174</v>
      </c>
    </row>
    <row r="1094" spans="2:5" ht="15.75" hidden="1" customHeight="1">
      <c r="B1094" t="str">
        <f>Tuts!B1092</f>
        <v>LAVATORIO COM COLUNA ZIP BR</v>
      </c>
      <c r="C1094" s="13">
        <f>Tuts!E1092</f>
        <v>250</v>
      </c>
      <c r="D1094" s="18">
        <f>Tuts!J1092</f>
        <v>225.07142857142861</v>
      </c>
      <c r="E1094" s="13">
        <f>Tuts!D1092</f>
        <v>157.55000000000001</v>
      </c>
    </row>
    <row r="1095" spans="2:5" ht="15.75" hidden="1" customHeight="1">
      <c r="B1095" t="str">
        <f>Tuts!B1093</f>
        <v>LAVATORIO INCEPA ZIP BR S/ COLUNA BR</v>
      </c>
      <c r="C1095" s="13">
        <f>Tuts!E1093</f>
        <v>165</v>
      </c>
      <c r="D1095" s="18">
        <f>Tuts!J1093</f>
        <v>141.75714285714287</v>
      </c>
      <c r="E1095" s="13">
        <f>Tuts!D1093</f>
        <v>99.23</v>
      </c>
    </row>
    <row r="1096" spans="2:5" ht="15.75" hidden="1" customHeight="1">
      <c r="B1096" t="str">
        <f>Tuts!B1094</f>
        <v>LAVATORIO INCEPA ZIP S/ COLUNA BR</v>
      </c>
      <c r="C1096" s="13">
        <f>Tuts!E1094</f>
        <v>140</v>
      </c>
      <c r="D1096" s="18">
        <f>Tuts!J1094</f>
        <v>129.6</v>
      </c>
      <c r="E1096" s="13">
        <f>Tuts!D1094</f>
        <v>90.72</v>
      </c>
    </row>
    <row r="1097" spans="2:5" ht="15.75" hidden="1" customHeight="1">
      <c r="B1097" t="str">
        <f>Tuts!B1095</f>
        <v>LIMA ENXADA KF</v>
      </c>
      <c r="C1097" s="13">
        <f>Tuts!E1095</f>
        <v>18.5</v>
      </c>
      <c r="D1097" s="18">
        <f>Tuts!J1095</f>
        <v>16.171428571428574</v>
      </c>
      <c r="E1097" s="13">
        <f>Tuts!D1095</f>
        <v>11.32</v>
      </c>
    </row>
    <row r="1098" spans="2:5" ht="15.75" hidden="1" customHeight="1">
      <c r="B1098" t="str">
        <f>Tuts!B1096</f>
        <v>LIMA ENXADA KF C/ CABO</v>
      </c>
      <c r="C1098" s="13">
        <f>Tuts!E1096</f>
        <v>20</v>
      </c>
      <c r="D1098" s="18">
        <f>Tuts!J1096</f>
        <v>18.12857142857143</v>
      </c>
      <c r="E1098" s="13">
        <f>Tuts!D1096</f>
        <v>12.69</v>
      </c>
    </row>
    <row r="1099" spans="2:5" ht="15.75" hidden="1" customHeight="1">
      <c r="B1099" t="str">
        <f>Tuts!B1097</f>
        <v>LIMA MOTOSERRA 3/16 KF</v>
      </c>
      <c r="C1099" s="13">
        <f>Tuts!E1097</f>
        <v>7</v>
      </c>
      <c r="D1099" s="18">
        <f>Tuts!J1097</f>
        <v>6.3571428571428577</v>
      </c>
      <c r="E1099" s="13">
        <f>Tuts!D1097</f>
        <v>4.45</v>
      </c>
    </row>
    <row r="1100" spans="2:5" ht="15.75" hidden="1" customHeight="1">
      <c r="B1100" t="str">
        <f>Tuts!B1098</f>
        <v>LIMA MOTOSERRA 7/32 KF</v>
      </c>
      <c r="C1100" s="13">
        <f>Tuts!E1098</f>
        <v>6.9</v>
      </c>
      <c r="D1100" s="18">
        <f>Tuts!J1098</f>
        <v>5.9571428571428573</v>
      </c>
      <c r="E1100" s="13">
        <f>Tuts!D1098</f>
        <v>4.17</v>
      </c>
    </row>
    <row r="1101" spans="2:5" ht="15.75" hidden="1" customHeight="1">
      <c r="B1101" t="str">
        <f>Tuts!B1099</f>
        <v>LIMA SERROTE KF</v>
      </c>
      <c r="C1101" s="13">
        <f>Tuts!E1099</f>
        <v>17.95</v>
      </c>
      <c r="D1101" s="18">
        <f>Tuts!J1099</f>
        <v>16.657142857142858</v>
      </c>
      <c r="E1101" s="13">
        <f>Tuts!D1099</f>
        <v>11.66</v>
      </c>
    </row>
    <row r="1102" spans="2:5" ht="15.75" hidden="1" customHeight="1">
      <c r="B1102" t="str">
        <f>Tuts!B1100</f>
        <v>LIMA THOMPSON ENXADA</v>
      </c>
      <c r="C1102" s="13">
        <f>Tuts!E1100</f>
        <v>20</v>
      </c>
      <c r="D1102" s="18">
        <f>Tuts!J1100</f>
        <v>18.357142857142858</v>
      </c>
      <c r="E1102" s="13">
        <f>Tuts!D1100</f>
        <v>12.85</v>
      </c>
    </row>
    <row r="1103" spans="2:5" ht="15.75" hidden="1" customHeight="1">
      <c r="B1103" t="str">
        <f>Tuts!B1101</f>
        <v>LIMPA CONTATO SPRAY 200ML</v>
      </c>
      <c r="C1103" s="13">
        <f>Tuts!E1101</f>
        <v>11.9</v>
      </c>
      <c r="D1103" s="18">
        <f>Tuts!J1101</f>
        <v>10.685714285714287</v>
      </c>
      <c r="E1103" s="13">
        <f>Tuts!D1101</f>
        <v>7.48</v>
      </c>
    </row>
    <row r="1104" spans="2:5" ht="15.75" hidden="1" customHeight="1">
      <c r="B1104" t="str">
        <f>Tuts!B1102</f>
        <v>LINHA PEDREIRO TRANÇADA MULTIFIO 100M</v>
      </c>
      <c r="C1104" s="13">
        <f>Tuts!E1102</f>
        <v>9</v>
      </c>
      <c r="D1104" s="18">
        <f>Tuts!J1102</f>
        <v>7.8571428571428577</v>
      </c>
      <c r="E1104" s="13">
        <f>Tuts!D1102</f>
        <v>5.5</v>
      </c>
    </row>
    <row r="1105" spans="2:5" ht="15.75" hidden="1" customHeight="1">
      <c r="B1105" t="str">
        <f>Tuts!B1103</f>
        <v>LINHA PEDREIRO TRANÇADA MULTIFIO 50M</v>
      </c>
      <c r="C1105" s="13">
        <f>Tuts!E1103</f>
        <v>6</v>
      </c>
      <c r="D1105" s="18">
        <f>Tuts!J1103</f>
        <v>4.8142857142857149</v>
      </c>
      <c r="E1105" s="13">
        <f>Tuts!D1103</f>
        <v>3.37</v>
      </c>
    </row>
    <row r="1106" spans="2:5" ht="15.75" hidden="1" customHeight="1">
      <c r="B1106" t="str">
        <f>Tuts!B1104</f>
        <v>LIXA AGUA 1200/1500/2000</v>
      </c>
      <c r="C1106" s="13">
        <f>Tuts!E1104</f>
        <v>9</v>
      </c>
      <c r="D1106" s="18">
        <f>Tuts!J1104</f>
        <v>8</v>
      </c>
      <c r="E1106" s="13">
        <f>Tuts!D1104</f>
        <v>5.6</v>
      </c>
    </row>
    <row r="1107" spans="2:5" ht="15.75" hidden="1" customHeight="1">
      <c r="B1107" t="str">
        <f>Tuts!B1105</f>
        <v>LIXA FERRO 3M</v>
      </c>
      <c r="C1107" s="13">
        <f>Tuts!E1105</f>
        <v>3.5</v>
      </c>
      <c r="D1107" s="18">
        <f>Tuts!J1105</f>
        <v>3.0428571428571427</v>
      </c>
      <c r="E1107" s="13">
        <f>Tuts!D1105</f>
        <v>2.13</v>
      </c>
    </row>
    <row r="1108" spans="2:5" ht="15.75" hidden="1" customHeight="1">
      <c r="B1108" t="str">
        <f>Tuts!B1106</f>
        <v>LIXA MASSA/MADEIRA 3M</v>
      </c>
      <c r="C1108" s="13">
        <f>Tuts!E1106</f>
        <v>1.5</v>
      </c>
      <c r="D1108" s="18">
        <f>Tuts!J1106</f>
        <v>0.9</v>
      </c>
      <c r="E1108" s="13">
        <f>Tuts!D1106</f>
        <v>0.63</v>
      </c>
    </row>
    <row r="1109" spans="2:5" ht="15.75" hidden="1" customHeight="1">
      <c r="B1109" t="str">
        <f>Tuts!B1107</f>
        <v>LIXA VELCRO 7''</v>
      </c>
      <c r="C1109" s="13">
        <f>Tuts!E1107</f>
        <v>3</v>
      </c>
      <c r="D1109" s="18">
        <f>Tuts!J1107</f>
        <v>2.5142857142857147</v>
      </c>
      <c r="E1109" s="13">
        <f>Tuts!D1107</f>
        <v>1.76</v>
      </c>
    </row>
    <row r="1110" spans="2:5" ht="15.75" hidden="1" customHeight="1">
      <c r="B1110" t="str">
        <f>Tuts!B1108</f>
        <v>LIXEIRA BASCULANTE 3,6L</v>
      </c>
      <c r="C1110" s="13">
        <f>Tuts!E1108</f>
        <v>16</v>
      </c>
      <c r="D1110" s="18">
        <f>Tuts!J1108</f>
        <v>14.600000000000001</v>
      </c>
      <c r="E1110" s="13">
        <f>Tuts!D1108</f>
        <v>10.220000000000001</v>
      </c>
    </row>
    <row r="1111" spans="2:5" ht="15.75" hidden="1" customHeight="1">
      <c r="B1111" t="str">
        <f>Tuts!B1109</f>
        <v>LIXEIRA BASCULANTE 7L</v>
      </c>
      <c r="C1111" s="13">
        <f>Tuts!E1109</f>
        <v>25.9</v>
      </c>
      <c r="D1111" s="18">
        <f>Tuts!J1109</f>
        <v>22.671428571428571</v>
      </c>
      <c r="E1111" s="13">
        <f>Tuts!D1109</f>
        <v>15.87</v>
      </c>
    </row>
    <row r="1112" spans="2:5" ht="15.75" hidden="1" customHeight="1">
      <c r="B1112" t="str">
        <f>Tuts!B1110</f>
        <v>LIXEIRA CHAO</v>
      </c>
      <c r="C1112" s="13">
        <f>Tuts!E1110</f>
        <v>140</v>
      </c>
      <c r="D1112" s="18">
        <f>Tuts!J1110</f>
        <v>129.52857142857144</v>
      </c>
      <c r="E1112" s="13">
        <f>Tuts!D1110</f>
        <v>90.67</v>
      </c>
    </row>
    <row r="1113" spans="2:5" ht="15.75" hidden="1" customHeight="1">
      <c r="B1113" t="str">
        <f>Tuts!B1111</f>
        <v>LIXEIRA PAREDE</v>
      </c>
      <c r="C1113" s="13">
        <f>Tuts!E1111</f>
        <v>110</v>
      </c>
      <c r="D1113" s="18">
        <f>Tuts!J1111</f>
        <v>101.51428571428572</v>
      </c>
      <c r="E1113" s="13">
        <f>Tuts!D1111</f>
        <v>71.06</v>
      </c>
    </row>
    <row r="1114" spans="2:5" ht="15.75" hidden="1" customHeight="1">
      <c r="B1114" t="str">
        <f>Tuts!B1112</f>
        <v>LIZA FERRO 3M 220</v>
      </c>
      <c r="C1114" s="13">
        <f>Tuts!E1112</f>
        <v>3</v>
      </c>
      <c r="D1114" s="18">
        <f>Tuts!J1112</f>
        <v>2.5571428571428574</v>
      </c>
      <c r="E1114" s="13">
        <f>Tuts!D1112</f>
        <v>1.79</v>
      </c>
    </row>
    <row r="1115" spans="2:5" ht="15.75" hidden="1" customHeight="1">
      <c r="B1115" t="str">
        <f>Tuts!B1113</f>
        <v>LONA CILO 8 X 50 MTS 200 FUZIL</v>
      </c>
      <c r="C1115" s="13">
        <f>Tuts!E1113</f>
        <v>30</v>
      </c>
      <c r="D1115" s="18">
        <f>Tuts!J1113</f>
        <v>23.371428571428574</v>
      </c>
      <c r="E1115" s="13">
        <f>Tuts!D1113</f>
        <v>16.36</v>
      </c>
    </row>
    <row r="1116" spans="2:5" ht="15.75" hidden="1" customHeight="1">
      <c r="B1116" t="str">
        <f>Tuts!B1114</f>
        <v>LONA CILO 8X50 R200</v>
      </c>
      <c r="C1116" s="13">
        <f>Tuts!E1114</f>
        <v>32</v>
      </c>
      <c r="D1116" s="18">
        <f>Tuts!J1114</f>
        <v>29.642857142857146</v>
      </c>
      <c r="E1116" s="13">
        <f>Tuts!D1114</f>
        <v>20.75</v>
      </c>
    </row>
    <row r="1117" spans="2:5" ht="15.75" hidden="1" customHeight="1">
      <c r="B1117" t="str">
        <f>Tuts!B1115</f>
        <v>LONA POLITILENO 3x2 FOXLUX</v>
      </c>
      <c r="C1117" s="13">
        <f>Tuts!E1115</f>
        <v>68</v>
      </c>
      <c r="D1117" s="18">
        <f>Tuts!J1115</f>
        <v>60.828571428571429</v>
      </c>
      <c r="E1117" s="13">
        <f>Tuts!D1115</f>
        <v>42.58</v>
      </c>
    </row>
    <row r="1118" spans="2:5" ht="15.75" hidden="1" customHeight="1">
      <c r="B1118" t="str">
        <f>Tuts!B1116</f>
        <v>LONA POLITILENO 4x3 FOXLUX</v>
      </c>
      <c r="C1118" s="13">
        <f>Tuts!E1116</f>
        <v>137</v>
      </c>
      <c r="D1118" s="18">
        <f>Tuts!J1116</f>
        <v>126.64285714285715</v>
      </c>
      <c r="E1118" s="13">
        <f>Tuts!D1116</f>
        <v>88.65</v>
      </c>
    </row>
    <row r="1119" spans="2:5" ht="15.75" hidden="1" customHeight="1">
      <c r="B1119" t="str">
        <f>Tuts!B1117</f>
        <v>LONA POLITILENO 4X4 FOXLUX</v>
      </c>
      <c r="C1119" s="13">
        <f>Tuts!E1117</f>
        <v>179.9</v>
      </c>
      <c r="D1119" s="18">
        <f>Tuts!J1117</f>
        <v>166.44285714285715</v>
      </c>
      <c r="E1119" s="13">
        <f>Tuts!D1117</f>
        <v>116.51</v>
      </c>
    </row>
    <row r="1120" spans="2:5" ht="15.75" hidden="1" customHeight="1">
      <c r="B1120" t="str">
        <f>Tuts!B1118</f>
        <v>LONA PRETA PLASTICO 15KG 4X100 MAXILONA</v>
      </c>
      <c r="C1120" s="13">
        <f>Tuts!E1118</f>
        <v>5</v>
      </c>
      <c r="D1120" s="18">
        <f>Tuts!J1118</f>
        <v>2.5714285714285716</v>
      </c>
      <c r="E1120" s="13">
        <f>Tuts!D1118</f>
        <v>1.8</v>
      </c>
    </row>
    <row r="1121" spans="2:5" ht="15.75" hidden="1" customHeight="1">
      <c r="B1121" t="str">
        <f>Tuts!B1119</f>
        <v>LORENZETTI TORNEIRA ELETRICA  127V 4800W</v>
      </c>
      <c r="C1121" s="13">
        <f>Tuts!E1119</f>
        <v>178</v>
      </c>
      <c r="D1121" s="18">
        <f>Tuts!J1119</f>
        <v>162.71428571428572</v>
      </c>
      <c r="E1121" s="13">
        <f>Tuts!D1119</f>
        <v>113.9</v>
      </c>
    </row>
    <row r="1122" spans="2:5" ht="15.75" hidden="1" customHeight="1">
      <c r="B1122" t="str">
        <f>Tuts!B1120</f>
        <v>LOTTUS FLEX DISCO CORTE PORCELANATO EXTRA FINO 22 C/ ANEL</v>
      </c>
      <c r="C1122" s="13">
        <f>Tuts!E1120</f>
        <v>55</v>
      </c>
      <c r="D1122" s="18">
        <f>Tuts!J1120</f>
        <v>40.714285714285715</v>
      </c>
      <c r="E1122" s="13">
        <f>Tuts!D1120</f>
        <v>28.5</v>
      </c>
    </row>
    <row r="1123" spans="2:5" ht="15.75" hidden="1" customHeight="1">
      <c r="B1123" t="str">
        <f>Tuts!B1121</f>
        <v>LOTTUS FLEX DISCO CORTE SEGMENTADO/TURBO FURO 22 C/ ANEL</v>
      </c>
      <c r="C1123" s="13">
        <f>Tuts!E1121</f>
        <v>38</v>
      </c>
      <c r="D1123" s="18">
        <f>Tuts!J1121</f>
        <v>21.285714285714288</v>
      </c>
      <c r="E1123" s="13">
        <f>Tuts!D1121</f>
        <v>14.9</v>
      </c>
    </row>
    <row r="1124" spans="2:5" ht="15.75" hidden="1" customHeight="1">
      <c r="B1124" t="str">
        <f>Tuts!B1122</f>
        <v>LUCONI ASSENTO SANITARIO POPULAR BRANCO</v>
      </c>
      <c r="C1124" s="13">
        <f>Tuts!E1122</f>
        <v>36</v>
      </c>
      <c r="D1124" s="18">
        <f>Tuts!J1122</f>
        <v>32.75714285714286</v>
      </c>
      <c r="E1124" s="13">
        <f>Tuts!D1122</f>
        <v>22.93</v>
      </c>
    </row>
    <row r="1125" spans="2:5" ht="15.75" hidden="1" customHeight="1">
      <c r="B1125" t="str">
        <f>Tuts!B1123</f>
        <v>LUCONI CAIXA SIFONADA BRANCA 100</v>
      </c>
      <c r="C1125" s="13">
        <f>Tuts!E1123</f>
        <v>15</v>
      </c>
      <c r="D1125" s="18">
        <f>Tuts!J1123</f>
        <v>11.728571428571431</v>
      </c>
      <c r="E1125" s="13">
        <f>Tuts!D1123</f>
        <v>8.2100000000000009</v>
      </c>
    </row>
    <row r="1126" spans="2:5" ht="15.75" hidden="1" customHeight="1">
      <c r="B1126" t="str">
        <f>Tuts!B1124</f>
        <v>LUCONI CAIXA SIFONADA BRANCA 150</v>
      </c>
      <c r="C1126" s="13">
        <f>Tuts!E1124</f>
        <v>29.9</v>
      </c>
      <c r="D1126" s="18">
        <f>Tuts!J1124</f>
        <v>24.25714285714286</v>
      </c>
      <c r="E1126" s="13">
        <f>Tuts!D1124</f>
        <v>16.98</v>
      </c>
    </row>
    <row r="1127" spans="2:5" ht="15.75" hidden="1" customHeight="1">
      <c r="B1127" t="str">
        <f>Tuts!B1125</f>
        <v>LUCONI CAIXA SIFONADA CROMADA 100</v>
      </c>
      <c r="C1127" s="13">
        <f>Tuts!E1125</f>
        <v>18</v>
      </c>
      <c r="D1127" s="18">
        <f>Tuts!J1125</f>
        <v>16.25714285714286</v>
      </c>
      <c r="E1127" s="13">
        <f>Tuts!D1125</f>
        <v>11.38</v>
      </c>
    </row>
    <row r="1128" spans="2:5" ht="15.75" hidden="1" customHeight="1">
      <c r="B1128" t="str">
        <f>Tuts!B1126</f>
        <v>LUCONI CAIXA SIFONADA CROMADA 150</v>
      </c>
      <c r="C1128" s="13">
        <f>Tuts!E1126</f>
        <v>35.9</v>
      </c>
      <c r="D1128" s="18">
        <f>Tuts!J1126</f>
        <v>35.500000000000007</v>
      </c>
      <c r="E1128" s="13">
        <f>Tuts!D1126</f>
        <v>24.85</v>
      </c>
    </row>
    <row r="1129" spans="2:5" ht="15.75" hidden="1" customHeight="1">
      <c r="B1129" t="str">
        <f>Tuts!B1127</f>
        <v>LUCONI TANQUE PLASTICO 15L</v>
      </c>
      <c r="C1129" s="13">
        <f>Tuts!E1127</f>
        <v>85</v>
      </c>
      <c r="D1129" s="18">
        <f>Tuts!J1127</f>
        <v>77.51428571428572</v>
      </c>
      <c r="E1129" s="13">
        <f>Tuts!D1127</f>
        <v>54.26</v>
      </c>
    </row>
    <row r="1130" spans="2:5" ht="15.75" hidden="1" customHeight="1">
      <c r="B1130" t="str">
        <f>Tuts!B1128</f>
        <v>LUCONI TUBO DE LIGACAO PLASTICO BRANCO</v>
      </c>
      <c r="C1130" s="13">
        <f>Tuts!E1128</f>
        <v>10</v>
      </c>
      <c r="D1130" s="18">
        <f>Tuts!J1128</f>
        <v>5.8428571428571434</v>
      </c>
      <c r="E1130" s="13">
        <f>Tuts!D1128</f>
        <v>4.09</v>
      </c>
    </row>
    <row r="1131" spans="2:5" ht="15.75" hidden="1" customHeight="1">
      <c r="B1131" t="str">
        <f>Tuts!B1129</f>
        <v>LUCONI VALVULA LAVATORIO ABS CROMADA CLICK GRANDE</v>
      </c>
      <c r="C1131" s="13">
        <f>Tuts!E1129</f>
        <v>21.8</v>
      </c>
      <c r="D1131" s="18">
        <f>Tuts!J1129</f>
        <v>14.814285714285715</v>
      </c>
      <c r="E1131" s="13">
        <f>Tuts!D1129</f>
        <v>10.37</v>
      </c>
    </row>
    <row r="1132" spans="2:5" ht="15.75" hidden="1" customHeight="1">
      <c r="B1132" t="str">
        <f>Tuts!B1130</f>
        <v>LUCONI VALVULA LAVATORIO ABS CROMADA CLICK PEQUENO</v>
      </c>
      <c r="C1132" s="13">
        <f>Tuts!E1130</f>
        <v>16.899999999999999</v>
      </c>
      <c r="D1132" s="18">
        <f>Tuts!J1130</f>
        <v>12.371428571428572</v>
      </c>
      <c r="E1132" s="13">
        <f>Tuts!D1130</f>
        <v>8.66</v>
      </c>
    </row>
    <row r="1133" spans="2:5" ht="15.75" hidden="1" customHeight="1">
      <c r="B1133" t="str">
        <f>Tuts!B1131</f>
        <v>LUMINARIA DE EMERGENCIA 30 LEDS BIVOLT</v>
      </c>
      <c r="C1133" s="13">
        <f>Tuts!E1131</f>
        <v>26</v>
      </c>
      <c r="D1133" s="18">
        <f>Tuts!J1131</f>
        <v>22.114285714285717</v>
      </c>
      <c r="E1133" s="13">
        <f>Tuts!D1131</f>
        <v>15.48</v>
      </c>
    </row>
    <row r="1134" spans="2:5" ht="15.75" hidden="1" customHeight="1">
      <c r="B1134" t="str">
        <f>Tuts!B1132</f>
        <v>LUMINARIA LED SLIM 18W 60X7,5CM</v>
      </c>
      <c r="C1134" s="13">
        <f>Tuts!E1132</f>
        <v>34</v>
      </c>
      <c r="D1134" s="18">
        <f>Tuts!J1132</f>
        <v>29.785714285714288</v>
      </c>
      <c r="E1134" s="13">
        <f>Tuts!D1132</f>
        <v>20.85</v>
      </c>
    </row>
    <row r="1135" spans="2:5" ht="15.75" hidden="1" customHeight="1">
      <c r="B1135" t="str">
        <f>Tuts!B1133</f>
        <v>LUMINARIA LED SLIM 36W 120X7,5CM</v>
      </c>
      <c r="C1135" s="13">
        <f>Tuts!E1133</f>
        <v>42</v>
      </c>
      <c r="D1135" s="18">
        <f>Tuts!J1133</f>
        <v>37.128571428571426</v>
      </c>
      <c r="E1135" s="13">
        <f>Tuts!D1133</f>
        <v>25.99</v>
      </c>
    </row>
    <row r="1136" spans="2:5" ht="15.75" hidden="1" customHeight="1">
      <c r="B1136" t="str">
        <f>Tuts!B1134</f>
        <v xml:space="preserve">LUMINARIA PLAFON LED 18W 22X22CM </v>
      </c>
      <c r="C1136" s="13">
        <f>Tuts!E1134</f>
        <v>51.5</v>
      </c>
      <c r="D1136" s="18">
        <f>Tuts!J1134</f>
        <v>44.328571428571436</v>
      </c>
      <c r="E1136" s="13">
        <f>Tuts!D1134</f>
        <v>31.03</v>
      </c>
    </row>
    <row r="1137" spans="2:5" ht="15.75" hidden="1" customHeight="1">
      <c r="B1137" t="str">
        <f>Tuts!B1135</f>
        <v>LUMINARIA PLAFON LED 18W 22X22CM AVANT</v>
      </c>
      <c r="C1137" s="13">
        <f>Tuts!E1135</f>
        <v>30</v>
      </c>
      <c r="D1137" s="18">
        <f>Tuts!J1135</f>
        <v>28.428571428571427</v>
      </c>
      <c r="E1137" s="13">
        <f>Tuts!D1135</f>
        <v>19.899999999999999</v>
      </c>
    </row>
    <row r="1138" spans="2:5" ht="15.75" hidden="1" customHeight="1">
      <c r="B1138" t="str">
        <f>Tuts!B1136</f>
        <v>LUMINARIA PLAFON LED 24W 30X30CM BELLAUX</v>
      </c>
      <c r="C1138" s="13">
        <f>Tuts!E1136</f>
        <v>77</v>
      </c>
      <c r="D1138" s="18">
        <f>Tuts!J1136</f>
        <v>71.285714285714292</v>
      </c>
      <c r="E1138" s="13">
        <f>Tuts!D1136</f>
        <v>49.9</v>
      </c>
    </row>
    <row r="1139" spans="2:5" ht="15.75" hidden="1" customHeight="1">
      <c r="B1139" t="str">
        <f>Tuts!B1137</f>
        <v>LUMINARIA PLAFON LED 25W MGC</v>
      </c>
      <c r="C1139" s="13">
        <f>Tuts!E1137</f>
        <v>42</v>
      </c>
      <c r="D1139" s="18">
        <f>Tuts!J1137</f>
        <v>38.014285714285712</v>
      </c>
      <c r="E1139" s="13">
        <f>Tuts!D1137</f>
        <v>26.61</v>
      </c>
    </row>
    <row r="1140" spans="2:5" ht="15.75" hidden="1" customHeight="1">
      <c r="B1140" t="str">
        <f>Tuts!B1138</f>
        <v>LUVA BORRACHA AMARELA XG</v>
      </c>
      <c r="C1140" s="13">
        <f>Tuts!E1138</f>
        <v>8.9</v>
      </c>
      <c r="D1140" s="18">
        <f>Tuts!J1138</f>
        <v>7.6142857142857148</v>
      </c>
      <c r="E1140" s="13">
        <f>Tuts!D1138</f>
        <v>5.33</v>
      </c>
    </row>
    <row r="1141" spans="2:5" ht="15.75" hidden="1" customHeight="1">
      <c r="B1141" t="str">
        <f>Tuts!B1139</f>
        <v xml:space="preserve">LUVA ELETRODUTO CONDUITE 1.1/4 </v>
      </c>
      <c r="C1141" s="13">
        <f>Tuts!E1139</f>
        <v>2.5</v>
      </c>
      <c r="D1141" s="18">
        <f>Tuts!J1139</f>
        <v>1.8285714285714287</v>
      </c>
      <c r="E1141" s="13">
        <f>Tuts!D1139</f>
        <v>1.28</v>
      </c>
    </row>
    <row r="1142" spans="2:5" ht="15.75" hidden="1" customHeight="1">
      <c r="B1142" t="str">
        <f>Tuts!B1140</f>
        <v>Luva Mão Algodão Nitril Amarela 9 Wuth</v>
      </c>
      <c r="C1142" s="13">
        <f>Tuts!E1140</f>
        <v>16.5</v>
      </c>
      <c r="D1142" s="18">
        <f>Tuts!J1140</f>
        <v>16.885714285714286</v>
      </c>
      <c r="E1142" s="13">
        <f>Tuts!D1140</f>
        <v>11.82</v>
      </c>
    </row>
    <row r="1143" spans="2:5" ht="15.75" hidden="1" customHeight="1">
      <c r="B1143" t="str">
        <f>Tuts!B1141</f>
        <v>LUVA MAO BRANCA PIMENTADA AZUL</v>
      </c>
      <c r="C1143" s="13">
        <f>Tuts!E1141</f>
        <v>5</v>
      </c>
      <c r="D1143" s="18">
        <f>Tuts!J1141</f>
        <v>4.5</v>
      </c>
      <c r="E1143" s="13">
        <f>Tuts!D1141</f>
        <v>3.15</v>
      </c>
    </row>
    <row r="1144" spans="2:5" ht="15.75" hidden="1" customHeight="1">
      <c r="B1144" t="str">
        <f>Tuts!B1142</f>
        <v>LUVA MAO POLIEST LARANJA WURTH</v>
      </c>
      <c r="C1144" s="13">
        <f>Tuts!E1142</f>
        <v>49</v>
      </c>
      <c r="D1144" s="18">
        <f>Tuts!J1142</f>
        <v>44.928571428571431</v>
      </c>
      <c r="E1144" s="13">
        <f>Tuts!D1142</f>
        <v>31.45</v>
      </c>
    </row>
    <row r="1145" spans="2:5" ht="15.75" hidden="1" customHeight="1">
      <c r="B1145" t="str">
        <f>Tuts!B1143</f>
        <v>LUVA PIGMENTADA BRANCA</v>
      </c>
      <c r="C1145" s="13">
        <f>Tuts!E1143</f>
        <v>5</v>
      </c>
      <c r="D1145" s="18">
        <f>Tuts!J1143</f>
        <v>4.5</v>
      </c>
      <c r="E1145" s="13">
        <f>Tuts!D1143</f>
        <v>3.15</v>
      </c>
    </row>
    <row r="1146" spans="2:5" ht="15.75" hidden="1" customHeight="1">
      <c r="B1146" t="str">
        <f>Tuts!B1144</f>
        <v>LUVA PU BLACK MARLUVAS</v>
      </c>
      <c r="C1146" s="13">
        <f>Tuts!E1144</f>
        <v>8</v>
      </c>
      <c r="D1146" s="18">
        <f>Tuts!J1144</f>
        <v>5.7000000000000011</v>
      </c>
      <c r="E1146" s="13">
        <f>Tuts!D1144</f>
        <v>3.99</v>
      </c>
    </row>
    <row r="1147" spans="2:5" ht="15.75" hidden="1" customHeight="1">
      <c r="B1147" t="str">
        <f>Tuts!B1145</f>
        <v>LUVA PVC PUNHO LONGO VERDE</v>
      </c>
      <c r="C1147" s="13">
        <f>Tuts!E1145</f>
        <v>33.9</v>
      </c>
      <c r="D1147" s="18">
        <f>Tuts!J1145</f>
        <v>31.400000000000002</v>
      </c>
      <c r="E1147" s="13">
        <f>Tuts!D1145</f>
        <v>21.98</v>
      </c>
    </row>
    <row r="1148" spans="2:5" ht="15.75" hidden="1" customHeight="1">
      <c r="B1148" t="str">
        <f>Tuts!B1146</f>
        <v xml:space="preserve">LUVA RASPA DE COURO CANO LONGO </v>
      </c>
      <c r="C1148" s="13">
        <f>Tuts!E1146</f>
        <v>22</v>
      </c>
      <c r="D1148" s="18">
        <f>Tuts!J1146</f>
        <v>17.285714285714285</v>
      </c>
      <c r="E1148" s="13">
        <f>Tuts!D1146</f>
        <v>12.1</v>
      </c>
    </row>
    <row r="1149" spans="2:5" ht="15.75" hidden="1" customHeight="1">
      <c r="B1149" t="str">
        <f>Tuts!B1147</f>
        <v>LUVA RASPA DE COURO CANO LONGO WURTH</v>
      </c>
      <c r="C1149" s="13">
        <f>Tuts!E1147</f>
        <v>42</v>
      </c>
      <c r="D1149" s="18">
        <f>Tuts!J1147</f>
        <v>43.6</v>
      </c>
      <c r="E1149" s="13">
        <f>Tuts!D1147</f>
        <v>30.52</v>
      </c>
    </row>
    <row r="1150" spans="2:5" ht="15.75" hidden="1" customHeight="1">
      <c r="B1150" t="str">
        <f>Tuts!B1148</f>
        <v>MACANETA ALIANÇA 86617</v>
      </c>
      <c r="C1150" s="13">
        <f>Tuts!E1148</f>
        <v>32</v>
      </c>
      <c r="D1150" s="18">
        <f>Tuts!J1148</f>
        <v>25.7</v>
      </c>
      <c r="E1150" s="13">
        <f>Tuts!D1148</f>
        <v>17.989999999999998</v>
      </c>
    </row>
    <row r="1151" spans="2:5" ht="15.75" hidden="1" customHeight="1">
      <c r="B1151" t="str">
        <f>Tuts!B1149</f>
        <v>MACHADO TRAMONTINA 3,5L TRAMONTINA</v>
      </c>
      <c r="C1151" s="13">
        <f>Tuts!E1149</f>
        <v>60</v>
      </c>
      <c r="D1151" s="18">
        <f>Tuts!J1149</f>
        <v>56.857142857142854</v>
      </c>
      <c r="E1151" s="13">
        <f>Tuts!D1149</f>
        <v>39.799999999999997</v>
      </c>
    </row>
    <row r="1152" spans="2:5" ht="15.75" hidden="1" customHeight="1">
      <c r="B1152" t="str">
        <f>Tuts!B1150</f>
        <v>MADEIRITE PRETO 2,20 X 1,10 X 13MM</v>
      </c>
      <c r="C1152" s="13">
        <f>Tuts!E1150</f>
        <v>125</v>
      </c>
      <c r="D1152" s="18">
        <f>Tuts!J1150</f>
        <v>113.61428571428573</v>
      </c>
      <c r="E1152" s="13">
        <f>Tuts!D1150</f>
        <v>79.53</v>
      </c>
    </row>
    <row r="1153" spans="2:5" ht="15.75" hidden="1" customHeight="1">
      <c r="B1153" t="str">
        <f>Tuts!B1151</f>
        <v>MADEIRITE ROSA 2,20 X 1,10 X 13MM</v>
      </c>
      <c r="C1153" s="13">
        <f>Tuts!E1151</f>
        <v>95</v>
      </c>
      <c r="D1153" s="18">
        <f>Tuts!J1151</f>
        <v>86.785714285714292</v>
      </c>
      <c r="E1153" s="13">
        <f>Tuts!D1151</f>
        <v>60.75</v>
      </c>
    </row>
    <row r="1154" spans="2:5" ht="15.75" hidden="1" customHeight="1">
      <c r="B1154" t="str">
        <f>Tuts!B1152</f>
        <v>MALHA POP LEVE 20X20 3.4MM PAINEL 2X3M GERDAU</v>
      </c>
      <c r="C1154" s="13">
        <f>Tuts!E1152</f>
        <v>80</v>
      </c>
      <c r="D1154" s="18">
        <f>Tuts!J1152</f>
        <v>59.785714285714292</v>
      </c>
      <c r="E1154" s="13">
        <f>Tuts!D1152</f>
        <v>41.85</v>
      </c>
    </row>
    <row r="1155" spans="2:5" ht="15.75" hidden="1" customHeight="1">
      <c r="B1155" t="str">
        <f>Tuts!B1153</f>
        <v>MANDRIL MTX 1/2</v>
      </c>
      <c r="C1155" s="13">
        <f>Tuts!E1153</f>
        <v>48</v>
      </c>
      <c r="D1155" s="18">
        <f>Tuts!J1153</f>
        <v>42.714285714285715</v>
      </c>
      <c r="E1155" s="13">
        <f>Tuts!D1153</f>
        <v>29.9</v>
      </c>
    </row>
    <row r="1156" spans="2:5" ht="15.75" hidden="1" customHeight="1">
      <c r="B1156" t="str">
        <f>Tuts!B1154</f>
        <v>MANGUEIRA AR/AGUA PRESSAO 300PSI 5/16</v>
      </c>
      <c r="C1156" s="13">
        <f>Tuts!E1154</f>
        <v>6.9</v>
      </c>
      <c r="D1156" s="18">
        <f>Tuts!J1154</f>
        <v>5.1428571428571432</v>
      </c>
      <c r="E1156" s="13">
        <f>Tuts!D1154</f>
        <v>3.6</v>
      </c>
    </row>
    <row r="1157" spans="2:5" ht="15.75" hidden="1" customHeight="1">
      <c r="B1157" t="str">
        <f>Tuts!B1155</f>
        <v>MANGUEIRA CORRUGADA 1 32</v>
      </c>
      <c r="C1157" s="13">
        <f>Tuts!E1155</f>
        <v>2.5</v>
      </c>
      <c r="D1157" s="18">
        <f>Tuts!J1155</f>
        <v>1.3142857142857145</v>
      </c>
      <c r="E1157" s="13">
        <f>Tuts!D1155</f>
        <v>0.92</v>
      </c>
    </row>
    <row r="1158" spans="2:5" ht="15.75" hidden="1" customHeight="1">
      <c r="B1158" t="str">
        <f>Tuts!B1156</f>
        <v>MANGUEIRA CORRUGADA 1/2</v>
      </c>
      <c r="C1158" s="13">
        <f>Tuts!E1156</f>
        <v>1.5</v>
      </c>
      <c r="D1158" s="18">
        <f>Tuts!J1156</f>
        <v>1.1714285714285715</v>
      </c>
      <c r="E1158" s="13">
        <f>Tuts!D1156</f>
        <v>0.82</v>
      </c>
    </row>
    <row r="1159" spans="2:5" ht="15.75" hidden="1" customHeight="1">
      <c r="B1159" t="str">
        <f>Tuts!B1157</f>
        <v>MANGUEIRA CORRUGADA 3/4</v>
      </c>
      <c r="C1159" s="13">
        <f>Tuts!E1157</f>
        <v>2.5</v>
      </c>
      <c r="D1159" s="18">
        <f>Tuts!J1157</f>
        <v>1.4285714285714286</v>
      </c>
      <c r="E1159" s="13">
        <f>Tuts!D1157</f>
        <v>1</v>
      </c>
    </row>
    <row r="1160" spans="2:5" ht="15.75" hidden="1" customHeight="1">
      <c r="B1160" t="str">
        <f>Tuts!B1158</f>
        <v>MANGUEIRA CRISTAL 1/2X1,5</v>
      </c>
      <c r="C1160" s="13">
        <f>Tuts!E1158</f>
        <v>4.5</v>
      </c>
      <c r="D1160" s="18">
        <f>Tuts!J1158</f>
        <v>4</v>
      </c>
      <c r="E1160" s="13">
        <f>Tuts!D1158</f>
        <v>2.8</v>
      </c>
    </row>
    <row r="1161" spans="2:5" ht="15.75" hidden="1" customHeight="1">
      <c r="B1161" t="str">
        <f>Tuts!B1159</f>
        <v>MANGUEIRA CRISTAL 5/8X1,5</v>
      </c>
      <c r="C1161" s="13">
        <f>Tuts!E1159</f>
        <v>6</v>
      </c>
      <c r="D1161" s="18">
        <f>Tuts!J1159</f>
        <v>5.5714285714285721</v>
      </c>
      <c r="E1161" s="13">
        <f>Tuts!D1159</f>
        <v>3.9</v>
      </c>
    </row>
    <row r="1162" spans="2:5" ht="15.75" hidden="1" customHeight="1">
      <c r="B1162" t="str">
        <f>Tuts!B1160</f>
        <v>MANGUEIRA DE GASOLINA</v>
      </c>
      <c r="C1162" s="13">
        <f>Tuts!E1160</f>
        <v>4</v>
      </c>
      <c r="D1162" s="18">
        <f>Tuts!J1160</f>
        <v>3.7142857142857149</v>
      </c>
      <c r="E1162" s="13">
        <f>Tuts!D1160</f>
        <v>2.6</v>
      </c>
    </row>
    <row r="1163" spans="2:5" ht="15.75" hidden="1" customHeight="1">
      <c r="B1163" t="str">
        <f>Tuts!B1161</f>
        <v>MANGUEIRA DE NIVEL 5/16 X 1.5</v>
      </c>
      <c r="C1163" s="13">
        <f>Tuts!E1161</f>
        <v>2</v>
      </c>
      <c r="D1163" s="18">
        <f>Tuts!J1161</f>
        <v>1.8571428571428574</v>
      </c>
      <c r="E1163" s="13">
        <f>Tuts!D1161</f>
        <v>1.3</v>
      </c>
    </row>
    <row r="1164" spans="2:5" ht="15.75" hidden="1" customHeight="1">
      <c r="B1164" t="str">
        <f>Tuts!B1162</f>
        <v>MANGUEIRA ENTRADA DE AGUA 120CM MAQUINA DE LAVAR</v>
      </c>
      <c r="C1164" s="13">
        <f>Tuts!E1162</f>
        <v>15</v>
      </c>
      <c r="D1164" s="18">
        <f>Tuts!J1162</f>
        <v>12.428571428571429</v>
      </c>
      <c r="E1164" s="13">
        <f>Tuts!D1162</f>
        <v>8.6999999999999993</v>
      </c>
    </row>
    <row r="1165" spans="2:5" ht="15.75" hidden="1" customHeight="1">
      <c r="B1165" t="str">
        <f>Tuts!B1163</f>
        <v>MANGUEIRA ENTRADA DE AGUA 120CM TANQUINHO</v>
      </c>
      <c r="C1165" s="13">
        <f>Tuts!E1163</f>
        <v>8.5</v>
      </c>
      <c r="D1165" s="18">
        <f>Tuts!J1163</f>
        <v>4.5714285714285721</v>
      </c>
      <c r="E1165" s="13">
        <f>Tuts!D1163</f>
        <v>3.2</v>
      </c>
    </row>
    <row r="1166" spans="2:5" ht="15.75" hidden="1" customHeight="1">
      <c r="B1166" t="str">
        <f>Tuts!B1164</f>
        <v>MANGUEIRA GAS (MT) 3/8X3</v>
      </c>
      <c r="C1166" s="13">
        <f>Tuts!E1164</f>
        <v>6.8</v>
      </c>
      <c r="D1166" s="18">
        <f>Tuts!J1164</f>
        <v>6.1428571428571432</v>
      </c>
      <c r="E1166" s="13">
        <f>Tuts!D1164</f>
        <v>4.3</v>
      </c>
    </row>
    <row r="1167" spans="2:5" ht="15.75" hidden="1" customHeight="1">
      <c r="B1167" t="str">
        <f>Tuts!B1165</f>
        <v>MANGUEIRA JARDIM 1/2 SILICONE</v>
      </c>
      <c r="C1167" s="13">
        <f>Tuts!E1165</f>
        <v>3.95</v>
      </c>
      <c r="D1167" s="18">
        <f>Tuts!J1165</f>
        <v>3.914285714285715</v>
      </c>
      <c r="E1167" s="13">
        <f>Tuts!D1165</f>
        <v>2.74</v>
      </c>
    </row>
    <row r="1168" spans="2:5" ht="15.75" hidden="1" customHeight="1">
      <c r="B1168" t="str">
        <f>Tuts!B1166</f>
        <v>MANGUEIRA JARDIM 1/2 TRANCADA AMARELA</v>
      </c>
      <c r="C1168" s="13">
        <f>Tuts!E1166</f>
        <v>4.5999999999999996</v>
      </c>
      <c r="D1168" s="18">
        <f>Tuts!J1166</f>
        <v>4.2714285714285722</v>
      </c>
      <c r="E1168" s="13">
        <f>Tuts!D1166</f>
        <v>2.99</v>
      </c>
    </row>
    <row r="1169" spans="2:5" ht="15.75" hidden="1" customHeight="1">
      <c r="B1169" t="str">
        <f>Tuts!B1167</f>
        <v xml:space="preserve">MANGUEIRA JARDIM 3/4x2,5 </v>
      </c>
      <c r="C1169" s="13">
        <f>Tuts!E1167</f>
        <v>7.8</v>
      </c>
      <c r="D1169" s="18">
        <f>Tuts!J1167</f>
        <v>7.2428571428571438</v>
      </c>
      <c r="E1169" s="13">
        <f>Tuts!D1167</f>
        <v>5.07</v>
      </c>
    </row>
    <row r="1170" spans="2:5" ht="15.75" hidden="1" customHeight="1">
      <c r="B1170" t="str">
        <f>Tuts!B1168</f>
        <v>MANGUEIRA PARA PISCINA 1.1/2'' SILICONADA</v>
      </c>
      <c r="C1170" s="13">
        <f>Tuts!E1168</f>
        <v>12</v>
      </c>
      <c r="D1170" s="18">
        <f>Tuts!J1168</f>
        <v>11.285714285714286</v>
      </c>
      <c r="E1170" s="13">
        <f>Tuts!D1168</f>
        <v>7.9</v>
      </c>
    </row>
    <row r="1171" spans="2:5" ht="15.75" hidden="1" customHeight="1">
      <c r="B1171" t="str">
        <f>Tuts!B1169</f>
        <v>MANGUEIRA POLITILENO IPLASTIC 1.1/4X3,0MM</v>
      </c>
      <c r="C1171" s="13">
        <f>Tuts!E1169</f>
        <v>5.5</v>
      </c>
      <c r="D1171" s="18">
        <f>Tuts!J1169</f>
        <v>5.1428571428571432</v>
      </c>
      <c r="E1171" s="13">
        <f>Tuts!D1169</f>
        <v>3.6</v>
      </c>
    </row>
    <row r="1172" spans="2:5" ht="15.75" hidden="1" customHeight="1">
      <c r="B1172" t="str">
        <f>Tuts!B1170</f>
        <v>MANGUEIRA POLITILENO IPLASTIC 1/2X1,5MM</v>
      </c>
      <c r="C1172" s="13">
        <f>Tuts!E1170</f>
        <v>1.3</v>
      </c>
      <c r="D1172" s="18">
        <f>Tuts!J1170</f>
        <v>1.1857142857142857</v>
      </c>
      <c r="E1172" s="13">
        <f>Tuts!D1170</f>
        <v>0.83</v>
      </c>
    </row>
    <row r="1173" spans="2:5" ht="15.75" hidden="1" customHeight="1">
      <c r="B1173" t="str">
        <f>Tuts!B1171</f>
        <v>MANGUEIRA POLITILENO IPLASTIC 1/2X2,0MM</v>
      </c>
      <c r="C1173" s="13">
        <f>Tuts!E1171</f>
        <v>1.75</v>
      </c>
      <c r="D1173" s="18">
        <f>Tuts!J1171</f>
        <v>1.5428571428571431</v>
      </c>
      <c r="E1173" s="13">
        <f>Tuts!D1171</f>
        <v>1.08</v>
      </c>
    </row>
    <row r="1174" spans="2:5" ht="15.75" hidden="1" customHeight="1">
      <c r="B1174" t="str">
        <f>Tuts!B1172</f>
        <v>MANGUEIRA POLITILENO IPLASTIC 1X2,0MM</v>
      </c>
      <c r="C1174" s="13">
        <f>Tuts!E1172</f>
        <v>3.4</v>
      </c>
      <c r="D1174" s="18">
        <f>Tuts!J1172</f>
        <v>3.1428571428571432</v>
      </c>
      <c r="E1174" s="13">
        <f>Tuts!D1172</f>
        <v>2.2000000000000002</v>
      </c>
    </row>
    <row r="1175" spans="2:5" ht="15.75" hidden="1" customHeight="1">
      <c r="B1175" t="str">
        <f>Tuts!B1173</f>
        <v>MANGUEIRA POLITILENO IPLASTIC 1X3,0MM</v>
      </c>
      <c r="C1175" s="13">
        <f>Tuts!E1173</f>
        <v>4.5999999999999996</v>
      </c>
      <c r="D1175" s="18">
        <f>Tuts!J1173</f>
        <v>4.2285714285714286</v>
      </c>
      <c r="E1175" s="13">
        <f>Tuts!D1173</f>
        <v>2.96</v>
      </c>
    </row>
    <row r="1176" spans="2:5" ht="15.75" hidden="1" customHeight="1">
      <c r="B1176" t="str">
        <f>Tuts!B1174</f>
        <v>MANGUEIRA POLITILENO IPLASTIC 2X3MM</v>
      </c>
      <c r="C1176" s="13">
        <f>Tuts!E1174</f>
        <v>9.35</v>
      </c>
      <c r="D1176" s="18">
        <f>Tuts!J1174</f>
        <v>8.6428571428571423</v>
      </c>
      <c r="E1176" s="13">
        <f>Tuts!D1174</f>
        <v>6.05</v>
      </c>
    </row>
    <row r="1177" spans="2:5" ht="15.75" hidden="1" customHeight="1">
      <c r="B1177" t="str">
        <f>Tuts!B1175</f>
        <v>MANGUEIRA POLITILENO IPLASTIC 3/4X1,5MM</v>
      </c>
      <c r="C1177" s="13">
        <f>Tuts!E1175</f>
        <v>1.9</v>
      </c>
      <c r="D1177" s="18">
        <f>Tuts!J1175</f>
        <v>1.5428571428571431</v>
      </c>
      <c r="E1177" s="13">
        <f>Tuts!D1175</f>
        <v>1.08</v>
      </c>
    </row>
    <row r="1178" spans="2:5" ht="15.75" hidden="1" customHeight="1">
      <c r="B1178" t="str">
        <f>Tuts!B1176</f>
        <v>MANGUEIRA POLITILENO IPLASTIC 3/4X2,0MM</v>
      </c>
      <c r="C1178" s="13">
        <f>Tuts!E1176</f>
        <v>2.5</v>
      </c>
      <c r="D1178" s="18">
        <f>Tuts!J1176</f>
        <v>2</v>
      </c>
      <c r="E1178" s="13">
        <f>Tuts!D1176</f>
        <v>1.4</v>
      </c>
    </row>
    <row r="1179" spans="2:5" ht="15.75" hidden="1" customHeight="1">
      <c r="B1179" t="str">
        <f>Tuts!B1177</f>
        <v>MANGUEIRA POLITILENO IPLASTIC 3/4X2,5MM</v>
      </c>
      <c r="C1179" s="13">
        <f>Tuts!E1177</f>
        <v>2.7</v>
      </c>
      <c r="D1179" s="18">
        <f>Tuts!J1177</f>
        <v>2.4714285714285715</v>
      </c>
      <c r="E1179" s="13">
        <f>Tuts!D1177</f>
        <v>1.73</v>
      </c>
    </row>
    <row r="1180" spans="2:5" ht="15.75" hidden="1" customHeight="1">
      <c r="B1180" t="str">
        <f>Tuts!B1178</f>
        <v>MANGUEIRA SAIDA MAQUINA DE LAVAR 1,40</v>
      </c>
      <c r="C1180" s="13">
        <f>Tuts!E1178</f>
        <v>12</v>
      </c>
      <c r="D1180" s="18">
        <f>Tuts!J1178</f>
        <v>9.4</v>
      </c>
      <c r="E1180" s="13">
        <f>Tuts!D1178</f>
        <v>6.58</v>
      </c>
    </row>
    <row r="1181" spans="2:5" ht="15.75" hidden="1" customHeight="1">
      <c r="B1181" t="str">
        <f>Tuts!B1179</f>
        <v>MANGUEIRA SAIDA TANQUINHO 1,10</v>
      </c>
      <c r="C1181" s="13">
        <f>Tuts!E1179</f>
        <v>10</v>
      </c>
      <c r="D1181" s="18">
        <f>Tuts!J1179</f>
        <v>7.8142857142857141</v>
      </c>
      <c r="E1181" s="13">
        <f>Tuts!D1179</f>
        <v>5.47</v>
      </c>
    </row>
    <row r="1182" spans="2:5" ht="15.75" hidden="1" customHeight="1">
      <c r="B1182" t="str">
        <f>Tuts!B1180</f>
        <v>MANGUEIRA TRANCADA ENTRADA DE AGUA MAQUINA 1,80</v>
      </c>
      <c r="C1182" s="13">
        <f>Tuts!E1180</f>
        <v>29.5</v>
      </c>
      <c r="D1182" s="18">
        <f>Tuts!J1180</f>
        <v>26.228571428571428</v>
      </c>
      <c r="E1182" s="13">
        <f>Tuts!D1180</f>
        <v>18.36</v>
      </c>
    </row>
    <row r="1183" spans="2:5" ht="15.75" hidden="1" customHeight="1">
      <c r="B1183" t="str">
        <f>Tuts!B1181</f>
        <v>MANQUEIRA JARDIM 1/2 TRANCADA</v>
      </c>
      <c r="C1183" s="13">
        <f>Tuts!E1181</f>
        <v>4.7</v>
      </c>
      <c r="D1183" s="18">
        <f>Tuts!J1181</f>
        <v>4.2714285714285722</v>
      </c>
      <c r="E1183" s="13">
        <f>Tuts!D1181</f>
        <v>2.99</v>
      </c>
    </row>
    <row r="1184" spans="2:5" ht="15.75" hidden="1" customHeight="1">
      <c r="B1184" t="str">
        <f>Tuts!B1182</f>
        <v>MANTA ADESIVA 10 CM RL 10MTS</v>
      </c>
      <c r="C1184" s="13">
        <f>Tuts!E1182</f>
        <v>4.5999999999999996</v>
      </c>
      <c r="D1184" s="18">
        <f>Tuts!J1182</f>
        <v>4.2142857142857144</v>
      </c>
      <c r="E1184" s="13">
        <f>Tuts!D1182</f>
        <v>2.95</v>
      </c>
    </row>
    <row r="1185" spans="1:5" ht="15.75" hidden="1" customHeight="1">
      <c r="B1185" t="str">
        <f>Tuts!B1183</f>
        <v>MANTA ADESIVA 15 CM RL 10MTS DRYKO VEDATUDO</v>
      </c>
      <c r="C1185" s="13">
        <f>Tuts!E1183</f>
        <v>4.5</v>
      </c>
      <c r="D1185" s="18">
        <f>Tuts!J1183</f>
        <v>3.8857142857142861</v>
      </c>
      <c r="E1185" s="13">
        <f>Tuts!D1183</f>
        <v>2.72</v>
      </c>
    </row>
    <row r="1186" spans="1:5" ht="15.75" hidden="1" customHeight="1">
      <c r="B1186" t="str">
        <f>Tuts!B1184</f>
        <v>MANTA ADESIVA 20 CM RL 10MTS</v>
      </c>
      <c r="C1186" s="13">
        <f>Tuts!E1184</f>
        <v>5.15</v>
      </c>
      <c r="D1186" s="18">
        <f>Tuts!J1184</f>
        <v>4.5142857142857151</v>
      </c>
      <c r="E1186" s="13">
        <f>Tuts!D1184</f>
        <v>3.16</v>
      </c>
    </row>
    <row r="1187" spans="1:5" ht="15.75" hidden="1" customHeight="1">
      <c r="B1187" t="str">
        <f>Tuts!B1185</f>
        <v>MANTA ADESIVA 30 CM RL 10MTS</v>
      </c>
      <c r="C1187" s="13">
        <f>Tuts!E1185</f>
        <v>8.1999999999999993</v>
      </c>
      <c r="D1187" s="18">
        <f>Tuts!J1185</f>
        <v>7.4714285714285724</v>
      </c>
      <c r="E1187" s="13">
        <f>Tuts!D1185</f>
        <v>5.23</v>
      </c>
    </row>
    <row r="1188" spans="1:5" ht="15.75" hidden="1" customHeight="1">
      <c r="B1188" t="str">
        <f>Tuts!B1186</f>
        <v>MANTA ADESIVA 90 CM RL 10MTS</v>
      </c>
      <c r="C1188" s="13">
        <f>Tuts!E1186</f>
        <v>24.5</v>
      </c>
      <c r="D1188" s="18">
        <f>Tuts!J1186</f>
        <v>22.185714285714287</v>
      </c>
      <c r="E1188" s="13">
        <f>Tuts!D1186</f>
        <v>15.53</v>
      </c>
    </row>
    <row r="1189" spans="1:5" ht="15.75" hidden="1" customHeight="1">
      <c r="B1189" t="str">
        <f>Tuts!B1187</f>
        <v>MAO FRANCESA 150 BRANCA</v>
      </c>
      <c r="C1189" s="13">
        <f>Tuts!E1187</f>
        <v>8.5</v>
      </c>
      <c r="D1189" s="18">
        <f>Tuts!J1187</f>
        <v>7.7571428571428571</v>
      </c>
      <c r="E1189" s="13">
        <f>Tuts!D1187</f>
        <v>5.43</v>
      </c>
    </row>
    <row r="1190" spans="1:5" ht="15.75" hidden="1" customHeight="1">
      <c r="B1190" t="str">
        <f>Tuts!B1188</f>
        <v>MAO FRANCESA 200 BRANCA</v>
      </c>
      <c r="C1190" s="13">
        <f>Tuts!E1188</f>
        <v>9.5</v>
      </c>
      <c r="D1190" s="18">
        <f>Tuts!J1188</f>
        <v>8.8000000000000007</v>
      </c>
      <c r="E1190" s="13">
        <f>Tuts!D1188</f>
        <v>6.16</v>
      </c>
    </row>
    <row r="1191" spans="1:5" ht="15.75" hidden="1" customHeight="1">
      <c r="B1191" t="str">
        <f>Tuts!B1189</f>
        <v>MAO FRANCESA 250 BRANCA</v>
      </c>
      <c r="C1191" s="13">
        <f>Tuts!E1189</f>
        <v>10.5</v>
      </c>
      <c r="D1191" s="18">
        <f>Tuts!J1189</f>
        <v>9.6571428571428566</v>
      </c>
      <c r="E1191" s="13">
        <f>Tuts!D1189</f>
        <v>6.76</v>
      </c>
    </row>
    <row r="1192" spans="1:5" ht="15.75" hidden="1" customHeight="1">
      <c r="B1192" t="str">
        <f>Tuts!B1190</f>
        <v>MAO FRANCESA 300 BRANCA</v>
      </c>
      <c r="C1192" s="13">
        <f>Tuts!E1190</f>
        <v>11.5</v>
      </c>
      <c r="D1192" s="18">
        <f>Tuts!J1190</f>
        <v>10.585714285714287</v>
      </c>
      <c r="E1192" s="13">
        <f>Tuts!D1190</f>
        <v>7.41</v>
      </c>
    </row>
    <row r="1193" spans="1:5" ht="15.75" hidden="1" customHeight="1">
      <c r="B1193" t="str">
        <f>Tuts!B1191</f>
        <v>MAO FRANCESA 300 COLONIAL PRETA</v>
      </c>
      <c r="C1193" s="13">
        <f>Tuts!E1191</f>
        <v>18.5</v>
      </c>
      <c r="D1193" s="18">
        <f>Tuts!J1191</f>
        <v>17.014285714285716</v>
      </c>
      <c r="E1193" s="13">
        <f>Tuts!D1191</f>
        <v>11.91</v>
      </c>
    </row>
    <row r="1194" spans="1:5" ht="15.75" hidden="1" customHeight="1">
      <c r="B1194" t="str">
        <f>Tuts!B1192</f>
        <v>MAO FRANCESA 350 BRANCA</v>
      </c>
      <c r="C1194" s="13">
        <f>Tuts!E1192</f>
        <v>13.5</v>
      </c>
      <c r="D1194" s="18">
        <f>Tuts!J1192</f>
        <v>12.214285714285715</v>
      </c>
      <c r="E1194" s="13">
        <f>Tuts!D1192</f>
        <v>8.5500000000000007</v>
      </c>
    </row>
    <row r="1195" spans="1:5" ht="15.75" hidden="1" customHeight="1">
      <c r="B1195" t="str">
        <f>Tuts!B1193</f>
        <v>MAO FRANCESA 400 BRANCA</v>
      </c>
      <c r="C1195" s="13">
        <f>Tuts!E1193</f>
        <v>15.8</v>
      </c>
      <c r="D1195" s="18">
        <f>Tuts!J1193</f>
        <v>14.4</v>
      </c>
      <c r="E1195" s="13">
        <f>Tuts!D1193</f>
        <v>10.08</v>
      </c>
    </row>
    <row r="1196" spans="1:5" ht="15.75" hidden="1" customHeight="1">
      <c r="B1196" t="str">
        <f>Tuts!B1194</f>
        <v>MAO FRANCESA 500 BRANCA</v>
      </c>
      <c r="C1196" s="13">
        <f>Tuts!E1194</f>
        <v>26</v>
      </c>
      <c r="D1196" s="18">
        <f>Tuts!J1194</f>
        <v>23.914285714285715</v>
      </c>
      <c r="E1196" s="13">
        <f>Tuts!D1194</f>
        <v>16.739999999999998</v>
      </c>
    </row>
    <row r="1197" spans="1:5" ht="15.75" hidden="1" customHeight="1">
      <c r="A1197" t="s">
        <v>22</v>
      </c>
      <c r="B1197" t="str">
        <f>Tuts!B1195</f>
        <v>MARINI ACABAMENTO REGISTRO</v>
      </c>
      <c r="C1197" s="13">
        <f>Tuts!E1195</f>
        <v>28.5</v>
      </c>
      <c r="D1197" s="18">
        <f>Tuts!J1195</f>
        <v>26.185714285714283</v>
      </c>
      <c r="E1197" s="13">
        <f>Tuts!D1195</f>
        <v>18.329999999999998</v>
      </c>
    </row>
    <row r="1198" spans="1:5" ht="15.75" hidden="1" customHeight="1">
      <c r="B1198" t="str">
        <f>Tuts!B1196</f>
        <v>MARINI CABIDE SIMPLES</v>
      </c>
      <c r="C1198" s="13">
        <f>Tuts!E1196</f>
        <v>10.5</v>
      </c>
      <c r="D1198" s="18">
        <f>Tuts!J1196</f>
        <v>9.2714285714285722</v>
      </c>
      <c r="E1198" s="13">
        <f>Tuts!D1196</f>
        <v>6.49</v>
      </c>
    </row>
    <row r="1199" spans="1:5" ht="15.75" hidden="1" customHeight="1">
      <c r="B1199" t="str">
        <f>Tuts!B1197</f>
        <v xml:space="preserve">MARINI CABIDE STANDART </v>
      </c>
      <c r="C1199" s="13">
        <f>Tuts!E1197</f>
        <v>9</v>
      </c>
      <c r="D1199" s="18">
        <f>Tuts!J1197</f>
        <v>8.1428571428571441</v>
      </c>
      <c r="E1199" s="13">
        <f>Tuts!D1197</f>
        <v>5.7</v>
      </c>
    </row>
    <row r="1200" spans="1:5" ht="15.75" hidden="1" customHeight="1">
      <c r="B1200" t="str">
        <f>Tuts!B1198</f>
        <v>MARINI ENGATE FLEXIVEL 1,20M</v>
      </c>
      <c r="C1200" s="13">
        <f>Tuts!E1198</f>
        <v>30</v>
      </c>
      <c r="D1200" s="18">
        <f>Tuts!J1198</f>
        <v>27</v>
      </c>
      <c r="E1200" s="13">
        <f>Tuts!D1198</f>
        <v>18.899999999999999</v>
      </c>
    </row>
    <row r="1201" spans="2:5" ht="15.75" hidden="1" customHeight="1">
      <c r="B1201" t="str">
        <f>Tuts!B1199</f>
        <v>MARINI ENGATE FLEXIVEL 60CM</v>
      </c>
      <c r="C1201" s="13">
        <f>Tuts!E1199</f>
        <v>28</v>
      </c>
      <c r="D1201" s="18">
        <f>Tuts!J1199</f>
        <v>25.200000000000003</v>
      </c>
      <c r="E1201" s="13">
        <f>Tuts!D1199</f>
        <v>17.64</v>
      </c>
    </row>
    <row r="1202" spans="2:5" ht="15.75" hidden="1" customHeight="1">
      <c r="B1202" t="str">
        <f>Tuts!B1200</f>
        <v>MARINI KIT BANHEIRO BLACK</v>
      </c>
      <c r="C1202" s="13">
        <f>Tuts!E1200</f>
        <v>78.900000000000006</v>
      </c>
      <c r="D1202" s="18">
        <f>Tuts!J1200</f>
        <v>71.642857142857139</v>
      </c>
      <c r="E1202" s="13">
        <f>Tuts!D1200</f>
        <v>50.15</v>
      </c>
    </row>
    <row r="1203" spans="2:5" ht="15.75" hidden="1" customHeight="1">
      <c r="B1203" t="str">
        <f>Tuts!B1201</f>
        <v>MARINI KIT BANHEIRO LUXO</v>
      </c>
      <c r="C1203" s="13">
        <f>Tuts!E1201</f>
        <v>162</v>
      </c>
      <c r="D1203" s="18">
        <f>Tuts!J1201</f>
        <v>144.02857142857144</v>
      </c>
      <c r="E1203" s="13">
        <f>Tuts!D1201</f>
        <v>100.82</v>
      </c>
    </row>
    <row r="1204" spans="2:5" ht="15.75" hidden="1" customHeight="1">
      <c r="B1204" t="str">
        <f>Tuts!B1202</f>
        <v>MARINI KIT BANHEIRO REDONDO</v>
      </c>
      <c r="C1204" s="13">
        <f>Tuts!E1202</f>
        <v>68</v>
      </c>
      <c r="D1204" s="18">
        <f>Tuts!J1202</f>
        <v>60.471428571428575</v>
      </c>
      <c r="E1204" s="13">
        <f>Tuts!D1202</f>
        <v>42.33</v>
      </c>
    </row>
    <row r="1205" spans="2:5" ht="15.75" hidden="1" customHeight="1">
      <c r="B1205" t="str">
        <f>Tuts!B1203</f>
        <v>MARINI KIT BANHEIRO STANDART</v>
      </c>
      <c r="C1205" s="13">
        <f>Tuts!E1203</f>
        <v>72</v>
      </c>
      <c r="D1205" s="18">
        <f>Tuts!J1203</f>
        <v>65.714285714285722</v>
      </c>
      <c r="E1205" s="13">
        <f>Tuts!D1203</f>
        <v>46</v>
      </c>
    </row>
    <row r="1206" spans="2:5" ht="15.75" hidden="1" customHeight="1">
      <c r="B1206" t="str">
        <f>Tuts!B1204</f>
        <v>MARINI PORTA PAPEL COM TAMPA</v>
      </c>
      <c r="C1206" s="13">
        <f>Tuts!E1204</f>
        <v>19.899999999999999</v>
      </c>
      <c r="D1206" s="18">
        <f>Tuts!J1204</f>
        <v>18.428571428571431</v>
      </c>
      <c r="E1206" s="13">
        <f>Tuts!D1204</f>
        <v>12.9</v>
      </c>
    </row>
    <row r="1207" spans="2:5" ht="15.75" hidden="1" customHeight="1">
      <c r="B1207" t="str">
        <f>Tuts!B1205</f>
        <v>MARINI PORTA PAPEL STANDART S/ TAMPA</v>
      </c>
      <c r="C1207" s="13">
        <f>Tuts!E1205</f>
        <v>17</v>
      </c>
      <c r="D1207" s="18">
        <f>Tuts!J1205</f>
        <v>14.600000000000001</v>
      </c>
      <c r="E1207" s="13">
        <f>Tuts!D1205</f>
        <v>10.220000000000001</v>
      </c>
    </row>
    <row r="1208" spans="2:5" ht="15.75" hidden="1" customHeight="1">
      <c r="B1208" t="str">
        <f>Tuts!B1206</f>
        <v>MARINI PORTA SHAMPOO CANTO STANDART</v>
      </c>
      <c r="C1208" s="13">
        <f>Tuts!E1206</f>
        <v>43.7</v>
      </c>
      <c r="D1208" s="18">
        <f>Tuts!J1206</f>
        <v>39.714285714285715</v>
      </c>
      <c r="E1208" s="13">
        <f>Tuts!D1206</f>
        <v>27.8</v>
      </c>
    </row>
    <row r="1209" spans="2:5" ht="15.75" hidden="1" customHeight="1">
      <c r="B1209" t="str">
        <f>Tuts!B1207</f>
        <v>MARINI PORTA SHAMPOO INOX 10X35</v>
      </c>
      <c r="C1209" s="13">
        <f>Tuts!E1207</f>
        <v>45.8</v>
      </c>
      <c r="D1209" s="18">
        <f>Tuts!J1207</f>
        <v>40.471428571428575</v>
      </c>
      <c r="E1209" s="13">
        <f>Tuts!D1207</f>
        <v>28.33</v>
      </c>
    </row>
    <row r="1210" spans="2:5" ht="15.75" hidden="1" customHeight="1">
      <c r="B1210" t="str">
        <f>Tuts!B1208</f>
        <v>MARINI PORTA TOALHA ROSTO</v>
      </c>
      <c r="C1210" s="13">
        <f>Tuts!E1208</f>
        <v>25</v>
      </c>
      <c r="D1210" s="18">
        <f>Tuts!J1208</f>
        <v>22.928571428571431</v>
      </c>
      <c r="E1210" s="13">
        <f>Tuts!D1208</f>
        <v>16.05</v>
      </c>
    </row>
    <row r="1211" spans="2:5" ht="15.75" hidden="1" customHeight="1">
      <c r="B1211" t="str">
        <f>Tuts!B1209</f>
        <v>MARINI SABONETEIRA COM SUPORTE</v>
      </c>
      <c r="C1211" s="13">
        <f>Tuts!E1209</f>
        <v>19.899999999999999</v>
      </c>
      <c r="D1211" s="18">
        <f>Tuts!J1209</f>
        <v>18.285714285714288</v>
      </c>
      <c r="E1211" s="13">
        <f>Tuts!D1209</f>
        <v>12.8</v>
      </c>
    </row>
    <row r="1212" spans="2:5" ht="15.75" hidden="1" customHeight="1">
      <c r="B1212" t="str">
        <f>Tuts!B1210</f>
        <v>MARINI SABONETEIRA SEM SUPORTE</v>
      </c>
      <c r="C1212" s="13">
        <f>Tuts!E1210</f>
        <v>20</v>
      </c>
      <c r="D1212" s="18">
        <f>Tuts!J1210</f>
        <v>18.871428571428574</v>
      </c>
      <c r="E1212" s="13">
        <f>Tuts!D1210</f>
        <v>13.21</v>
      </c>
    </row>
    <row r="1213" spans="2:5" ht="15.75" hidden="1" customHeight="1">
      <c r="B1213" t="str">
        <f>Tuts!B1211</f>
        <v>MARINI VALVULA AMERICANA BORRACHA</v>
      </c>
      <c r="C1213" s="13">
        <f>Tuts!E1211</f>
        <v>22</v>
      </c>
      <c r="D1213" s="18">
        <f>Tuts!J1211</f>
        <v>19.857142857142858</v>
      </c>
      <c r="E1213" s="13">
        <f>Tuts!D1211</f>
        <v>13.9</v>
      </c>
    </row>
    <row r="1214" spans="2:5" ht="15.75" hidden="1" customHeight="1">
      <c r="B1214" t="str">
        <f>Tuts!B1212</f>
        <v>MARRETA MOMFORT 1,5KG</v>
      </c>
      <c r="C1214" s="13">
        <f>Tuts!E1212</f>
        <v>58</v>
      </c>
      <c r="D1214" s="18">
        <f>Tuts!J1212</f>
        <v>53.214285714285715</v>
      </c>
      <c r="E1214" s="13">
        <f>Tuts!D1212</f>
        <v>37.25</v>
      </c>
    </row>
    <row r="1215" spans="2:5" ht="15.75" hidden="1" customHeight="1">
      <c r="B1215" t="str">
        <f>Tuts!B1213</f>
        <v>MARRETA MOMFORT 1KG</v>
      </c>
      <c r="C1215" s="13">
        <f>Tuts!E1213</f>
        <v>42</v>
      </c>
      <c r="D1215" s="18">
        <f>Tuts!J1213</f>
        <v>37.685714285714283</v>
      </c>
      <c r="E1215" s="13">
        <f>Tuts!D1213</f>
        <v>26.38</v>
      </c>
    </row>
    <row r="1216" spans="2:5" ht="15.75" hidden="1" customHeight="1">
      <c r="B1216" t="str">
        <f>Tuts!B1214</f>
        <v>MARROART AEREO DUPLO S/ VIDRO 0,85</v>
      </c>
      <c r="C1216" s="13">
        <f>Tuts!E1214</f>
        <v>365</v>
      </c>
      <c r="D1216" s="18">
        <f>Tuts!J1214</f>
        <v>338.7714285714286</v>
      </c>
      <c r="E1216" s="13">
        <f>Tuts!D1214</f>
        <v>237.14</v>
      </c>
    </row>
    <row r="1217" spans="2:5" ht="15.75" hidden="1" customHeight="1">
      <c r="B1217" t="str">
        <f>Tuts!B1215</f>
        <v>MARROART AEREO TRIPLO S/ VIDRO 1,15</v>
      </c>
      <c r="C1217" s="13">
        <f>Tuts!E1215</f>
        <v>445</v>
      </c>
      <c r="D1217" s="18">
        <f>Tuts!J1215</f>
        <v>412.47142857142865</v>
      </c>
      <c r="E1217" s="13">
        <f>Tuts!D1215</f>
        <v>288.73</v>
      </c>
    </row>
    <row r="1218" spans="2:5" ht="15.75" hidden="1" customHeight="1">
      <c r="B1218" t="str">
        <f>Tuts!B1216</f>
        <v>MARROART CONJUNTO MILANO BANHEIRO 640X320X595 AÇO</v>
      </c>
      <c r="C1218" s="13">
        <f>Tuts!E1216</f>
        <v>580</v>
      </c>
      <c r="D1218" s="18">
        <f>Tuts!J1216</f>
        <v>580.88571428571436</v>
      </c>
      <c r="E1218" s="13">
        <f>Tuts!D1216</f>
        <v>406.62</v>
      </c>
    </row>
    <row r="1219" spans="2:5" ht="15.75" hidden="1" customHeight="1">
      <c r="B1219" t="str">
        <f>Tuts!B1217</f>
        <v>MARROART CONJUNTO SIENA BANHEIRO 450X320X59 AÇO</v>
      </c>
      <c r="C1219" s="13">
        <f>Tuts!E1217</f>
        <v>455</v>
      </c>
      <c r="D1219" s="18">
        <f>Tuts!J1217</f>
        <v>421.42857142857144</v>
      </c>
      <c r="E1219" s="13">
        <f>Tuts!D1217</f>
        <v>295</v>
      </c>
    </row>
    <row r="1220" spans="2:5" ht="15.75" hidden="1" customHeight="1">
      <c r="B1220" t="str">
        <f>Tuts!B1218</f>
        <v>MARROART CONJUNTO SIENA BANHEIRO 610X320X595 AÇO</v>
      </c>
      <c r="C1220" s="13">
        <f>Tuts!E1218</f>
        <v>505</v>
      </c>
      <c r="D1220" s="18">
        <f>Tuts!J1218</f>
        <v>464.28571428571433</v>
      </c>
      <c r="E1220" s="13">
        <f>Tuts!D1218</f>
        <v>325</v>
      </c>
    </row>
    <row r="1221" spans="2:5" ht="15.75" hidden="1" customHeight="1">
      <c r="B1221" t="str">
        <f>Tuts!B1219</f>
        <v>MARROART GABINETE COZINHA ELLOS BRANCO 120 AÇO</v>
      </c>
      <c r="C1221" s="13">
        <f>Tuts!E1219</f>
        <v>680</v>
      </c>
      <c r="D1221" s="18">
        <f>Tuts!J1219</f>
        <v>597.92857142857144</v>
      </c>
      <c r="E1221" s="13">
        <f>Tuts!D1219</f>
        <v>418.55</v>
      </c>
    </row>
    <row r="1222" spans="2:5" ht="15.75" hidden="1" customHeight="1">
      <c r="B1222" t="str">
        <f>Tuts!B1220</f>
        <v>MARROART GABINETE COZINHA ELLOS BRANCO 150 AÇO</v>
      </c>
      <c r="C1222" s="13">
        <f>Tuts!E1220</f>
        <v>780</v>
      </c>
      <c r="D1222" s="18">
        <f>Tuts!J1220</f>
        <v>713.57142857142867</v>
      </c>
      <c r="E1222" s="13">
        <f>Tuts!D1220</f>
        <v>499.5</v>
      </c>
    </row>
    <row r="1223" spans="2:5" ht="15.75" hidden="1" customHeight="1">
      <c r="B1223" t="str">
        <f>Tuts!B1221</f>
        <v>MARROART GABINETE COZINHA ELLOS BRANCO 180 AÇO</v>
      </c>
      <c r="C1223" s="13">
        <f>Tuts!E1221</f>
        <v>878</v>
      </c>
      <c r="D1223" s="18">
        <f>Tuts!J1221</f>
        <v>813.02857142857147</v>
      </c>
      <c r="E1223" s="13">
        <f>Tuts!D1221</f>
        <v>569.12</v>
      </c>
    </row>
    <row r="1224" spans="2:5" ht="15.75" hidden="1" customHeight="1">
      <c r="B1224" t="str">
        <f>Tuts!B1222</f>
        <v>MARROART GABINETE COZINHA ELLOS BRANCO 200 AÇO</v>
      </c>
      <c r="C1224" s="13">
        <f>Tuts!E1222</f>
        <v>930</v>
      </c>
      <c r="D1224" s="18">
        <f>Tuts!J1222</f>
        <v>855.2</v>
      </c>
      <c r="E1224" s="13">
        <f>Tuts!D1222</f>
        <v>598.64</v>
      </c>
    </row>
    <row r="1225" spans="2:5" ht="15.75" hidden="1" customHeight="1">
      <c r="B1225" t="str">
        <f>Tuts!B1223</f>
        <v>MARROART GABINETE TANQUE 1 CUBA AÇO</v>
      </c>
      <c r="C1225" s="13">
        <f>Tuts!E1223</f>
        <v>470</v>
      </c>
      <c r="D1225" s="18">
        <f>Tuts!J1223</f>
        <v>435.71428571428572</v>
      </c>
      <c r="E1225" s="13">
        <f>Tuts!D1223</f>
        <v>305</v>
      </c>
    </row>
    <row r="1226" spans="2:5" ht="15.75" hidden="1" customHeight="1">
      <c r="B1226" t="str">
        <f>Tuts!B1224</f>
        <v>MARROART GABINETE TANQUE 2 CUBAS AÇO</v>
      </c>
      <c r="C1226" s="13">
        <f>Tuts!E1224</f>
        <v>630</v>
      </c>
      <c r="D1226" s="18">
        <f>Tuts!J1224</f>
        <v>583.17142857142869</v>
      </c>
      <c r="E1226" s="13">
        <f>Tuts!D1224</f>
        <v>408.22</v>
      </c>
    </row>
    <row r="1227" spans="2:5" ht="15.75" hidden="1" customHeight="1">
      <c r="B1227" t="str">
        <f>Tuts!B1225</f>
        <v>MARTELETA 2 CORTES</v>
      </c>
      <c r="C1227" s="13">
        <f>Tuts!E1225</f>
        <v>74.5</v>
      </c>
      <c r="D1227" s="18">
        <f>Tuts!J1225</f>
        <v>77.428571428571431</v>
      </c>
      <c r="E1227" s="13">
        <f>Tuts!D1225</f>
        <v>54.2</v>
      </c>
    </row>
    <row r="1228" spans="2:5" ht="15.75" hidden="1" customHeight="1">
      <c r="B1228" t="str">
        <f>Tuts!B1226</f>
        <v>MARTELO CABO DE MADEIRA 25MM</v>
      </c>
      <c r="C1228" s="13">
        <f>Tuts!E1226</f>
        <v>32</v>
      </c>
      <c r="D1228" s="18">
        <f>Tuts!J1226</f>
        <v>28.857142857142858</v>
      </c>
      <c r="E1228" s="13">
        <f>Tuts!D1226</f>
        <v>20.2</v>
      </c>
    </row>
    <row r="1229" spans="2:5" ht="15.75" hidden="1" customHeight="1">
      <c r="B1229" t="str">
        <f>Tuts!B1227</f>
        <v>MARTELO CABO DE MADEIRA 27MM FUZIL</v>
      </c>
      <c r="C1229" s="13">
        <f>Tuts!E1227</f>
        <v>52</v>
      </c>
      <c r="D1229" s="18">
        <f>Tuts!J1227</f>
        <v>47.44285714285715</v>
      </c>
      <c r="E1229" s="13">
        <f>Tuts!D1227</f>
        <v>33.21</v>
      </c>
    </row>
    <row r="1230" spans="2:5" ht="15.75" hidden="1" customHeight="1">
      <c r="B1230" t="str">
        <f>Tuts!B1228</f>
        <v>MARTELO CABO DE MADEIRA BRAZHU 25MM</v>
      </c>
      <c r="C1230" s="13">
        <f>Tuts!E1228</f>
        <v>32</v>
      </c>
      <c r="D1230" s="18">
        <f>Tuts!J1228</f>
        <v>28.571428571428573</v>
      </c>
      <c r="E1230" s="13">
        <f>Tuts!D1228</f>
        <v>20</v>
      </c>
    </row>
    <row r="1231" spans="2:5" ht="15.75" hidden="1" customHeight="1">
      <c r="B1231" t="str">
        <f>Tuts!B1229</f>
        <v>MARTELO DE SILICONE</v>
      </c>
      <c r="C1231" s="13">
        <f>Tuts!E1229</f>
        <v>23</v>
      </c>
      <c r="D1231" s="18">
        <f>Tuts!J1229</f>
        <v>20.714285714285715</v>
      </c>
      <c r="E1231" s="13">
        <f>Tuts!D1229</f>
        <v>14.5</v>
      </c>
    </row>
    <row r="1232" spans="2:5" ht="15.75" hidden="1" customHeight="1">
      <c r="B1232" t="str">
        <f>Tuts!B1230</f>
        <v>MARTELO TROYA  MINI 23MM</v>
      </c>
      <c r="C1232" s="13">
        <f>Tuts!E1230</f>
        <v>34</v>
      </c>
      <c r="D1232" s="18">
        <f>Tuts!J1230</f>
        <v>29.857142857142858</v>
      </c>
      <c r="E1232" s="13">
        <f>Tuts!D1230</f>
        <v>20.9</v>
      </c>
    </row>
    <row r="1233" spans="2:5" ht="15.75" hidden="1" customHeight="1">
      <c r="B1233" t="str">
        <f>Tuts!B1231</f>
        <v>MASCARA C/ RESPIRADOR PFF2</v>
      </c>
      <c r="C1233" s="13">
        <f>Tuts!E1231</f>
        <v>4</v>
      </c>
      <c r="D1233" s="18">
        <f>Tuts!J1231</f>
        <v>2.7285714285714286</v>
      </c>
      <c r="E1233" s="13">
        <f>Tuts!D1231</f>
        <v>1.91</v>
      </c>
    </row>
    <row r="1234" spans="2:5" ht="15.75" hidden="1" customHeight="1">
      <c r="B1234" t="str">
        <f>Tuts!B1232</f>
        <v>MASSA DE CALAFETAR POLYTUBES 21 FILETE</v>
      </c>
      <c r="C1234" s="13">
        <f>Tuts!E1232</f>
        <v>1.5</v>
      </c>
      <c r="D1234" s="18">
        <f>Tuts!J1232</f>
        <v>0.81428571428571428</v>
      </c>
      <c r="E1234" s="13">
        <f>Tuts!D1232</f>
        <v>0.56999999999999995</v>
      </c>
    </row>
    <row r="1235" spans="2:5" ht="15.75" hidden="1" customHeight="1">
      <c r="B1235" t="str">
        <f>Tuts!B1233</f>
        <v>MASSA DE CALAFETAR POLYTUBES CX</v>
      </c>
      <c r="C1235" s="13">
        <f>Tuts!E1233</f>
        <v>12</v>
      </c>
      <c r="D1235" s="18">
        <f>Tuts!J1233</f>
        <v>10.971428571428572</v>
      </c>
      <c r="E1235" s="13">
        <f>Tuts!D1233</f>
        <v>7.68</v>
      </c>
    </row>
    <row r="1236" spans="2:5" ht="15.75" hidden="1" customHeight="1">
      <c r="B1236" t="str">
        <f>Tuts!B1234</f>
        <v>MASSA DE POLIR BRANCA N02 400G MEGACAR</v>
      </c>
      <c r="C1236" s="13">
        <f>Tuts!E1234</f>
        <v>0</v>
      </c>
      <c r="D1236" s="18">
        <f>Tuts!J1234</f>
        <v>17.971428571428572</v>
      </c>
      <c r="E1236" s="13">
        <f>Tuts!D1234</f>
        <v>12.58</v>
      </c>
    </row>
    <row r="1237" spans="2:5" ht="15.75" hidden="1" customHeight="1">
      <c r="B1237" t="str">
        <f>Tuts!B1235</f>
        <v>MASSA PLASTICA CARPLAST 400G</v>
      </c>
      <c r="C1237" s="13">
        <f>Tuts!E1235</f>
        <v>14.5</v>
      </c>
      <c r="D1237" s="18">
        <f>Tuts!J1235</f>
        <v>12.22857142857143</v>
      </c>
      <c r="E1237" s="13">
        <f>Tuts!D1235</f>
        <v>8.56</v>
      </c>
    </row>
    <row r="1238" spans="2:5" ht="15.75" hidden="1" customHeight="1">
      <c r="B1238" t="str">
        <f>Tuts!B1236</f>
        <v>MASSA PLASTICA ULTRALIGHT 495G</v>
      </c>
      <c r="C1238" s="13">
        <f>Tuts!E1236</f>
        <v>23.5</v>
      </c>
      <c r="D1238" s="18">
        <f>Tuts!J1236</f>
        <v>21.62857142857143</v>
      </c>
      <c r="E1238" s="13">
        <f>Tuts!D1236</f>
        <v>15.14</v>
      </c>
    </row>
    <row r="1239" spans="2:5" ht="15.75" hidden="1" customHeight="1">
      <c r="B1239" t="str">
        <f>Tuts!B1237</f>
        <v>MASSEIRA METAL 20L</v>
      </c>
      <c r="C1239" s="13">
        <f>Tuts!E1237</f>
        <v>55</v>
      </c>
      <c r="D1239" s="18">
        <f>Tuts!J1237</f>
        <v>51.000000000000007</v>
      </c>
      <c r="E1239" s="13">
        <f>Tuts!D1237</f>
        <v>35.700000000000003</v>
      </c>
    </row>
    <row r="1240" spans="2:5" ht="15.75" hidden="1" customHeight="1">
      <c r="B1240" t="str">
        <f>Tuts!B1238</f>
        <v>MASSEIRA PLASTICA 20L</v>
      </c>
      <c r="C1240" s="13">
        <f>Tuts!E1238</f>
        <v>30</v>
      </c>
      <c r="D1240" s="18">
        <f>Tuts!J1238</f>
        <v>26.12857142857143</v>
      </c>
      <c r="E1240" s="13">
        <f>Tuts!D1238</f>
        <v>18.29</v>
      </c>
    </row>
    <row r="1241" spans="2:5" ht="15.75" hidden="1" customHeight="1">
      <c r="B1241" t="str">
        <f>Tuts!B1239</f>
        <v>MAXI RUBBER BATIDA DE PEDRA</v>
      </c>
      <c r="C1241" s="13">
        <f>Tuts!E1239</f>
        <v>32</v>
      </c>
      <c r="D1241" s="18">
        <f>Tuts!J1239</f>
        <v>29.228571428571431</v>
      </c>
      <c r="E1241" s="13">
        <f>Tuts!D1239</f>
        <v>20.46</v>
      </c>
    </row>
    <row r="1242" spans="2:5" ht="15.75" hidden="1" customHeight="1">
      <c r="B1242" t="str">
        <f>Tuts!B1240</f>
        <v>MEGA DUCHA HIGIENICA PLASTICO</v>
      </c>
      <c r="C1242" s="13">
        <f>Tuts!E1240</f>
        <v>52</v>
      </c>
      <c r="D1242" s="18">
        <f>Tuts!J1240</f>
        <v>47.971428571428575</v>
      </c>
      <c r="E1242" s="13">
        <f>Tuts!D1240</f>
        <v>33.58</v>
      </c>
    </row>
    <row r="1243" spans="2:5" ht="15.75" hidden="1" customHeight="1">
      <c r="B1243" t="str">
        <f>Tuts!B1241</f>
        <v>METAIS REI SALVA REGISTRO S/ ACABAMENTO</v>
      </c>
      <c r="C1243" s="13">
        <f>Tuts!E1241</f>
        <v>45</v>
      </c>
      <c r="D1243" s="18">
        <f>Tuts!J1241</f>
        <v>39.857142857142854</v>
      </c>
      <c r="E1243" s="13">
        <f>Tuts!D1241</f>
        <v>27.9</v>
      </c>
    </row>
    <row r="1244" spans="2:5" ht="15.75" hidden="1" customHeight="1">
      <c r="B1244" t="str">
        <f>Tuts!B1242</f>
        <v>MINI PLAFON</v>
      </c>
      <c r="C1244" s="13">
        <f>Tuts!E1242</f>
        <v>5</v>
      </c>
      <c r="D1244" s="18">
        <f>Tuts!J1242</f>
        <v>3.5714285714285716</v>
      </c>
      <c r="E1244" s="13">
        <f>Tuts!D1242</f>
        <v>2.5</v>
      </c>
    </row>
    <row r="1245" spans="2:5" ht="15.75" hidden="1" customHeight="1">
      <c r="B1245" t="str">
        <f>Tuts!B1243</f>
        <v>MIOLO FECHADURA PILLER ALIANCA</v>
      </c>
      <c r="C1245" s="13">
        <f>Tuts!E1243</f>
        <v>28</v>
      </c>
      <c r="D1245" s="18">
        <f>Tuts!J1243</f>
        <v>25.714285714285715</v>
      </c>
      <c r="E1245" s="13">
        <f>Tuts!D1243</f>
        <v>18</v>
      </c>
    </row>
    <row r="1246" spans="2:5" ht="15.75" hidden="1" customHeight="1">
      <c r="B1246" t="str">
        <f>Tuts!B1244</f>
        <v>MIOLO FECHADURA STAM</v>
      </c>
      <c r="C1246" s="13">
        <f>Tuts!E1244</f>
        <v>30</v>
      </c>
      <c r="D1246" s="18">
        <f>Tuts!J1244</f>
        <v>27.728571428571431</v>
      </c>
      <c r="E1246" s="13">
        <f>Tuts!D1244</f>
        <v>19.41</v>
      </c>
    </row>
    <row r="1247" spans="2:5" ht="15.75" hidden="1" customHeight="1">
      <c r="B1247" t="str">
        <f>Tuts!B1245</f>
        <v>MISTURADOR DE TINTA</v>
      </c>
      <c r="C1247" s="13">
        <f>Tuts!E1245</f>
        <v>32</v>
      </c>
      <c r="D1247" s="18">
        <f>Tuts!J1245</f>
        <v>28.128571428571433</v>
      </c>
      <c r="E1247" s="13">
        <f>Tuts!D1245</f>
        <v>19.690000000000001</v>
      </c>
    </row>
    <row r="1248" spans="2:5" ht="15.75" hidden="1" customHeight="1">
      <c r="B1248" t="str">
        <f>Tuts!B1246</f>
        <v xml:space="preserve">MIX BOIA VAZAO TOTAL </v>
      </c>
      <c r="C1248" s="13">
        <f>Tuts!E1246</f>
        <v>80</v>
      </c>
      <c r="D1248" s="18">
        <f>Tuts!J1246</f>
        <v>74.285714285714292</v>
      </c>
      <c r="E1248" s="13">
        <f>Tuts!D1246</f>
        <v>52</v>
      </c>
    </row>
    <row r="1249" spans="2:5" ht="15.75" hidden="1" customHeight="1">
      <c r="B1249" t="str">
        <f>Tuts!B1247</f>
        <v>MIX REPARO 903</v>
      </c>
      <c r="C1249" s="13">
        <f>Tuts!E1247</f>
        <v>13.9</v>
      </c>
      <c r="D1249" s="18">
        <f>Tuts!J1247</f>
        <v>12.857142857142858</v>
      </c>
      <c r="E1249" s="13">
        <f>Tuts!D1247</f>
        <v>9</v>
      </c>
    </row>
    <row r="1250" spans="2:5" ht="15.75" hidden="1" customHeight="1">
      <c r="B1250" t="str">
        <f>Tuts!B1248</f>
        <v>MIX REPAROS VEDADOR LAVATORIO 912</v>
      </c>
      <c r="C1250" s="13">
        <f>Tuts!E1248</f>
        <v>12.5</v>
      </c>
      <c r="D1250" s="18">
        <f>Tuts!J1248</f>
        <v>11.285714285714286</v>
      </c>
      <c r="E1250" s="13">
        <f>Tuts!D1248</f>
        <v>7.9</v>
      </c>
    </row>
    <row r="1251" spans="2:5" ht="15.75" hidden="1" customHeight="1">
      <c r="B1251" t="str">
        <f>Tuts!B1249</f>
        <v>MIX REPAROS VEDADOR TANQUE 903</v>
      </c>
      <c r="C1251" s="13">
        <f>Tuts!E1249</f>
        <v>12.5</v>
      </c>
      <c r="D1251" s="18">
        <f>Tuts!J1249</f>
        <v>11.428571428571429</v>
      </c>
      <c r="E1251" s="13">
        <f>Tuts!D1249</f>
        <v>8</v>
      </c>
    </row>
    <row r="1252" spans="2:5" ht="15.75" hidden="1" customHeight="1">
      <c r="B1252" t="str">
        <f>Tuts!B1250</f>
        <v>MIX REPAROS VEDADOR VALVULA AMERICANA 913</v>
      </c>
      <c r="C1252" s="13">
        <f>Tuts!E1250</f>
        <v>13</v>
      </c>
      <c r="D1252" s="18">
        <f>Tuts!J1250</f>
        <v>11.714285714285714</v>
      </c>
      <c r="E1252" s="13">
        <f>Tuts!D1250</f>
        <v>8.1999999999999993</v>
      </c>
    </row>
    <row r="1253" spans="2:5" ht="15.75" hidden="1" customHeight="1">
      <c r="B1253" t="str">
        <f>Tuts!B1251</f>
        <v>MOR FAROL LANTERNA HOLOFOTE POWER LED 140 LUMENS</v>
      </c>
      <c r="C1253" s="13">
        <f>Tuts!E1251</f>
        <v>38.9</v>
      </c>
      <c r="D1253" s="18">
        <f>Tuts!J1251</f>
        <v>35.68571428571429</v>
      </c>
      <c r="E1253" s="13">
        <f>Tuts!D1251</f>
        <v>24.98</v>
      </c>
    </row>
    <row r="1254" spans="2:5" ht="15.75" hidden="1" customHeight="1">
      <c r="B1254" t="str">
        <f>Tuts!B1252</f>
        <v>MOR FAROL LANTERNA HOLOFOTE POWER LED 150 LUMENS</v>
      </c>
      <c r="C1254" s="13">
        <f>Tuts!E1252</f>
        <v>44.8</v>
      </c>
      <c r="D1254" s="18">
        <f>Tuts!J1252</f>
        <v>40.542857142857144</v>
      </c>
      <c r="E1254" s="13">
        <f>Tuts!D1252</f>
        <v>28.38</v>
      </c>
    </row>
    <row r="1255" spans="2:5" ht="15.75" hidden="1" customHeight="1">
      <c r="B1255" t="str">
        <f>Tuts!B1253</f>
        <v>MOR FAROL LANTERNA HOLOFOTE POWER LED 250 LUMENS</v>
      </c>
      <c r="C1255" s="13">
        <f>Tuts!E1253</f>
        <v>52.9</v>
      </c>
      <c r="D1255" s="18">
        <f>Tuts!J1253</f>
        <v>47.557142857142857</v>
      </c>
      <c r="E1255" s="13">
        <f>Tuts!D1253</f>
        <v>33.29</v>
      </c>
    </row>
    <row r="1256" spans="2:5" ht="15.75" hidden="1" customHeight="1">
      <c r="B1256" t="str">
        <f>Tuts!B1254</f>
        <v>MOR FAROL LANTERNA HOLOFOTE POWER LED 265 LUMENS</v>
      </c>
      <c r="C1256" s="13">
        <f>Tuts!E1254</f>
        <v>109.9</v>
      </c>
      <c r="D1256" s="18">
        <f>Tuts!J1254</f>
        <v>101.14285714285714</v>
      </c>
      <c r="E1256" s="13">
        <f>Tuts!D1254</f>
        <v>70.8</v>
      </c>
    </row>
    <row r="1257" spans="2:5" ht="15.75" hidden="1" customHeight="1">
      <c r="B1257" t="str">
        <f>Tuts!B1255</f>
        <v>MOR FAROL LANTERNA HOLOFOTE POWER LED 65 LUMENS</v>
      </c>
      <c r="C1257" s="13">
        <f>Tuts!E1255</f>
        <v>32.799999999999997</v>
      </c>
      <c r="D1257" s="18">
        <f>Tuts!J1255</f>
        <v>29.314285714285717</v>
      </c>
      <c r="E1257" s="13">
        <f>Tuts!D1255</f>
        <v>20.52</v>
      </c>
    </row>
    <row r="1258" spans="2:5" ht="15.75" hidden="1" customHeight="1">
      <c r="B1258" t="str">
        <f>Tuts!B1256</f>
        <v>MOR GARRAFA BULE 650ML VERMELHO/AMARELO</v>
      </c>
      <c r="C1258" s="13">
        <f>Tuts!E1256</f>
        <v>42.9</v>
      </c>
      <c r="D1258" s="18">
        <f>Tuts!J1256</f>
        <v>36.6</v>
      </c>
      <c r="E1258" s="13">
        <f>Tuts!D1256</f>
        <v>25.62</v>
      </c>
    </row>
    <row r="1259" spans="2:5" ht="15.75" hidden="1" customHeight="1">
      <c r="B1259" t="str">
        <f>Tuts!B1257</f>
        <v>MOR GARRAFA CAFÉ 1L RUBI/AZUL</v>
      </c>
      <c r="C1259" s="13">
        <f>Tuts!E1257</f>
        <v>25.8</v>
      </c>
      <c r="D1259" s="18">
        <f>Tuts!J1257</f>
        <v>23.814285714285717</v>
      </c>
      <c r="E1259" s="13">
        <f>Tuts!D1257</f>
        <v>16.670000000000002</v>
      </c>
    </row>
    <row r="1260" spans="2:5" ht="15.75" hidden="1" customHeight="1">
      <c r="B1260" t="str">
        <f>Tuts!B1258</f>
        <v>MOR GARRAFA CAFÉ DECORADA 1L BRANCA</v>
      </c>
      <c r="C1260" s="13">
        <f>Tuts!E1258</f>
        <v>39.9</v>
      </c>
      <c r="D1260" s="18">
        <f>Tuts!J1258</f>
        <v>33.900000000000006</v>
      </c>
      <c r="E1260" s="13">
        <f>Tuts!D1258</f>
        <v>23.73</v>
      </c>
    </row>
    <row r="1261" spans="2:5" ht="15.75" hidden="1" customHeight="1">
      <c r="B1261" t="str">
        <f>Tuts!B1259</f>
        <v>MOR GARRAFA CAFÉ PRESSAO NOBILE 1L PRETA</v>
      </c>
      <c r="C1261" s="13">
        <f>Tuts!E1259</f>
        <v>60</v>
      </c>
      <c r="D1261" s="18">
        <f>Tuts!J1259</f>
        <v>54.257142857142853</v>
      </c>
      <c r="E1261" s="13">
        <f>Tuts!D1259</f>
        <v>37.979999999999997</v>
      </c>
    </row>
    <row r="1262" spans="2:5" ht="15.75" hidden="1" customHeight="1">
      <c r="B1262" t="str">
        <f>Tuts!B1260</f>
        <v>MOR GUARDA CHUVA PRETO</v>
      </c>
      <c r="C1262" s="13">
        <f>Tuts!E1260</f>
        <v>35.9</v>
      </c>
      <c r="D1262" s="18">
        <f>Tuts!J1260</f>
        <v>31.800000000000004</v>
      </c>
      <c r="E1262" s="13">
        <f>Tuts!D1260</f>
        <v>22.26</v>
      </c>
    </row>
    <row r="1263" spans="2:5" ht="15.75" hidden="1" customHeight="1">
      <c r="B1263" t="str">
        <f>Tuts!B1261</f>
        <v>MOR GUARDA CHUVA SORTIDO</v>
      </c>
      <c r="C1263" s="13">
        <f>Tuts!E1261</f>
        <v>25</v>
      </c>
      <c r="D1263" s="18">
        <f>Tuts!J1261</f>
        <v>21.985714285714288</v>
      </c>
      <c r="E1263" s="13">
        <f>Tuts!D1261</f>
        <v>15.39</v>
      </c>
    </row>
    <row r="1264" spans="2:5" ht="15.75" hidden="1" customHeight="1">
      <c r="B1264" t="str">
        <f>Tuts!B1262</f>
        <v>MOR LIXEIRA AGATA 5L</v>
      </c>
      <c r="C1264" s="13">
        <f>Tuts!E1262</f>
        <v>60</v>
      </c>
      <c r="D1264" s="18">
        <f>Tuts!J1262</f>
        <v>51.414285714285718</v>
      </c>
      <c r="E1264" s="13">
        <f>Tuts!D1262</f>
        <v>35.99</v>
      </c>
    </row>
    <row r="1265" spans="1:5" ht="15.75" hidden="1" customHeight="1">
      <c r="B1265" t="str">
        <f>Tuts!B1263</f>
        <v xml:space="preserve">MOR VARAL DE CHÃO C/ ABAS </v>
      </c>
      <c r="C1265" s="13">
        <f>Tuts!E1263</f>
        <v>127</v>
      </c>
      <c r="D1265" s="18">
        <f>Tuts!J1263</f>
        <v>116.1857142857143</v>
      </c>
      <c r="E1265" s="13">
        <f>Tuts!D1263</f>
        <v>81.33</v>
      </c>
    </row>
    <row r="1266" spans="1:5" ht="15.75" hidden="1" customHeight="1">
      <c r="B1266" t="str">
        <f>Tuts!B1264</f>
        <v>MULTIMETRO DIGITAL</v>
      </c>
      <c r="C1266" s="13">
        <f>Tuts!E1264</f>
        <v>36</v>
      </c>
      <c r="D1266" s="18">
        <f>Tuts!J1264</f>
        <v>35.6</v>
      </c>
      <c r="E1266" s="13">
        <f>Tuts!D1264</f>
        <v>24.92</v>
      </c>
    </row>
    <row r="1267" spans="1:5" ht="15.75" hidden="1" customHeight="1">
      <c r="B1267" t="str">
        <f>Tuts!B1265</f>
        <v>NEUTROL ACQUA 3,6L</v>
      </c>
      <c r="C1267" s="13">
        <f>Tuts!E1265</f>
        <v>123</v>
      </c>
      <c r="D1267" s="18">
        <f>Tuts!J1265</f>
        <v>113.14285714285715</v>
      </c>
      <c r="E1267" s="13">
        <f>Tuts!D1265</f>
        <v>79.2</v>
      </c>
    </row>
    <row r="1268" spans="1:5" ht="15.75" hidden="1" customHeight="1">
      <c r="B1268" t="str">
        <f>Tuts!B1266</f>
        <v>NEUTROL ACQUA 900ml</v>
      </c>
      <c r="C1268" s="13">
        <f>Tuts!E1266</f>
        <v>39</v>
      </c>
      <c r="D1268" s="18">
        <f>Tuts!J1266</f>
        <v>35.285714285714285</v>
      </c>
      <c r="E1268" s="13">
        <f>Tuts!D1266</f>
        <v>24.7</v>
      </c>
    </row>
    <row r="1269" spans="1:5" ht="15.75" hidden="1" customHeight="1">
      <c r="B1269" t="str">
        <f>Tuts!B1267</f>
        <v>NILO AREJADOR ARTICULADO ABS 3/4</v>
      </c>
      <c r="C1269" s="13">
        <f>Tuts!E1267</f>
        <v>8</v>
      </c>
      <c r="D1269" s="18">
        <f>Tuts!J1267</f>
        <v>7.1428571428571432</v>
      </c>
      <c r="E1269" s="13">
        <f>Tuts!D1267</f>
        <v>5</v>
      </c>
    </row>
    <row r="1270" spans="1:5" ht="15.75" hidden="1" customHeight="1">
      <c r="A1270" t="s">
        <v>1065</v>
      </c>
      <c r="B1270" t="str">
        <f>Tuts!B1268</f>
        <v>NILO BARRA DE APOIO 60CM CROMADO</v>
      </c>
      <c r="C1270" s="13">
        <f>Tuts!E1268</f>
        <v>95</v>
      </c>
      <c r="D1270" s="18">
        <f>Tuts!J1268</f>
        <v>85.571428571428569</v>
      </c>
      <c r="E1270" s="13">
        <f>Tuts!D1268</f>
        <v>59.9</v>
      </c>
    </row>
    <row r="1271" spans="1:5" ht="15.75" hidden="1" customHeight="1">
      <c r="B1271" t="str">
        <f>Tuts!B1269</f>
        <v>NILO CHAVETA CROMADA  C33 R01</v>
      </c>
      <c r="C1271" s="13">
        <f>Tuts!E1269</f>
        <v>18.5</v>
      </c>
      <c r="D1271" s="18">
        <f>Tuts!J1269</f>
        <v>16.942857142857143</v>
      </c>
      <c r="E1271" s="13">
        <f>Tuts!D1269</f>
        <v>11.86</v>
      </c>
    </row>
    <row r="1272" spans="1:5" ht="18.75" hidden="1" customHeight="1">
      <c r="B1272" t="str">
        <f>Tuts!B1270</f>
        <v>NILO CHAVETA CROMADA  R01</v>
      </c>
      <c r="C1272" s="13">
        <f>Tuts!E1270</f>
        <v>16</v>
      </c>
      <c r="D1272" s="18">
        <f>Tuts!J1270</f>
        <v>14.785714285714286</v>
      </c>
      <c r="E1272" s="13">
        <f>Tuts!D1270</f>
        <v>10.35</v>
      </c>
    </row>
    <row r="1273" spans="1:5" ht="17.25" hidden="1" customHeight="1">
      <c r="B1273" t="str">
        <f>Tuts!B1271</f>
        <v>NILO MECANISMO M18</v>
      </c>
      <c r="C1273" s="13">
        <f>Tuts!E1271</f>
        <v>16</v>
      </c>
      <c r="D1273" s="18">
        <f>Tuts!J1271</f>
        <v>14.142857142857144</v>
      </c>
      <c r="E1273" s="13">
        <f>Tuts!D1271</f>
        <v>9.9</v>
      </c>
    </row>
    <row r="1274" spans="1:5" ht="15.75" hidden="1" customHeight="1">
      <c r="B1274" t="str">
        <f>Tuts!B1272</f>
        <v>NILO REGISTRO DE PRESSAO 3/4 1400 NILO</v>
      </c>
      <c r="C1274" s="13">
        <f>Tuts!E1272</f>
        <v>32</v>
      </c>
      <c r="D1274" s="18">
        <f>Tuts!J1272</f>
        <v>28.428571428571427</v>
      </c>
      <c r="E1274" s="13">
        <f>Tuts!D1272</f>
        <v>19.899999999999999</v>
      </c>
    </row>
    <row r="1275" spans="1:5" ht="15.75" hidden="1" customHeight="1">
      <c r="B1275" t="str">
        <f>Tuts!B1273</f>
        <v>NILO REGISTRO GAVETA 1.1/2</v>
      </c>
      <c r="C1275" s="13">
        <f>Tuts!E1273</f>
        <v>148</v>
      </c>
      <c r="D1275" s="18">
        <f>Tuts!J1273</f>
        <v>132.71428571428572</v>
      </c>
      <c r="E1275" s="13">
        <f>Tuts!D1273</f>
        <v>92.9</v>
      </c>
    </row>
    <row r="1276" spans="1:5" ht="15.75" hidden="1" customHeight="1">
      <c r="B1276" t="str">
        <f>Tuts!B1274</f>
        <v>NILO REGISTRO METAL DUCHA HIGIENICA</v>
      </c>
      <c r="C1276" s="13">
        <f>Tuts!E1274</f>
        <v>36</v>
      </c>
      <c r="D1276" s="18">
        <f>Tuts!J1274</f>
        <v>32.714285714285715</v>
      </c>
      <c r="E1276" s="13">
        <f>Tuts!D1274</f>
        <v>22.9</v>
      </c>
    </row>
    <row r="1277" spans="1:5" ht="15.75" hidden="1" customHeight="1">
      <c r="B1277" t="str">
        <f>Tuts!B1275</f>
        <v>NILO REPARO CHAVETA AMARELA</v>
      </c>
      <c r="C1277" s="13">
        <f>Tuts!E1275</f>
        <v>14</v>
      </c>
      <c r="D1277" s="18">
        <f>Tuts!J1275</f>
        <v>12.714285714285715</v>
      </c>
      <c r="E1277" s="13">
        <f>Tuts!D1275</f>
        <v>8.9</v>
      </c>
    </row>
    <row r="1278" spans="1:5" ht="15.75" hidden="1" customHeight="1">
      <c r="B1278" t="str">
        <f>Tuts!B1276</f>
        <v>NILO REPARO REGISTRO R6</v>
      </c>
      <c r="C1278" s="13">
        <f>Tuts!E1276</f>
        <v>40</v>
      </c>
      <c r="D1278" s="18">
        <f>Tuts!J1276</f>
        <v>22.714285714285715</v>
      </c>
      <c r="E1278" s="13">
        <f>Tuts!D1276</f>
        <v>15.9</v>
      </c>
    </row>
    <row r="1279" spans="1:5" ht="15.75" hidden="1" customHeight="1">
      <c r="B1279" t="str">
        <f>Tuts!B1277</f>
        <v>NILO REPARO REGISTRO R8</v>
      </c>
      <c r="C1279" s="13">
        <f>Tuts!E1277</f>
        <v>40</v>
      </c>
      <c r="D1279" s="18">
        <f>Tuts!J1277</f>
        <v>22.714285714285715</v>
      </c>
      <c r="E1279" s="13">
        <f>Tuts!D1277</f>
        <v>15.9</v>
      </c>
    </row>
    <row r="1280" spans="1:5" ht="15.75" hidden="1" customHeight="1">
      <c r="B1280" t="str">
        <f>Tuts!B1278</f>
        <v>NILO TORNEIRA ABS ALTA CROMADA</v>
      </c>
      <c r="C1280" s="13">
        <f>Tuts!E1278</f>
        <v>35.9</v>
      </c>
      <c r="D1280" s="18">
        <f>Tuts!J1278</f>
        <v>32.428571428571431</v>
      </c>
      <c r="E1280" s="13">
        <f>Tuts!D1278</f>
        <v>22.7</v>
      </c>
    </row>
    <row r="1281" spans="2:5" ht="15.75" hidden="1" customHeight="1">
      <c r="B1281" t="str">
        <f>Tuts!B1279</f>
        <v>NILO TORNEIRA ABS TANQUE/JARDIM</v>
      </c>
      <c r="C1281" s="13">
        <f>Tuts!E1279</f>
        <v>21.5</v>
      </c>
      <c r="D1281" s="18">
        <f>Tuts!J1279</f>
        <v>18.314285714285717</v>
      </c>
      <c r="E1281" s="13">
        <f>Tuts!D1279</f>
        <v>12.82</v>
      </c>
    </row>
    <row r="1282" spans="2:5" ht="15.75" hidden="1" customHeight="1">
      <c r="B1282" t="str">
        <f>Tuts!B1280</f>
        <v>NILO TORNEIRA ABS TANQUE/MAQUINA CROMADA</v>
      </c>
      <c r="C1282" s="13">
        <f>Tuts!E1280</f>
        <v>42</v>
      </c>
      <c r="D1282" s="18">
        <f>Tuts!J1280</f>
        <v>37.114285714285714</v>
      </c>
      <c r="E1282" s="13">
        <f>Tuts!D1280</f>
        <v>25.98</v>
      </c>
    </row>
    <row r="1283" spans="2:5" ht="15.75" hidden="1" customHeight="1">
      <c r="B1283" t="str">
        <f>Tuts!B1281</f>
        <v>NILO TORNEIRA BANCADA BICA MOVEL GOURMT RED</v>
      </c>
      <c r="C1283" s="13">
        <f>Tuts!E1281</f>
        <v>105</v>
      </c>
      <c r="D1283" s="18">
        <f>Tuts!J1281</f>
        <v>95.571428571428584</v>
      </c>
      <c r="E1283" s="13">
        <f>Tuts!D1281</f>
        <v>66.900000000000006</v>
      </c>
    </row>
    <row r="1284" spans="2:5" ht="15.75" hidden="1" customHeight="1">
      <c r="B1284" t="str">
        <f>Tuts!B1282</f>
        <v>NILO TORNEIRA PIA BICA MOVEL GOURMET BLACK</v>
      </c>
      <c r="C1284" s="13">
        <f>Tuts!E1282</f>
        <v>116</v>
      </c>
      <c r="D1284" s="18">
        <f>Tuts!J1282</f>
        <v>107.00000000000001</v>
      </c>
      <c r="E1284" s="13">
        <f>Tuts!D1282</f>
        <v>74.900000000000006</v>
      </c>
    </row>
    <row r="1285" spans="2:5" ht="15.75" hidden="1" customHeight="1">
      <c r="B1285" t="str">
        <f>Tuts!B1283</f>
        <v>NIVEL ALUMINIO FOXLUX 16''</v>
      </c>
      <c r="C1285" s="13">
        <f>Tuts!E1283</f>
        <v>62</v>
      </c>
      <c r="D1285" s="18">
        <f>Tuts!J1283</f>
        <v>55.75714285714286</v>
      </c>
      <c r="E1285" s="13">
        <f>Tuts!D1283</f>
        <v>39.03</v>
      </c>
    </row>
    <row r="1286" spans="2:5" ht="15.75" hidden="1" customHeight="1">
      <c r="B1286" t="str">
        <f>Tuts!B1284</f>
        <v>NIVEL ALUMINIO FOXLUX 20''</v>
      </c>
      <c r="C1286" s="13">
        <f>Tuts!E1284</f>
        <v>72</v>
      </c>
      <c r="D1286" s="18">
        <f>Tuts!J1284</f>
        <v>65.328571428571422</v>
      </c>
      <c r="E1286" s="13">
        <f>Tuts!D1284</f>
        <v>45.73</v>
      </c>
    </row>
    <row r="1287" spans="2:5" ht="15.75" hidden="1" customHeight="1">
      <c r="B1287" t="str">
        <f>Tuts!B1285</f>
        <v>NIVEL ALUMINIO FOXLUX 24''</v>
      </c>
      <c r="C1287" s="13">
        <f>Tuts!E1285</f>
        <v>83</v>
      </c>
      <c r="D1287" s="18">
        <f>Tuts!J1285</f>
        <v>76.842857142857142</v>
      </c>
      <c r="E1287" s="13">
        <f>Tuts!D1285</f>
        <v>53.79</v>
      </c>
    </row>
    <row r="1288" spans="2:5" ht="15.75" hidden="1" customHeight="1">
      <c r="B1288" t="str">
        <f>Tuts!B1286</f>
        <v>NIVEL PROFIELD 30CM</v>
      </c>
      <c r="C1288" s="13">
        <f>Tuts!E1286</f>
        <v>19.899999999999999</v>
      </c>
      <c r="D1288" s="18">
        <f>Tuts!J1286</f>
        <v>18.428571428571431</v>
      </c>
      <c r="E1288" s="13">
        <f>Tuts!D1286</f>
        <v>12.9</v>
      </c>
    </row>
    <row r="1289" spans="2:5" ht="15.75" hidden="1" customHeight="1">
      <c r="B1289" t="str">
        <f>Tuts!B1287</f>
        <v>NIVEL PROFIELD 45CM</v>
      </c>
      <c r="C1289" s="13">
        <f>Tuts!E1287</f>
        <v>28</v>
      </c>
      <c r="D1289" s="18">
        <f>Tuts!J1287</f>
        <v>24.142857142857142</v>
      </c>
      <c r="E1289" s="13">
        <f>Tuts!D1287</f>
        <v>16.899999999999999</v>
      </c>
    </row>
    <row r="1290" spans="2:5" ht="15.75" hidden="1" customHeight="1">
      <c r="B1290" t="str">
        <f>Tuts!B1288</f>
        <v>NIVEL PROFIELD 60CM</v>
      </c>
      <c r="C1290" s="13">
        <f>Tuts!E1288</f>
        <v>34</v>
      </c>
      <c r="D1290" s="18">
        <f>Tuts!J1288</f>
        <v>29.857142857142858</v>
      </c>
      <c r="E1290" s="13">
        <f>Tuts!D1288</f>
        <v>20.9</v>
      </c>
    </row>
    <row r="1291" spans="2:5" ht="15.75" hidden="1" customHeight="1">
      <c r="B1291" t="str">
        <f>Tuts!B1289</f>
        <v>NOVA LIGA 1L</v>
      </c>
      <c r="C1291" s="13">
        <f>Tuts!E1289</f>
        <v>12</v>
      </c>
      <c r="D1291" s="18">
        <f>Tuts!J1289</f>
        <v>7.7</v>
      </c>
      <c r="E1291" s="13">
        <f>Tuts!D1289</f>
        <v>5.39</v>
      </c>
    </row>
    <row r="1292" spans="2:5" ht="15.75" hidden="1" customHeight="1">
      <c r="B1292" t="str">
        <f>Tuts!B1290</f>
        <v>NUMERO ALUMINIO</v>
      </c>
      <c r="C1292" s="13">
        <f>Tuts!E1290</f>
        <v>9.8000000000000007</v>
      </c>
      <c r="D1292" s="18">
        <f>Tuts!J1290</f>
        <v>8.9714285714285715</v>
      </c>
      <c r="E1292" s="13">
        <f>Tuts!D1290</f>
        <v>6.28</v>
      </c>
    </row>
    <row r="1293" spans="2:5" ht="15.75" hidden="1" customHeight="1">
      <c r="B1293" t="str">
        <f>Tuts!B1291</f>
        <v>NUMERO ESPELHADO</v>
      </c>
      <c r="C1293" s="13">
        <f>Tuts!E1291</f>
        <v>10.5</v>
      </c>
      <c r="D1293" s="18">
        <f>Tuts!J1291</f>
        <v>9.7142857142857153</v>
      </c>
      <c r="E1293" s="13">
        <f>Tuts!D1291</f>
        <v>6.8</v>
      </c>
    </row>
    <row r="1294" spans="2:5" ht="15.75" hidden="1" customHeight="1">
      <c r="B1294" t="str">
        <f>Tuts!B1292</f>
        <v>Oleo Singer 100ml</v>
      </c>
      <c r="C1294" s="13">
        <f>Tuts!E1292</f>
        <v>8</v>
      </c>
      <c r="D1294" s="18">
        <f>Tuts!J1292</f>
        <v>8.2857142857142865</v>
      </c>
      <c r="E1294" s="13">
        <f>Tuts!D1292</f>
        <v>5.8</v>
      </c>
    </row>
    <row r="1295" spans="2:5" ht="15.75" hidden="1" customHeight="1">
      <c r="B1295" t="str">
        <f>Tuts!B1293</f>
        <v>ORGANIZADOR FIOS 10MT</v>
      </c>
      <c r="C1295" s="13">
        <f>Tuts!E1293</f>
        <v>28</v>
      </c>
      <c r="D1295" s="18">
        <f>Tuts!J1293</f>
        <v>25.542857142857144</v>
      </c>
      <c r="E1295" s="13">
        <f>Tuts!D1293</f>
        <v>17.88</v>
      </c>
    </row>
    <row r="1296" spans="2:5" ht="15.75" hidden="1" customHeight="1">
      <c r="B1296" t="str">
        <f>Tuts!B1294</f>
        <v>PA COM CABO QUADRADA MOMFORT</v>
      </c>
      <c r="C1296" s="13">
        <f>Tuts!E1294</f>
        <v>60</v>
      </c>
      <c r="D1296" s="18">
        <f>Tuts!J1294</f>
        <v>54.771428571428579</v>
      </c>
      <c r="E1296" s="13">
        <f>Tuts!D1294</f>
        <v>38.340000000000003</v>
      </c>
    </row>
    <row r="1297" spans="2:5" ht="15.75" hidden="1" customHeight="1">
      <c r="B1297" t="str">
        <f>Tuts!B1295</f>
        <v>PA DE BICO MOMFORT</v>
      </c>
      <c r="C1297" s="13">
        <f>Tuts!E1295</f>
        <v>42</v>
      </c>
      <c r="D1297" s="18">
        <f>Tuts!J1295</f>
        <v>37.785714285714285</v>
      </c>
      <c r="E1297" s="13">
        <f>Tuts!D1295</f>
        <v>26.45</v>
      </c>
    </row>
    <row r="1298" spans="2:5" ht="15.75" hidden="1" customHeight="1">
      <c r="B1298" t="str">
        <f>Tuts!B1296</f>
        <v>PA DE LIXO AÇO</v>
      </c>
      <c r="C1298" s="13">
        <f>Tuts!E1296</f>
        <v>15</v>
      </c>
      <c r="D1298" s="18">
        <f>Tuts!J1296</f>
        <v>13.542857142857144</v>
      </c>
      <c r="E1298" s="13">
        <f>Tuts!D1296</f>
        <v>9.48</v>
      </c>
    </row>
    <row r="1299" spans="2:5" ht="15.75" hidden="1" customHeight="1">
      <c r="B1299" t="str">
        <f>Tuts!B1297</f>
        <v>PA DE LIXO PLASTICO</v>
      </c>
      <c r="C1299" s="13">
        <f>Tuts!E1297</f>
        <v>12</v>
      </c>
      <c r="D1299" s="18">
        <f>Tuts!J1297</f>
        <v>9.3285714285714292</v>
      </c>
      <c r="E1299" s="13">
        <f>Tuts!D1297</f>
        <v>6.53</v>
      </c>
    </row>
    <row r="1300" spans="2:5" ht="15.75" hidden="1" customHeight="1">
      <c r="B1300" t="str">
        <f>Tuts!B1298</f>
        <v>PACETA COLHER DE PEDREIRO</v>
      </c>
      <c r="C1300" s="13">
        <f>Tuts!E1298</f>
        <v>42.3</v>
      </c>
      <c r="D1300" s="18">
        <f>Tuts!J1298</f>
        <v>45.557142857142864</v>
      </c>
      <c r="E1300" s="13">
        <f>Tuts!D1298</f>
        <v>31.89</v>
      </c>
    </row>
    <row r="1301" spans="2:5" ht="15.75" hidden="1" customHeight="1">
      <c r="B1301" t="str">
        <f>Tuts!B1299</f>
        <v>PAG DESEMPENADEIRA DENTADA 25X12</v>
      </c>
      <c r="C1301" s="13">
        <f>Tuts!E1299</f>
        <v>34.9</v>
      </c>
      <c r="D1301" s="18">
        <f>Tuts!J1299</f>
        <v>31.285714285714285</v>
      </c>
      <c r="E1301" s="13">
        <f>Tuts!D1299</f>
        <v>21.9</v>
      </c>
    </row>
    <row r="1302" spans="2:5" ht="15.75" hidden="1" customHeight="1">
      <c r="B1302" t="str">
        <f>Tuts!B1300</f>
        <v>PAG DESEMPENADEIRA DENTADA 30X12</v>
      </c>
      <c r="C1302" s="13">
        <f>Tuts!E1300</f>
        <v>39.9</v>
      </c>
      <c r="D1302" s="18">
        <f>Tuts!J1300</f>
        <v>35.571428571428569</v>
      </c>
      <c r="E1302" s="13">
        <f>Tuts!D1300</f>
        <v>24.9</v>
      </c>
    </row>
    <row r="1303" spans="2:5" ht="15.75" hidden="1" customHeight="1">
      <c r="B1303" t="str">
        <f>Tuts!B1301</f>
        <v>PAG DESEMPENADEIRA DENTADA 35X12</v>
      </c>
      <c r="C1303" s="13">
        <f>Tuts!E1301</f>
        <v>42</v>
      </c>
      <c r="D1303" s="18">
        <f>Tuts!J1301</f>
        <v>37.428571428571431</v>
      </c>
      <c r="E1303" s="13">
        <f>Tuts!D1301</f>
        <v>26.2</v>
      </c>
    </row>
    <row r="1304" spans="2:5" ht="15.75" hidden="1" customHeight="1">
      <c r="B1304" t="str">
        <f>Tuts!B1302</f>
        <v xml:space="preserve">PAG DESEMPENADEIRA LISA AÇO 30 X 12 </v>
      </c>
      <c r="C1304" s="13">
        <f>Tuts!E1302</f>
        <v>39.9</v>
      </c>
      <c r="D1304" s="18">
        <f>Tuts!J1302</f>
        <v>36</v>
      </c>
      <c r="E1304" s="13">
        <f>Tuts!D1302</f>
        <v>25.2</v>
      </c>
    </row>
    <row r="1305" spans="2:5" ht="15.75" hidden="1" customHeight="1">
      <c r="B1305" t="str">
        <f>Tuts!B1303</f>
        <v xml:space="preserve">PAG DESEMPENADEIRA PORCELANATO GALOCHA 35X12 </v>
      </c>
      <c r="C1305" s="13">
        <f>Tuts!E1303</f>
        <v>42</v>
      </c>
      <c r="D1305" s="18">
        <f>Tuts!J1303</f>
        <v>37.428571428571431</v>
      </c>
      <c r="E1305" s="13">
        <f>Tuts!D1303</f>
        <v>26.2</v>
      </c>
    </row>
    <row r="1306" spans="2:5" ht="15.75" hidden="1" customHeight="1">
      <c r="B1306" t="str">
        <f>Tuts!B1304</f>
        <v>PALHA DE AÇO N02 AÇO BOM</v>
      </c>
      <c r="C1306" s="13">
        <f>Tuts!E1304</f>
        <v>2.5</v>
      </c>
      <c r="D1306" s="18">
        <f>Tuts!J1304</f>
        <v>1.657142857142857</v>
      </c>
      <c r="E1306" s="13">
        <f>Tuts!D1304</f>
        <v>1.1599999999999999</v>
      </c>
    </row>
    <row r="1307" spans="2:5" ht="15.75" hidden="1" customHeight="1">
      <c r="B1307" t="str">
        <f>Tuts!B1305</f>
        <v>PAMPA ROLO LA ALTA NATURAL HOBBY 23CM</v>
      </c>
      <c r="C1307" s="13">
        <f>Tuts!E1305</f>
        <v>20</v>
      </c>
      <c r="D1307" s="18">
        <f>Tuts!J1305</f>
        <v>18.428571428571431</v>
      </c>
      <c r="E1307" s="13">
        <f>Tuts!D1305</f>
        <v>12.9</v>
      </c>
    </row>
    <row r="1308" spans="2:5" ht="15.75" hidden="1" customHeight="1">
      <c r="B1308" t="str">
        <f>Tuts!B1306</f>
        <v>PAMPA ROLO LA ANTI-GOTA BRANCO/AMARELO BRANCO/VERDE 23CM</v>
      </c>
      <c r="C1308" s="13">
        <f>Tuts!E1306</f>
        <v>14</v>
      </c>
      <c r="D1308" s="18">
        <f>Tuts!J1306</f>
        <v>11.285714285714286</v>
      </c>
      <c r="E1308" s="13">
        <f>Tuts!D1306</f>
        <v>7.9</v>
      </c>
    </row>
    <row r="1309" spans="2:5" ht="15.75" hidden="1" customHeight="1">
      <c r="B1309" t="str">
        <f>Tuts!B1307</f>
        <v>PAMPA ROLO LA ANTI-GOTA VERMELHO 23CM</v>
      </c>
      <c r="C1309" s="13">
        <f>Tuts!E1307</f>
        <v>16</v>
      </c>
      <c r="D1309" s="18">
        <f>Tuts!J1307</f>
        <v>14.142857142857144</v>
      </c>
      <c r="E1309" s="13">
        <f>Tuts!D1307</f>
        <v>9.9</v>
      </c>
    </row>
    <row r="1310" spans="2:5" ht="15.75" hidden="1" customHeight="1">
      <c r="B1310" t="str">
        <f>Tuts!B1308</f>
        <v>PAMPA ROLO LA EXTRA PLUS CAIXA 23CM</v>
      </c>
      <c r="C1310" s="13">
        <f>Tuts!E1308</f>
        <v>32</v>
      </c>
      <c r="D1310" s="18">
        <f>Tuts!J1308</f>
        <v>28.428571428571427</v>
      </c>
      <c r="E1310" s="13">
        <f>Tuts!D1308</f>
        <v>19.899999999999999</v>
      </c>
    </row>
    <row r="1311" spans="2:5" ht="15.75" hidden="1" customHeight="1">
      <c r="B1311" t="str">
        <f>Tuts!B1309</f>
        <v>PAMPA SUPORTE ROLO 23CM</v>
      </c>
      <c r="C1311" s="13">
        <f>Tuts!E1309</f>
        <v>6</v>
      </c>
      <c r="D1311" s="18">
        <f>Tuts!J1309</f>
        <v>4.7</v>
      </c>
      <c r="E1311" s="13">
        <f>Tuts!D1309</f>
        <v>3.29</v>
      </c>
    </row>
    <row r="1312" spans="2:5" ht="15.75" hidden="1" customHeight="1">
      <c r="B1312" t="str">
        <f>Tuts!B1310</f>
        <v>PARAFUSO BROCANTE 35X35</v>
      </c>
      <c r="C1312" s="13">
        <f>Tuts!E1310</f>
        <v>0.25</v>
      </c>
      <c r="D1312" s="18">
        <f>Tuts!J1310</f>
        <v>0.12857142857142859</v>
      </c>
      <c r="E1312" s="13">
        <f>Tuts!D1310</f>
        <v>0.09</v>
      </c>
    </row>
    <row r="1313" spans="2:5" ht="15.75" hidden="1" customHeight="1">
      <c r="B1313" t="str">
        <f>Tuts!B1311</f>
        <v>PARAFUSO CHIPBOARD 4,0X40MM</v>
      </c>
      <c r="C1313" s="13">
        <f>Tuts!E1311</f>
        <v>0.18</v>
      </c>
      <c r="D1313" s="18">
        <f>Tuts!J1311</f>
        <v>0.1142857142857143</v>
      </c>
      <c r="E1313" s="13">
        <f>Tuts!D1311</f>
        <v>0.08</v>
      </c>
    </row>
    <row r="1314" spans="2:5" ht="15.75" hidden="1" customHeight="1">
      <c r="B1314" t="str">
        <f>Tuts!B1312</f>
        <v>PARAFUSO CHIPBOARD 4,0x45MM</v>
      </c>
      <c r="C1314" s="13">
        <f>Tuts!E1312</f>
        <v>0.35</v>
      </c>
      <c r="D1314" s="18">
        <f>Tuts!J1312</f>
        <v>0.28571428571428575</v>
      </c>
      <c r="E1314" s="13">
        <f>Tuts!D1312</f>
        <v>0.2</v>
      </c>
    </row>
    <row r="1315" spans="2:5" ht="15.75" hidden="1" customHeight="1">
      <c r="B1315" t="str">
        <f>Tuts!B1313</f>
        <v>PARAFUSO CHIPBOARD 4,0x45MM</v>
      </c>
      <c r="C1315" s="13">
        <f>Tuts!E1313</f>
        <v>0.15</v>
      </c>
      <c r="D1315" s="18">
        <f>Tuts!J1313</f>
        <v>7.1428571428571438E-2</v>
      </c>
      <c r="E1315" s="13">
        <f>Tuts!D1313</f>
        <v>0.05</v>
      </c>
    </row>
    <row r="1316" spans="2:5" ht="15.75" hidden="1" customHeight="1">
      <c r="B1316" t="str">
        <f>Tuts!B1314</f>
        <v>PARAFUSO CHIPBOARD 4,0X50MM</v>
      </c>
      <c r="C1316" s="13">
        <f>Tuts!E1314</f>
        <v>0.2</v>
      </c>
      <c r="D1316" s="18">
        <f>Tuts!J1314</f>
        <v>0.15714285714285717</v>
      </c>
      <c r="E1316" s="13">
        <f>Tuts!D1314</f>
        <v>0.11</v>
      </c>
    </row>
    <row r="1317" spans="2:5" ht="15.75" hidden="1" customHeight="1">
      <c r="B1317" t="str">
        <f>Tuts!B1315</f>
        <v>PARAFUSO CHIPBOARD 5,0x30MM</v>
      </c>
      <c r="C1317" s="13">
        <f>Tuts!E1315</f>
        <v>0.25</v>
      </c>
      <c r="D1317" s="18">
        <f>Tuts!J1315</f>
        <v>0.20000000000000004</v>
      </c>
      <c r="E1317" s="13">
        <f>Tuts!D1315</f>
        <v>0.14000000000000001</v>
      </c>
    </row>
    <row r="1318" spans="2:5" ht="15.75" hidden="1" customHeight="1">
      <c r="B1318" t="str">
        <f>Tuts!B1316</f>
        <v>PARAFUSO CHIPBOARD 5,0X45MM</v>
      </c>
      <c r="C1318" s="13">
        <f>Tuts!E1316</f>
        <v>0.65</v>
      </c>
      <c r="D1318" s="18">
        <f>Tuts!J1316</f>
        <v>0.6428571428571429</v>
      </c>
      <c r="E1318" s="13">
        <f>Tuts!D1316</f>
        <v>0.45</v>
      </c>
    </row>
    <row r="1319" spans="2:5" ht="15.75" hidden="1" customHeight="1">
      <c r="B1319" t="str">
        <f>Tuts!B1317</f>
        <v>PARAFUSO CHIPBOARD 5,0X50MM</v>
      </c>
      <c r="C1319" s="13">
        <f>Tuts!E1317</f>
        <v>0.35</v>
      </c>
      <c r="D1319" s="18">
        <f>Tuts!J1317</f>
        <v>0.25714285714285717</v>
      </c>
      <c r="E1319" s="13">
        <f>Tuts!D1317</f>
        <v>0.18</v>
      </c>
    </row>
    <row r="1320" spans="2:5" ht="15.75" hidden="1" customHeight="1">
      <c r="B1320" t="str">
        <f>Tuts!B1318</f>
        <v>PARAFUSO CHIPBOARD 5,0X70MM</v>
      </c>
      <c r="C1320" s="13">
        <f>Tuts!E1318</f>
        <v>0.38</v>
      </c>
      <c r="D1320" s="18">
        <f>Tuts!J1318</f>
        <v>0.35714285714285715</v>
      </c>
      <c r="E1320" s="13">
        <f>Tuts!D1318</f>
        <v>0.25</v>
      </c>
    </row>
    <row r="1321" spans="2:5" ht="15.75" hidden="1" customHeight="1">
      <c r="B1321" t="str">
        <f>Tuts!B1319</f>
        <v>PARAFUSO CHIPBOARD 6,0X100MM</v>
      </c>
      <c r="C1321" s="13">
        <f>Tuts!E1319</f>
        <v>0.85</v>
      </c>
      <c r="D1321" s="18">
        <f>Tuts!J1319</f>
        <v>0.67142857142857149</v>
      </c>
      <c r="E1321" s="13">
        <f>Tuts!D1319</f>
        <v>0.47</v>
      </c>
    </row>
    <row r="1322" spans="2:5" ht="15.75" hidden="1" customHeight="1">
      <c r="B1322" t="str">
        <f>Tuts!B1320</f>
        <v>PARAFUSO CHIPBOARD 6,0X100MM</v>
      </c>
      <c r="C1322" s="13">
        <f>Tuts!E1320</f>
        <v>0.65</v>
      </c>
      <c r="D1322" s="18">
        <f>Tuts!J1320</f>
        <v>0.57142857142857151</v>
      </c>
      <c r="E1322" s="13">
        <f>Tuts!D1320</f>
        <v>0.4</v>
      </c>
    </row>
    <row r="1323" spans="2:5" ht="15.75" hidden="1" customHeight="1">
      <c r="B1323" t="str">
        <f>Tuts!B1321</f>
        <v>PARAFUSO CHIPBOARD 6,0x35MM</v>
      </c>
      <c r="C1323" s="13">
        <f>Tuts!E1321</f>
        <v>0.35</v>
      </c>
      <c r="D1323" s="18">
        <f>Tuts!J1321</f>
        <v>0.3</v>
      </c>
      <c r="E1323" s="13">
        <f>Tuts!D1321</f>
        <v>0.21</v>
      </c>
    </row>
    <row r="1324" spans="2:5" ht="15.75" hidden="1" customHeight="1">
      <c r="B1324" t="str">
        <f>Tuts!B1322</f>
        <v>PARAFUSO CHIPBOARD 6,0x45MM</v>
      </c>
      <c r="C1324" s="13">
        <f>Tuts!E1322</f>
        <v>0.4</v>
      </c>
      <c r="D1324" s="18">
        <f>Tuts!J1322</f>
        <v>0.34285714285714286</v>
      </c>
      <c r="E1324" s="13">
        <f>Tuts!D1322</f>
        <v>0.24</v>
      </c>
    </row>
    <row r="1325" spans="2:5" ht="15.75" hidden="1" customHeight="1">
      <c r="B1325" t="str">
        <f>Tuts!B1323</f>
        <v>PARAFUSO CHIPBOARD 6,0X60MM</v>
      </c>
      <c r="C1325" s="13">
        <f>Tuts!E1323</f>
        <v>0.5</v>
      </c>
      <c r="D1325" s="18">
        <f>Tuts!J1323</f>
        <v>0.41428571428571426</v>
      </c>
      <c r="E1325" s="13">
        <f>Tuts!D1323</f>
        <v>0.28999999999999998</v>
      </c>
    </row>
    <row r="1326" spans="2:5" ht="15.75" hidden="1" customHeight="1">
      <c r="B1326" t="str">
        <f>Tuts!B1324</f>
        <v>PARAFUSO CHIPBOARD 6,0X70MM</v>
      </c>
      <c r="C1326" s="13">
        <f>Tuts!E1324</f>
        <v>0.63</v>
      </c>
      <c r="D1326" s="18">
        <f>Tuts!J1324</f>
        <v>0.57142857142857151</v>
      </c>
      <c r="E1326" s="13">
        <f>Tuts!D1324</f>
        <v>0.4</v>
      </c>
    </row>
    <row r="1327" spans="2:5" ht="15.75" hidden="1" customHeight="1">
      <c r="B1327" t="str">
        <f>Tuts!B1325</f>
        <v>PARAFUSO CHIPBOARD 6,0X90MM</v>
      </c>
      <c r="C1327" s="13">
        <f>Tuts!E1325</f>
        <v>1.25</v>
      </c>
      <c r="D1327" s="18">
        <f>Tuts!J1325</f>
        <v>1.3142857142857145</v>
      </c>
      <c r="E1327" s="13">
        <f>Tuts!D1325</f>
        <v>0.92</v>
      </c>
    </row>
    <row r="1328" spans="2:5" ht="15.75" hidden="1" customHeight="1">
      <c r="B1328" t="str">
        <f>Tuts!B1326</f>
        <v>PARAFUSO FENDA 1/4X1.1/2</v>
      </c>
      <c r="C1328" s="13">
        <f>Tuts!E1326</f>
        <v>1.2</v>
      </c>
      <c r="D1328" s="18">
        <f>Tuts!J1326</f>
        <v>1.0857142857142859</v>
      </c>
      <c r="E1328" s="13">
        <f>Tuts!D1326</f>
        <v>0.76</v>
      </c>
    </row>
    <row r="1329" spans="2:5" ht="15.75" hidden="1" customHeight="1">
      <c r="B1329" t="str">
        <f>Tuts!B1327</f>
        <v>PARAFUSO FENDA 1/4X2.1/2</v>
      </c>
      <c r="C1329" s="13">
        <f>Tuts!E1327</f>
        <v>1.25</v>
      </c>
      <c r="D1329" s="18">
        <f>Tuts!J1327</f>
        <v>0.9571428571428573</v>
      </c>
      <c r="E1329" s="13">
        <f>Tuts!D1327</f>
        <v>0.67</v>
      </c>
    </row>
    <row r="1330" spans="2:5" ht="15.75" hidden="1" customHeight="1">
      <c r="B1330" t="str">
        <f>Tuts!B1328</f>
        <v>PARAFUSO FENDA 3/16X1.1/2</v>
      </c>
      <c r="C1330" s="13">
        <f>Tuts!E1328</f>
        <v>0.45</v>
      </c>
      <c r="D1330" s="18">
        <f>Tuts!J1328</f>
        <v>0.40000000000000008</v>
      </c>
      <c r="E1330" s="13">
        <f>Tuts!D1328</f>
        <v>0.28000000000000003</v>
      </c>
    </row>
    <row r="1331" spans="2:5" ht="15.75" hidden="1" customHeight="1">
      <c r="B1331" t="str">
        <f>Tuts!B1329</f>
        <v>PARAFUSO FENDA 3/16X2</v>
      </c>
      <c r="C1331" s="13">
        <f>Tuts!E1329</f>
        <v>0.55000000000000004</v>
      </c>
      <c r="D1331" s="18">
        <f>Tuts!J1329</f>
        <v>0.48571428571428577</v>
      </c>
      <c r="E1331" s="13">
        <f>Tuts!D1329</f>
        <v>0.34</v>
      </c>
    </row>
    <row r="1332" spans="2:5" ht="15.75" hidden="1" customHeight="1">
      <c r="B1332" t="str">
        <f>Tuts!B1330</f>
        <v>PARAFUSO FIXACAO ASSENTO SANITARIO ASTRA</v>
      </c>
      <c r="C1332" s="13">
        <f>Tuts!E1330</f>
        <v>24.5</v>
      </c>
      <c r="D1332" s="18">
        <f>Tuts!J1330</f>
        <v>21.857142857142861</v>
      </c>
      <c r="E1332" s="13">
        <f>Tuts!D1330</f>
        <v>15.3</v>
      </c>
    </row>
    <row r="1333" spans="2:5" ht="15.75" hidden="1" customHeight="1">
      <c r="B1333" t="str">
        <f>Tuts!B1331</f>
        <v>PARAFUSO FRANCES POL UNC 1/4x2</v>
      </c>
      <c r="C1333" s="13">
        <f>Tuts!E1331</f>
        <v>0.95</v>
      </c>
      <c r="D1333" s="18">
        <f>Tuts!J1331</f>
        <v>0.8214285714285714</v>
      </c>
      <c r="E1333" s="13">
        <f>Tuts!D1331</f>
        <v>0.57499999999999996</v>
      </c>
    </row>
    <row r="1334" spans="2:5" ht="15.75" hidden="1" customHeight="1">
      <c r="B1334" t="str">
        <f>Tuts!B1332</f>
        <v>PARAFUSO FRANCES POL UNC 1/4x2.1/2</v>
      </c>
      <c r="C1334" s="13">
        <f>Tuts!E1332</f>
        <v>0.8</v>
      </c>
      <c r="D1334" s="18">
        <f>Tuts!J1332</f>
        <v>0.7142857142857143</v>
      </c>
      <c r="E1334" s="13">
        <f>Tuts!D1332</f>
        <v>0.5</v>
      </c>
    </row>
    <row r="1335" spans="2:5" ht="15.75" hidden="1" customHeight="1">
      <c r="B1335" t="str">
        <f>Tuts!B1333</f>
        <v>PARAFUSO FRANCES POL UNC 1/4x3</v>
      </c>
      <c r="C1335" s="13">
        <f>Tuts!E1333</f>
        <v>0.8</v>
      </c>
      <c r="D1335" s="18">
        <f>Tuts!J1333</f>
        <v>0.74285714285714288</v>
      </c>
      <c r="E1335" s="13">
        <f>Tuts!D1333</f>
        <v>0.52</v>
      </c>
    </row>
    <row r="1336" spans="2:5" ht="15.75" hidden="1" customHeight="1">
      <c r="B1336" t="str">
        <f>Tuts!B1334</f>
        <v>PARAFUSO FRANCES POL UNC 1/4x3.1/2</v>
      </c>
      <c r="C1336" s="13">
        <f>Tuts!E1334</f>
        <v>1.2</v>
      </c>
      <c r="D1336" s="18">
        <f>Tuts!J1334</f>
        <v>1.0714285714285714</v>
      </c>
      <c r="E1336" s="13">
        <f>Tuts!D1334</f>
        <v>0.75</v>
      </c>
    </row>
    <row r="1337" spans="2:5" ht="15.75" hidden="1" customHeight="1">
      <c r="B1337" t="str">
        <f>Tuts!B1335</f>
        <v xml:space="preserve">PARAFUSO FRANCES POL UNC 3/8X2  </v>
      </c>
      <c r="C1337" s="13">
        <f>Tuts!E1335</f>
        <v>1.3</v>
      </c>
      <c r="D1337" s="18">
        <f>Tuts!J1335</f>
        <v>1.142857142857143</v>
      </c>
      <c r="E1337" s="13">
        <f>Tuts!D1335</f>
        <v>0.8</v>
      </c>
    </row>
    <row r="1338" spans="2:5" ht="15.75" hidden="1" customHeight="1">
      <c r="B1338" t="str">
        <f>Tuts!B1336</f>
        <v>PARAFUSO FRANCES POL UNC 3/8X3</v>
      </c>
      <c r="C1338" s="13">
        <f>Tuts!E1336</f>
        <v>2.1</v>
      </c>
      <c r="D1338" s="18">
        <f>Tuts!J1336</f>
        <v>1.8285714285714287</v>
      </c>
      <c r="E1338" s="13">
        <f>Tuts!D1336</f>
        <v>1.28</v>
      </c>
    </row>
    <row r="1339" spans="2:5" ht="15.75" hidden="1" customHeight="1">
      <c r="B1339" t="str">
        <f>Tuts!B1337</f>
        <v xml:space="preserve">PARAFUSO FRANCES POL UNC 3/8X5  </v>
      </c>
      <c r="C1339" s="13">
        <f>Tuts!E1337</f>
        <v>3.7</v>
      </c>
      <c r="D1339" s="18">
        <f>Tuts!J1337</f>
        <v>3.4285714285714288</v>
      </c>
      <c r="E1339" s="13">
        <f>Tuts!D1337</f>
        <v>2.4</v>
      </c>
    </row>
    <row r="1340" spans="2:5" ht="15.75" hidden="1" customHeight="1">
      <c r="B1340" t="str">
        <f>Tuts!B1338</f>
        <v xml:space="preserve">PARAFUSO FRANCES POL UNC 3/8X5.1/2  </v>
      </c>
      <c r="C1340" s="13">
        <f>Tuts!E1338</f>
        <v>5.4</v>
      </c>
      <c r="D1340" s="18">
        <f>Tuts!J1338</f>
        <v>4.9714285714285715</v>
      </c>
      <c r="E1340" s="13">
        <f>Tuts!D1338</f>
        <v>3.48</v>
      </c>
    </row>
    <row r="1341" spans="2:5" ht="15.75" hidden="1" customHeight="1">
      <c r="B1341" t="str">
        <f>Tuts!B1339</f>
        <v xml:space="preserve">PARAFUSO FRANCES POL UNC 3/8X6  </v>
      </c>
      <c r="C1341" s="13">
        <f>Tuts!E1339</f>
        <v>5.7</v>
      </c>
      <c r="D1341" s="18">
        <f>Tuts!J1339</f>
        <v>5.2714285714285714</v>
      </c>
      <c r="E1341" s="13">
        <f>Tuts!D1339</f>
        <v>3.69</v>
      </c>
    </row>
    <row r="1342" spans="2:5" ht="15.75" hidden="1" customHeight="1">
      <c r="B1342" t="str">
        <f>Tuts!B1340</f>
        <v xml:space="preserve">PARAFUSO FRANCES POL UNC 3/8X6.1/2   </v>
      </c>
      <c r="C1342" s="13">
        <f>Tuts!E1340</f>
        <v>6.25</v>
      </c>
      <c r="D1342" s="18">
        <f>Tuts!J1340</f>
        <v>5.7857142857142856</v>
      </c>
      <c r="E1342" s="13">
        <f>Tuts!D1340</f>
        <v>4.05</v>
      </c>
    </row>
    <row r="1343" spans="2:5" ht="15.75" hidden="1" customHeight="1">
      <c r="B1343" t="str">
        <f>Tuts!B1341</f>
        <v>PARAFUSO FRANCES POL UNC 5/16x2</v>
      </c>
      <c r="C1343" s="13">
        <f>Tuts!E1341</f>
        <v>1.2</v>
      </c>
      <c r="D1343" s="18">
        <f>Tuts!J1341</f>
        <v>1.0714285714285714</v>
      </c>
      <c r="E1343" s="13">
        <f>Tuts!D1341</f>
        <v>0.75</v>
      </c>
    </row>
    <row r="1344" spans="2:5" ht="15.75" hidden="1" customHeight="1">
      <c r="B1344" t="str">
        <f>Tuts!B1342</f>
        <v>PARAFUSO FRANCES POL UNC 5/16x2.1/2</v>
      </c>
      <c r="C1344" s="13">
        <f>Tuts!E1342</f>
        <v>1.55</v>
      </c>
      <c r="D1344" s="18">
        <f>Tuts!J1342</f>
        <v>1.3571428571428572</v>
      </c>
      <c r="E1344" s="13">
        <f>Tuts!D1342</f>
        <v>0.95</v>
      </c>
    </row>
    <row r="1345" spans="2:5" ht="15.75" hidden="1" customHeight="1">
      <c r="B1345" t="str">
        <f>Tuts!B1343</f>
        <v>PARAFUSO FRANCES POL UNC 5/16X3</v>
      </c>
      <c r="C1345" s="13">
        <f>Tuts!E1343</f>
        <v>1.3</v>
      </c>
      <c r="D1345" s="18">
        <f>Tuts!J1343</f>
        <v>1.2</v>
      </c>
      <c r="E1345" s="13">
        <f>Tuts!D1343</f>
        <v>0.84</v>
      </c>
    </row>
    <row r="1346" spans="2:5" ht="15.75" hidden="1" customHeight="1">
      <c r="B1346" t="str">
        <f>Tuts!B1344</f>
        <v>PARAFUSO FRANCES POL UNC 5/16x3.1/2</v>
      </c>
      <c r="C1346" s="13">
        <f>Tuts!E1344</f>
        <v>2.5</v>
      </c>
      <c r="D1346" s="18">
        <f>Tuts!J1344</f>
        <v>1.7142857142857144</v>
      </c>
      <c r="E1346" s="13">
        <f>Tuts!D1344</f>
        <v>1.2</v>
      </c>
    </row>
    <row r="1347" spans="2:5" ht="15.75" hidden="1" customHeight="1">
      <c r="B1347" t="str">
        <f>Tuts!B1345</f>
        <v>PARAFUSO FRANCES POL UNC 5/16X4</v>
      </c>
      <c r="C1347" s="13">
        <f>Tuts!E1345</f>
        <v>1.9</v>
      </c>
      <c r="D1347" s="18">
        <f>Tuts!J1345</f>
        <v>1.7142857142857144</v>
      </c>
      <c r="E1347" s="13">
        <f>Tuts!D1345</f>
        <v>1.2</v>
      </c>
    </row>
    <row r="1348" spans="2:5" ht="15.75" hidden="1" customHeight="1">
      <c r="B1348" t="str">
        <f>Tuts!B1346</f>
        <v xml:space="preserve">PARAFUSO FRANCES POL UNC 5/16X5  </v>
      </c>
      <c r="C1348" s="13">
        <f>Tuts!E1346</f>
        <v>2.0499999999999998</v>
      </c>
      <c r="D1348" s="18">
        <f>Tuts!J1346</f>
        <v>1.8857142857142859</v>
      </c>
      <c r="E1348" s="13">
        <f>Tuts!D1346</f>
        <v>1.32</v>
      </c>
    </row>
    <row r="1349" spans="2:5" ht="15.75" hidden="1" customHeight="1">
      <c r="B1349" t="str">
        <f>Tuts!B1347</f>
        <v xml:space="preserve">PARAFUSO FRANCES POL UNC 5/16X6  </v>
      </c>
      <c r="C1349" s="13">
        <f>Tuts!E1347</f>
        <v>3.95</v>
      </c>
      <c r="D1349" s="18">
        <f>Tuts!J1347</f>
        <v>3.6428571428571428</v>
      </c>
      <c r="E1349" s="13">
        <f>Tuts!D1347</f>
        <v>2.5499999999999998</v>
      </c>
    </row>
    <row r="1350" spans="2:5" ht="15.75" hidden="1" customHeight="1">
      <c r="B1350" t="str">
        <f>Tuts!B1348</f>
        <v>PARAFUSO PONTA AGULHA FLANGEADO 4,2 X 13</v>
      </c>
      <c r="C1350" s="13">
        <f>Tuts!E1348</f>
        <v>0.15</v>
      </c>
      <c r="D1350" s="18">
        <f>Tuts!J1348</f>
        <v>0.1142857142857143</v>
      </c>
      <c r="E1350" s="13">
        <f>Tuts!D1348</f>
        <v>0.08</v>
      </c>
    </row>
    <row r="1351" spans="2:5" ht="15.75" hidden="1" customHeight="1">
      <c r="B1351" t="str">
        <f>Tuts!B1349</f>
        <v>PARAFUSO PONTA AGULHA FLANGEADO 4,2 X 19</v>
      </c>
      <c r="C1351" s="13">
        <f>Tuts!E1349</f>
        <v>0.2</v>
      </c>
      <c r="D1351" s="18">
        <f>Tuts!J1349</f>
        <v>0.15714285714285717</v>
      </c>
      <c r="E1351" s="13">
        <f>Tuts!D1349</f>
        <v>0.11</v>
      </c>
    </row>
    <row r="1352" spans="2:5" ht="15.75" hidden="1" customHeight="1">
      <c r="B1352" t="str">
        <f>Tuts!B1350</f>
        <v>PARAFUSO PRETO PONTA GULHA 3,5 X 40</v>
      </c>
      <c r="C1352" s="13">
        <f>Tuts!E1350</f>
        <v>0.15</v>
      </c>
      <c r="D1352" s="18">
        <f>Tuts!J1350</f>
        <v>0.10000000000000002</v>
      </c>
      <c r="E1352" s="13">
        <f>Tuts!D1350</f>
        <v>7.0000000000000007E-2</v>
      </c>
    </row>
    <row r="1353" spans="2:5" ht="15.75" hidden="1" customHeight="1">
      <c r="B1353" t="str">
        <f>Tuts!B1351</f>
        <v>PARAFUSO ROSCA TOTAL 5X35MM</v>
      </c>
      <c r="C1353" s="13">
        <f>Tuts!E1351</f>
        <v>0.75</v>
      </c>
      <c r="D1353" s="18">
        <f>Tuts!J1351</f>
        <v>0.75714285714285723</v>
      </c>
      <c r="E1353" s="13">
        <f>Tuts!D1351</f>
        <v>0.53</v>
      </c>
    </row>
    <row r="1354" spans="2:5" ht="15.75" hidden="1" customHeight="1">
      <c r="B1354" t="str">
        <f>Tuts!B1352</f>
        <v>PARAFUSO SEXT ROSCA UNC 1/2X4.1/2</v>
      </c>
      <c r="C1354" s="13">
        <f>Tuts!E1352</f>
        <v>6.9</v>
      </c>
      <c r="D1354" s="18">
        <f>Tuts!J1352</f>
        <v>6.0428571428571436</v>
      </c>
      <c r="E1354" s="13">
        <f>Tuts!D1352</f>
        <v>4.2300000000000004</v>
      </c>
    </row>
    <row r="1355" spans="2:5" ht="15.75" hidden="1" customHeight="1">
      <c r="B1355" t="str">
        <f>Tuts!B1353</f>
        <v>PARAFUSO SEXT ROSCA UNC 1/2X4.1/2</v>
      </c>
      <c r="C1355" s="13">
        <f>Tuts!E1353</f>
        <v>4.5</v>
      </c>
      <c r="D1355" s="18">
        <f>Tuts!J1353</f>
        <v>3.9857142857142862</v>
      </c>
      <c r="E1355" s="13">
        <f>Tuts!D1353</f>
        <v>2.79</v>
      </c>
    </row>
    <row r="1356" spans="2:5" ht="15.75" hidden="1" customHeight="1">
      <c r="B1356" t="str">
        <f>Tuts!B1354</f>
        <v xml:space="preserve">PARAFUSO SEXT ROSCA UNC 1/4X1    </v>
      </c>
      <c r="C1356" s="13">
        <f>Tuts!E1354</f>
        <v>0.65</v>
      </c>
      <c r="D1356" s="18">
        <f>Tuts!J1354</f>
        <v>0.6</v>
      </c>
      <c r="E1356" s="13">
        <f>Tuts!D1354</f>
        <v>0.42</v>
      </c>
    </row>
    <row r="1357" spans="2:5" ht="15.75" hidden="1" customHeight="1">
      <c r="B1357" t="str">
        <f>Tuts!B1355</f>
        <v xml:space="preserve">PARAFUSO SEXT ROSCA UNC 1/4X2   </v>
      </c>
      <c r="C1357" s="13">
        <f>Tuts!E1355</f>
        <v>0.7</v>
      </c>
      <c r="D1357" s="18">
        <f>Tuts!J1355</f>
        <v>0.62857142857142867</v>
      </c>
      <c r="E1357" s="13">
        <f>Tuts!D1355</f>
        <v>0.44</v>
      </c>
    </row>
    <row r="1358" spans="2:5" ht="15.75" hidden="1" customHeight="1">
      <c r="B1358" t="str">
        <f>Tuts!B1356</f>
        <v xml:space="preserve">PARAFUSO SEXT ROSCA UNC 1/4X3.1/2  </v>
      </c>
      <c r="C1358" s="13">
        <f>Tuts!E1356</f>
        <v>0.85</v>
      </c>
      <c r="D1358" s="18">
        <f>Tuts!J1356</f>
        <v>0.75714285714285723</v>
      </c>
      <c r="E1358" s="13">
        <f>Tuts!D1356</f>
        <v>0.53</v>
      </c>
    </row>
    <row r="1359" spans="2:5" ht="15.75" hidden="1" customHeight="1">
      <c r="B1359" t="str">
        <f>Tuts!B1357</f>
        <v xml:space="preserve">PARAFUSO SEXT ROSCA UNC 1/4X4  </v>
      </c>
      <c r="C1359" s="13">
        <f>Tuts!E1357</f>
        <v>1.35</v>
      </c>
      <c r="D1359" s="18">
        <f>Tuts!J1357</f>
        <v>1.2428571428571429</v>
      </c>
      <c r="E1359" s="13">
        <f>Tuts!D1357</f>
        <v>0.87</v>
      </c>
    </row>
    <row r="1360" spans="2:5" ht="15.75" hidden="1" customHeight="1">
      <c r="B1360" t="str">
        <f>Tuts!B1358</f>
        <v>PARAFUSO SEXT ROSCA UNC 1/4X5</v>
      </c>
      <c r="C1360" s="13">
        <f>Tuts!E1358</f>
        <v>1.35</v>
      </c>
      <c r="D1360" s="18">
        <f>Tuts!J1358</f>
        <v>1.2428571428571429</v>
      </c>
      <c r="E1360" s="13">
        <f>Tuts!D1358</f>
        <v>0.87</v>
      </c>
    </row>
    <row r="1361" spans="2:5" ht="15.75" hidden="1" customHeight="1">
      <c r="B1361" t="str">
        <f>Tuts!B1359</f>
        <v>PARAFUSO SEXT ROSCA UNC 3/4X4.1/2 C/ PORCA/RUELA</v>
      </c>
      <c r="C1361" s="13">
        <f>Tuts!E1359</f>
        <v>15.9</v>
      </c>
      <c r="D1361" s="18">
        <f>Tuts!J1359</f>
        <v>12.814285714285717</v>
      </c>
      <c r="E1361" s="13">
        <f>Tuts!D1359</f>
        <v>8.9700000000000006</v>
      </c>
    </row>
    <row r="1362" spans="2:5" ht="15.75" hidden="1" customHeight="1">
      <c r="B1362" t="str">
        <f>Tuts!B1360</f>
        <v xml:space="preserve">PARAFUSO SEXT ROSCA UNC 3/8X1  </v>
      </c>
      <c r="C1362" s="13">
        <f>Tuts!E1360</f>
        <v>1.05</v>
      </c>
      <c r="D1362" s="18">
        <f>Tuts!J1360</f>
        <v>0.9571428571428573</v>
      </c>
      <c r="E1362" s="13">
        <f>Tuts!D1360</f>
        <v>0.67</v>
      </c>
    </row>
    <row r="1363" spans="2:5" ht="15.75" hidden="1" customHeight="1">
      <c r="B1363" t="str">
        <f>Tuts!B1361</f>
        <v xml:space="preserve">PARAFUSO SEXT ROSCA UNC 3/8X1.1/2  </v>
      </c>
      <c r="C1363" s="13">
        <f>Tuts!E1361</f>
        <v>1.1000000000000001</v>
      </c>
      <c r="D1363" s="18">
        <f>Tuts!J1361</f>
        <v>0.74285714285714288</v>
      </c>
      <c r="E1363" s="13">
        <f>Tuts!D1361</f>
        <v>0.52</v>
      </c>
    </row>
    <row r="1364" spans="2:5" ht="15.75" hidden="1" customHeight="1">
      <c r="B1364" t="str">
        <f>Tuts!B1362</f>
        <v xml:space="preserve">PARAFUSO SEXT ROSCA UNC 3/8X2.1/2  </v>
      </c>
      <c r="C1364" s="13">
        <f>Tuts!E1362</f>
        <v>3.15</v>
      </c>
      <c r="D1364" s="18">
        <f>Tuts!J1362</f>
        <v>2.9142857142857146</v>
      </c>
      <c r="E1364" s="13">
        <f>Tuts!D1362</f>
        <v>2.04</v>
      </c>
    </row>
    <row r="1365" spans="2:5" ht="15.75" hidden="1" customHeight="1">
      <c r="B1365" t="str">
        <f>Tuts!B1363</f>
        <v>PARAFUSO SEXT ROSCA UNC 3/8X3</v>
      </c>
      <c r="C1365" s="13">
        <f>Tuts!E1363</f>
        <v>3.3</v>
      </c>
      <c r="D1365" s="18">
        <f>Tuts!J1363</f>
        <v>3.0142857142857142</v>
      </c>
      <c r="E1365" s="13">
        <f>Tuts!D1363</f>
        <v>2.11</v>
      </c>
    </row>
    <row r="1366" spans="2:5" ht="15.75" hidden="1" customHeight="1">
      <c r="B1366" t="str">
        <f>Tuts!B1364</f>
        <v xml:space="preserve">PARAFUSO SEXT ROSCA UNC 3/8X5  </v>
      </c>
      <c r="C1366" s="13">
        <f>Tuts!E1364</f>
        <v>4.3</v>
      </c>
      <c r="D1366" s="18">
        <f>Tuts!J1364</f>
        <v>3.9571428571428573</v>
      </c>
      <c r="E1366" s="13">
        <f>Tuts!D1364</f>
        <v>2.77</v>
      </c>
    </row>
    <row r="1367" spans="2:5" ht="15.75" hidden="1" customHeight="1">
      <c r="B1367" t="str">
        <f>Tuts!B1365</f>
        <v>PARAFUSO SEXT ROSCA UNC 3/8X6</v>
      </c>
      <c r="C1367" s="13">
        <f>Tuts!E1365</f>
        <v>11.8</v>
      </c>
      <c r="D1367" s="18">
        <f>Tuts!J1365</f>
        <v>10.714285714285715</v>
      </c>
      <c r="E1367" s="13">
        <f>Tuts!D1365</f>
        <v>7.5</v>
      </c>
    </row>
    <row r="1368" spans="2:5" ht="15.75" hidden="1" customHeight="1">
      <c r="B1368" t="str">
        <f>Tuts!B1366</f>
        <v>PARAFUSO SEXT ROSCA UNC 5/16x1</v>
      </c>
      <c r="C1368" s="13">
        <f>Tuts!E1366</f>
        <v>1.1000000000000001</v>
      </c>
      <c r="D1368" s="18">
        <f>Tuts!J1366</f>
        <v>0.92857142857142871</v>
      </c>
      <c r="E1368" s="13">
        <f>Tuts!D1366</f>
        <v>0.65</v>
      </c>
    </row>
    <row r="1369" spans="2:5" ht="15.75" hidden="1" customHeight="1">
      <c r="B1369" t="str">
        <f>Tuts!B1367</f>
        <v xml:space="preserve">PARAFUSO SEXT ROSCA UNC 5/16X1.1/2  </v>
      </c>
      <c r="C1369" s="13">
        <f>Tuts!E1367</f>
        <v>0.95</v>
      </c>
      <c r="D1369" s="18">
        <f>Tuts!J1367</f>
        <v>0.87142857142857144</v>
      </c>
      <c r="E1369" s="13">
        <f>Tuts!D1367</f>
        <v>0.61</v>
      </c>
    </row>
    <row r="1370" spans="2:5" ht="15.75" hidden="1" customHeight="1">
      <c r="B1370" t="str">
        <f>Tuts!B1368</f>
        <v>PARAFUSO SEXT ROSCA UNC 5/16x2</v>
      </c>
      <c r="C1370" s="13">
        <f>Tuts!E1368</f>
        <v>0.95</v>
      </c>
      <c r="D1370" s="18">
        <f>Tuts!J1368</f>
        <v>0.77142857142857157</v>
      </c>
      <c r="E1370" s="13">
        <f>Tuts!D1368</f>
        <v>0.54</v>
      </c>
    </row>
    <row r="1371" spans="2:5" ht="15.75" hidden="1" customHeight="1">
      <c r="B1371" t="str">
        <f>Tuts!B1369</f>
        <v>PARAFUSO SEXT ROSCA UNC 5/16x2.1/2</v>
      </c>
      <c r="C1371" s="13">
        <f>Tuts!E1369</f>
        <v>2.25</v>
      </c>
      <c r="D1371" s="18">
        <f>Tuts!J1369</f>
        <v>2</v>
      </c>
      <c r="E1371" s="13">
        <f>Tuts!D1369</f>
        <v>1.4</v>
      </c>
    </row>
    <row r="1372" spans="2:5" ht="15.75" hidden="1" customHeight="1">
      <c r="B1372" t="str">
        <f>Tuts!B1370</f>
        <v>PARAFUSO SEXT ROSCA UNC 5/16x3.1/2</v>
      </c>
      <c r="C1372" s="13">
        <f>Tuts!E1370</f>
        <v>2.5</v>
      </c>
      <c r="D1372" s="18">
        <f>Tuts!J1370</f>
        <v>2.1771428571428575</v>
      </c>
      <c r="E1372" s="13">
        <f>Tuts!D1370</f>
        <v>1.524</v>
      </c>
    </row>
    <row r="1373" spans="2:5" ht="15.75" hidden="1" customHeight="1">
      <c r="B1373" t="str">
        <f>Tuts!B1371</f>
        <v xml:space="preserve">PARAFUSO SEXT ROSCA UNC 5/16X4  </v>
      </c>
      <c r="C1373" s="13">
        <f>Tuts!E1371</f>
        <v>1.45</v>
      </c>
      <c r="D1373" s="18">
        <f>Tuts!J1371</f>
        <v>1.342857142857143</v>
      </c>
      <c r="E1373" s="13">
        <f>Tuts!D1371</f>
        <v>0.94</v>
      </c>
    </row>
    <row r="1374" spans="2:5" ht="15.75" hidden="1" customHeight="1">
      <c r="B1374" t="str">
        <f>Tuts!B1372</f>
        <v xml:space="preserve">PARAFUSO SEXT ROSCA UNC 5/16X5 </v>
      </c>
      <c r="C1374" s="13">
        <f>Tuts!E1372</f>
        <v>2.8</v>
      </c>
      <c r="D1374" s="18">
        <f>Tuts!J1372</f>
        <v>2.5714285714285716</v>
      </c>
      <c r="E1374" s="13">
        <f>Tuts!D1372</f>
        <v>1.8</v>
      </c>
    </row>
    <row r="1375" spans="2:5" ht="15.75" hidden="1" customHeight="1">
      <c r="B1375" t="str">
        <f>Tuts!B1373</f>
        <v>PARAFUSO SEXTAVADO BROCANTE 1/4X2</v>
      </c>
      <c r="C1375" s="13">
        <f>Tuts!E1373</f>
        <v>1.75</v>
      </c>
      <c r="D1375" s="18">
        <f>Tuts!J1373</f>
        <v>1.6000000000000003</v>
      </c>
      <c r="E1375" s="13">
        <f>Tuts!D1373</f>
        <v>1.1200000000000001</v>
      </c>
    </row>
    <row r="1376" spans="2:5" ht="15.75" hidden="1" customHeight="1">
      <c r="B1376" t="str">
        <f>Tuts!B1374</f>
        <v>PARAFUSO SEXTAVADO BROCANTE 3/4X5,5</v>
      </c>
      <c r="C1376" s="13">
        <f>Tuts!E1374</f>
        <v>0.45</v>
      </c>
      <c r="D1376" s="18">
        <f>Tuts!J1374</f>
        <v>0.38571428571428579</v>
      </c>
      <c r="E1376" s="13">
        <f>Tuts!D1374</f>
        <v>0.27</v>
      </c>
    </row>
    <row r="1377" spans="2:5" ht="15.75" hidden="1" customHeight="1">
      <c r="B1377" t="str">
        <f>Tuts!B1375</f>
        <v>PARAFUSO SEXTAVADO SOBERBO 1/4X100</v>
      </c>
      <c r="C1377" s="13">
        <f>Tuts!E1375</f>
        <v>1.1000000000000001</v>
      </c>
      <c r="D1377" s="18">
        <f>Tuts!J1375</f>
        <v>1</v>
      </c>
      <c r="E1377" s="13">
        <f>Tuts!D1375</f>
        <v>0.7</v>
      </c>
    </row>
    <row r="1378" spans="2:5" ht="15.75" hidden="1" customHeight="1">
      <c r="B1378" t="str">
        <f>Tuts!B1376</f>
        <v>PARAFUSO SEXTAVADO SOBERBO 1/4X50</v>
      </c>
      <c r="C1378" s="13">
        <f>Tuts!E1376</f>
        <v>0.9</v>
      </c>
      <c r="D1378" s="18">
        <f>Tuts!J1376</f>
        <v>0.75714285714285723</v>
      </c>
      <c r="E1378" s="13">
        <f>Tuts!D1376</f>
        <v>0.53</v>
      </c>
    </row>
    <row r="1379" spans="2:5" ht="15.75" hidden="1" customHeight="1">
      <c r="B1379" t="str">
        <f>Tuts!B1377</f>
        <v>PARAFUSO SEXTAVADO SOBERBO 1/4X70</v>
      </c>
      <c r="C1379" s="13">
        <f>Tuts!E1377</f>
        <v>1</v>
      </c>
      <c r="D1379" s="18">
        <f>Tuts!J1377</f>
        <v>0.91428571428571437</v>
      </c>
      <c r="E1379" s="13">
        <f>Tuts!D1377</f>
        <v>0.64</v>
      </c>
    </row>
    <row r="1380" spans="2:5" ht="15.75" hidden="1" customHeight="1">
      <c r="B1380" t="str">
        <f>Tuts!B1378</f>
        <v>PARAFUSO SEXTAVADO SOBERBO 1/4X75</v>
      </c>
      <c r="C1380" s="13">
        <f>Tuts!E1378</f>
        <v>1</v>
      </c>
      <c r="D1380" s="18">
        <f>Tuts!J1378</f>
        <v>0.97142857142857153</v>
      </c>
      <c r="E1380" s="13">
        <f>Tuts!D1378</f>
        <v>0.68</v>
      </c>
    </row>
    <row r="1381" spans="2:5" ht="15.75" hidden="1" customHeight="1">
      <c r="B1381" t="str">
        <f>Tuts!B1379</f>
        <v>PARAFUSO SEXTAVADO SOBERBO 3/8X120</v>
      </c>
      <c r="C1381" s="13">
        <f>Tuts!E1379</f>
        <v>3.9</v>
      </c>
      <c r="D1381" s="18">
        <f>Tuts!J1379</f>
        <v>3.5142857142857147</v>
      </c>
      <c r="E1381" s="13">
        <f>Tuts!D1379</f>
        <v>2.46</v>
      </c>
    </row>
    <row r="1382" spans="2:5" ht="15.75" hidden="1" customHeight="1">
      <c r="B1382" t="str">
        <f>Tuts!B1380</f>
        <v>PARAFUSO SEXTAVADO SOBERBO 5/16X80</v>
      </c>
      <c r="C1382" s="13">
        <f>Tuts!E1380</f>
        <v>1.9</v>
      </c>
      <c r="D1382" s="18">
        <f>Tuts!J1380</f>
        <v>1.6857142857142857</v>
      </c>
      <c r="E1382" s="13">
        <f>Tuts!D1380</f>
        <v>1.18</v>
      </c>
    </row>
    <row r="1383" spans="2:5" ht="15.75" hidden="1" customHeight="1">
      <c r="B1383" t="str">
        <f>Tuts!B1381</f>
        <v xml:space="preserve">PARAFUSO TELHEIRO TELHA </v>
      </c>
      <c r="C1383" s="13">
        <f>Tuts!E1381</f>
        <v>1.2</v>
      </c>
      <c r="D1383" s="18">
        <f>Tuts!J1381</f>
        <v>0.9571428571428573</v>
      </c>
      <c r="E1383" s="13">
        <f>Tuts!D1381</f>
        <v>0.67</v>
      </c>
    </row>
    <row r="1384" spans="2:5" ht="15.75" hidden="1" customHeight="1">
      <c r="B1384" t="str">
        <f>Tuts!B1382</f>
        <v>PARAFUSO VASO N10</v>
      </c>
      <c r="C1384" s="13">
        <f>Tuts!E1382</f>
        <v>2</v>
      </c>
      <c r="D1384" s="18">
        <f>Tuts!J1382</f>
        <v>1.3285714285714287</v>
      </c>
      <c r="E1384" s="13">
        <f>Tuts!D1382</f>
        <v>0.93</v>
      </c>
    </row>
    <row r="1385" spans="2:5" ht="15.75" hidden="1" customHeight="1">
      <c r="B1385" t="str">
        <f>Tuts!B1383</f>
        <v>PARAFUSOS BROCANTE FLANGEADO 1/2X5,5</v>
      </c>
      <c r="C1385" s="13">
        <f>Tuts!E1383</f>
        <v>0.8</v>
      </c>
      <c r="D1385" s="18">
        <f>Tuts!J1383</f>
        <v>0.74285714285714288</v>
      </c>
      <c r="E1385" s="13">
        <f>Tuts!D1383</f>
        <v>0.52</v>
      </c>
    </row>
    <row r="1386" spans="2:5" ht="15.75" hidden="1" customHeight="1">
      <c r="B1386" t="str">
        <f>Tuts!B1384</f>
        <v>PARAFUSOS BROCANTE FLANGEADO 4.2X16</v>
      </c>
      <c r="C1386" s="13">
        <f>Tuts!E1384</f>
        <v>0.2</v>
      </c>
      <c r="D1386" s="18">
        <f>Tuts!J1384</f>
        <v>0.14285714285714288</v>
      </c>
      <c r="E1386" s="13">
        <f>Tuts!D1384</f>
        <v>0.1</v>
      </c>
    </row>
    <row r="1387" spans="2:5" ht="15.75" hidden="1" customHeight="1">
      <c r="B1387" t="str">
        <f>Tuts!B1385</f>
        <v>PARAFUSOS FENDA 3/16 X 2.1/2</v>
      </c>
      <c r="C1387" s="13">
        <f>Tuts!E1385</f>
        <v>0.7</v>
      </c>
      <c r="D1387" s="18">
        <f>Tuts!J1385</f>
        <v>0.61428571428571432</v>
      </c>
      <c r="E1387" s="13">
        <f>Tuts!D1385</f>
        <v>0.43</v>
      </c>
    </row>
    <row r="1388" spans="2:5" ht="15.75" hidden="1" customHeight="1">
      <c r="B1388" t="str">
        <f>Tuts!B1386</f>
        <v>PASSA FIO 15M C/ ALMA FOXLUX</v>
      </c>
      <c r="C1388" s="13">
        <f>Tuts!E1386</f>
        <v>21</v>
      </c>
      <c r="D1388" s="18">
        <f>Tuts!J1386</f>
        <v>19.042857142857144</v>
      </c>
      <c r="E1388" s="13">
        <f>Tuts!D1386</f>
        <v>13.33</v>
      </c>
    </row>
    <row r="1389" spans="2:5" ht="15.75" hidden="1" customHeight="1">
      <c r="B1389" t="str">
        <f>Tuts!B1387</f>
        <v>PASTA PARA SOLDA 110G</v>
      </c>
      <c r="C1389" s="13">
        <f>Tuts!E1387</f>
        <v>15.5</v>
      </c>
      <c r="D1389" s="18">
        <f>Tuts!J1387</f>
        <v>14.114285714285716</v>
      </c>
      <c r="E1389" s="13">
        <f>Tuts!D1387</f>
        <v>9.8800000000000008</v>
      </c>
    </row>
    <row r="1390" spans="2:5" ht="15.75" hidden="1" customHeight="1">
      <c r="B1390" t="str">
        <f>Tuts!B1388</f>
        <v>PEDRA/PEDRISCO</v>
      </c>
      <c r="C1390" s="13">
        <f>Tuts!E1388</f>
        <v>110</v>
      </c>
      <c r="D1390" s="18">
        <f>Tuts!J1388</f>
        <v>129.28571428571431</v>
      </c>
      <c r="E1390" s="13">
        <f>Tuts!D1388</f>
        <v>90.5</v>
      </c>
    </row>
    <row r="1391" spans="2:5" ht="15.75" hidden="1" customHeight="1">
      <c r="B1391" t="str">
        <f>Tuts!B1389</f>
        <v>PENAIRA FEIJAO 70AM SÃO JORGE</v>
      </c>
      <c r="C1391" s="13">
        <f>Tuts!E1389</f>
        <v>58</v>
      </c>
      <c r="D1391" s="18">
        <f>Tuts!J1389</f>
        <v>51.471428571428575</v>
      </c>
      <c r="E1391" s="13">
        <f>Tuts!D1389</f>
        <v>36.03</v>
      </c>
    </row>
    <row r="1392" spans="2:5" ht="15.75" hidden="1" customHeight="1">
      <c r="B1392" t="str">
        <f>Tuts!B1390</f>
        <v>PENDENTE AÇO IDEAL</v>
      </c>
      <c r="C1392" s="13">
        <f>Tuts!E1390</f>
        <v>82</v>
      </c>
      <c r="D1392" s="18">
        <f>Tuts!J1390</f>
        <v>69.985714285714295</v>
      </c>
      <c r="E1392" s="13">
        <f>Tuts!D1390</f>
        <v>48.99</v>
      </c>
    </row>
    <row r="1393" spans="2:5" ht="15.75" hidden="1" customHeight="1">
      <c r="B1393" t="str">
        <f>Tuts!B1391</f>
        <v>PENDULE</v>
      </c>
      <c r="C1393" s="13">
        <f>Tuts!E1391</f>
        <v>30</v>
      </c>
      <c r="D1393" s="18">
        <f>Tuts!J1391</f>
        <v>31.428571428571431</v>
      </c>
      <c r="E1393" s="13">
        <f>Tuts!D1391</f>
        <v>22</v>
      </c>
    </row>
    <row r="1394" spans="2:5" ht="15.75" hidden="1" customHeight="1">
      <c r="B1394" t="str">
        <f>Tuts!B1392</f>
        <v>PENEIRA FEIJAO/ARROZ/AREIA BORDA PLASTICO</v>
      </c>
      <c r="C1394" s="13">
        <f>Tuts!E1392</f>
        <v>35</v>
      </c>
      <c r="D1394" s="18">
        <f>Tuts!J1392</f>
        <v>30.900000000000002</v>
      </c>
      <c r="E1394" s="13">
        <f>Tuts!D1392</f>
        <v>21.63</v>
      </c>
    </row>
    <row r="1395" spans="2:5" ht="15.75" hidden="1" customHeight="1">
      <c r="B1395" t="str">
        <f>Tuts!B1393</f>
        <v>PIA BACIA INOX 1,20 X 0,55</v>
      </c>
      <c r="C1395" s="13">
        <f>Tuts!E1393</f>
        <v>295</v>
      </c>
      <c r="D1395" s="18">
        <f>Tuts!J1393</f>
        <v>262.85714285714289</v>
      </c>
      <c r="E1395" s="13">
        <f>Tuts!D1393</f>
        <v>184</v>
      </c>
    </row>
    <row r="1396" spans="2:5" ht="15.75" hidden="1" customHeight="1">
      <c r="B1396" t="str">
        <f>Tuts!B1394</f>
        <v>PIA BACIA INOX 1,50 X 0,55</v>
      </c>
      <c r="C1396" s="13">
        <f>Tuts!E1394</f>
        <v>440</v>
      </c>
      <c r="D1396" s="18">
        <f>Tuts!J1394</f>
        <v>404.28571428571433</v>
      </c>
      <c r="E1396" s="13">
        <f>Tuts!D1394</f>
        <v>283</v>
      </c>
    </row>
    <row r="1397" spans="2:5" ht="15.75" hidden="1" customHeight="1">
      <c r="B1397" t="str">
        <f>Tuts!B1395</f>
        <v>PIA BACIA INOX 1,80 X 0,55</v>
      </c>
      <c r="C1397" s="13">
        <f>Tuts!E1395</f>
        <v>495</v>
      </c>
      <c r="D1397" s="18">
        <f>Tuts!J1395</f>
        <v>455.71428571428572</v>
      </c>
      <c r="E1397" s="13">
        <f>Tuts!D1395</f>
        <v>319</v>
      </c>
    </row>
    <row r="1398" spans="2:5" ht="15.75" hidden="1" customHeight="1">
      <c r="B1398" t="str">
        <f>Tuts!B1396</f>
        <v>PIA BACIA INOX 2,00 X 0,55</v>
      </c>
      <c r="C1398" s="13">
        <f>Tuts!E1396</f>
        <v>740</v>
      </c>
      <c r="D1398" s="18">
        <f>Tuts!J1396</f>
        <v>685.71428571428578</v>
      </c>
      <c r="E1398" s="13">
        <f>Tuts!D1396</f>
        <v>480</v>
      </c>
    </row>
    <row r="1399" spans="2:5" ht="15.75" hidden="1" customHeight="1">
      <c r="B1399" t="str">
        <f>Tuts!B1397</f>
        <v>PIA FIBRA 1,20 x 0,55</v>
      </c>
      <c r="C1399" s="13">
        <f>Tuts!E1397</f>
        <v>178</v>
      </c>
      <c r="D1399" s="18">
        <f>Tuts!J1397</f>
        <v>164.28571428571431</v>
      </c>
      <c r="E1399" s="13">
        <f>Tuts!D1397</f>
        <v>115</v>
      </c>
    </row>
    <row r="1400" spans="2:5" ht="15.75" hidden="1" customHeight="1">
      <c r="B1400" t="str">
        <f>Tuts!B1398</f>
        <v>PIA FIBRA 1,50 x 0,55</v>
      </c>
      <c r="C1400" s="13">
        <f>Tuts!E1398</f>
        <v>230</v>
      </c>
      <c r="D1400" s="18">
        <f>Tuts!J1398</f>
        <v>211.42857142857144</v>
      </c>
      <c r="E1400" s="13">
        <f>Tuts!D1398</f>
        <v>148</v>
      </c>
    </row>
    <row r="1401" spans="2:5" ht="15.75" hidden="1" customHeight="1">
      <c r="B1401" t="str">
        <f>Tuts!B1399</f>
        <v>PIA FIBRA 1,80 X 0,55</v>
      </c>
      <c r="C1401" s="13">
        <f>Tuts!E1399</f>
        <v>320</v>
      </c>
      <c r="D1401" s="18">
        <f>Tuts!J1399</f>
        <v>297.14285714285717</v>
      </c>
      <c r="E1401" s="13">
        <f>Tuts!D1399</f>
        <v>208</v>
      </c>
    </row>
    <row r="1402" spans="2:5" ht="15.75" hidden="1" customHeight="1">
      <c r="B1402" t="str">
        <f>Tuts!B1400</f>
        <v>PIA FIBRA 2,00 x 0,55</v>
      </c>
      <c r="C1402" s="13">
        <f>Tuts!E1400</f>
        <v>390</v>
      </c>
      <c r="D1402" s="18">
        <f>Tuts!J1400</f>
        <v>381.42857142857144</v>
      </c>
      <c r="E1402" s="13">
        <f>Tuts!D1400</f>
        <v>267</v>
      </c>
    </row>
    <row r="1403" spans="2:5" ht="15.75" hidden="1" customHeight="1">
      <c r="B1403" t="str">
        <f>Tuts!B1401</f>
        <v>PIA GARCA MARMOFIBRA PRETA/BRANCA 1,50</v>
      </c>
      <c r="C1403" s="13">
        <f>Tuts!E1401</f>
        <v>258</v>
      </c>
      <c r="D1403" s="18">
        <f>Tuts!J1401</f>
        <v>237.84285714285718</v>
      </c>
      <c r="E1403" s="13">
        <f>Tuts!D1401</f>
        <v>166.49</v>
      </c>
    </row>
    <row r="1404" spans="2:5" ht="15.75" hidden="1" customHeight="1">
      <c r="B1404" t="str">
        <f>Tuts!B1402</f>
        <v>PILHA EVEREADY AA</v>
      </c>
      <c r="C1404" s="13">
        <f>Tuts!E1402</f>
        <v>4.5</v>
      </c>
      <c r="D1404" s="18">
        <f>Tuts!J1402</f>
        <v>4</v>
      </c>
      <c r="E1404" s="13">
        <f>Tuts!D1402</f>
        <v>2.8</v>
      </c>
    </row>
    <row r="1405" spans="2:5" ht="15.75" hidden="1" customHeight="1">
      <c r="B1405" t="str">
        <f>Tuts!B1403</f>
        <v>PILHA EVEREADY AAA PALITO</v>
      </c>
      <c r="C1405" s="13">
        <f>Tuts!E1403</f>
        <v>5</v>
      </c>
      <c r="D1405" s="18">
        <f>Tuts!J1403</f>
        <v>4.5142857142857151</v>
      </c>
      <c r="E1405" s="13">
        <f>Tuts!D1403</f>
        <v>3.16</v>
      </c>
    </row>
    <row r="1406" spans="2:5" ht="15.75" hidden="1" customHeight="1">
      <c r="B1406" t="str">
        <f>Tuts!B1404</f>
        <v>PINO BOB BENJAMIM</v>
      </c>
      <c r="C1406" s="13">
        <f>Tuts!E1404</f>
        <v>5</v>
      </c>
      <c r="D1406" s="18">
        <f>Tuts!J1404</f>
        <v>3.1428571428571432</v>
      </c>
      <c r="E1406" s="13">
        <f>Tuts!D1404</f>
        <v>2.2000000000000002</v>
      </c>
    </row>
    <row r="1407" spans="2:5" ht="15.75" hidden="1" customHeight="1">
      <c r="B1407" t="str">
        <f>Tuts!B1405</f>
        <v>PINO MACHO ILUMI 2P 10A</v>
      </c>
      <c r="C1407" s="13">
        <f>Tuts!E1405</f>
        <v>5</v>
      </c>
      <c r="D1407" s="18">
        <f>Tuts!J1405</f>
        <v>3.3285714285714287</v>
      </c>
      <c r="E1407" s="13">
        <f>Tuts!D1405</f>
        <v>2.33</v>
      </c>
    </row>
    <row r="1408" spans="2:5" ht="15.75" hidden="1" customHeight="1">
      <c r="B1408" t="str">
        <f>Tuts!B1406</f>
        <v>PISTOLA DE PINTURA AR DIRETO MODELO 90</v>
      </c>
      <c r="C1408" s="13">
        <f>Tuts!E1406</f>
        <v>92</v>
      </c>
      <c r="D1408" s="18">
        <f>Tuts!J1406</f>
        <v>84.44285714285715</v>
      </c>
      <c r="E1408" s="13">
        <f>Tuts!D1406</f>
        <v>59.11</v>
      </c>
    </row>
    <row r="1409" spans="2:5" ht="15.75" hidden="1" customHeight="1">
      <c r="B1409" t="str">
        <f>Tuts!B1407</f>
        <v>Pitão 10 C/ Bucha</v>
      </c>
      <c r="C1409" s="13">
        <f>Tuts!E1407</f>
        <v>1.1499999999999999</v>
      </c>
      <c r="D1409" s="18">
        <f>Tuts!J1407</f>
        <v>1.0857142857142859</v>
      </c>
      <c r="E1409" s="13">
        <f>Tuts!D1407</f>
        <v>0.76</v>
      </c>
    </row>
    <row r="1410" spans="2:5" ht="15.75" hidden="1" customHeight="1">
      <c r="B1410" t="str">
        <f>Tuts!B1408</f>
        <v>Pitão 8 C/ Bucha</v>
      </c>
      <c r="C1410" s="13">
        <f>Tuts!E1408</f>
        <v>1</v>
      </c>
      <c r="D1410" s="18">
        <f>Tuts!J1408</f>
        <v>0.85714285714285721</v>
      </c>
      <c r="E1410" s="13">
        <f>Tuts!D1408</f>
        <v>0.6</v>
      </c>
    </row>
    <row r="1411" spans="2:5" ht="15.75" hidden="1" customHeight="1">
      <c r="B1411" t="str">
        <f>Tuts!B1409</f>
        <v>PLACA SINALIZACAO ALUGA/CAO BRAVO</v>
      </c>
      <c r="C1411" s="13">
        <f>Tuts!E1409</f>
        <v>23</v>
      </c>
      <c r="D1411" s="18">
        <f>Tuts!J1409</f>
        <v>20.585714285714289</v>
      </c>
      <c r="E1411" s="13">
        <f>Tuts!D1409</f>
        <v>14.41</v>
      </c>
    </row>
    <row r="1412" spans="2:5" ht="15.75" hidden="1" customHeight="1">
      <c r="B1412" t="str">
        <f>Tuts!B1410</f>
        <v>PLACA SINALIZACAO SANITARIO/ENTRADA/DEF FISICO</v>
      </c>
      <c r="C1412" s="13">
        <f>Tuts!E1410</f>
        <v>16</v>
      </c>
      <c r="D1412" s="18">
        <f>Tuts!J1410</f>
        <v>14.428571428571429</v>
      </c>
      <c r="E1412" s="13">
        <f>Tuts!D1410</f>
        <v>10.1</v>
      </c>
    </row>
    <row r="1413" spans="2:5" ht="15.75" hidden="1" customHeight="1">
      <c r="B1413" t="str">
        <f>Tuts!B1411</f>
        <v>PLASBIL PORTA SANFONADA PVC 80CM X 2,10M AREIA/CINZA</v>
      </c>
      <c r="C1413" s="13">
        <f>Tuts!E1411</f>
        <v>160</v>
      </c>
      <c r="D1413" s="18">
        <f>Tuts!J1411</f>
        <v>142.71428571428572</v>
      </c>
      <c r="E1413" s="13">
        <f>Tuts!D1411</f>
        <v>99.9</v>
      </c>
    </row>
    <row r="1414" spans="2:5" ht="15.75" hidden="1" customHeight="1">
      <c r="B1414" t="str">
        <f>Tuts!B1412</f>
        <v>PLASBIL PORTA SANFONADA PVC 80CM X 2,10M BRANCA</v>
      </c>
      <c r="C1414" s="13">
        <f>Tuts!E1412</f>
        <v>155</v>
      </c>
      <c r="D1414" s="18">
        <f>Tuts!J1412</f>
        <v>142.71428571428572</v>
      </c>
      <c r="E1414" s="13">
        <f>Tuts!D1412</f>
        <v>99.9</v>
      </c>
    </row>
    <row r="1415" spans="2:5" ht="15.75" hidden="1" customHeight="1">
      <c r="B1415" t="str">
        <f>Tuts!B1413</f>
        <v>PLASTILIT ASSENTO SANITARIO SOFT BRANCO RED</v>
      </c>
      <c r="C1415" s="13">
        <f>Tuts!E1413</f>
        <v>31</v>
      </c>
      <c r="D1415" s="18">
        <f>Tuts!J1413</f>
        <v>28.428571428571427</v>
      </c>
      <c r="E1415" s="13">
        <f>Tuts!D1413</f>
        <v>19.899999999999999</v>
      </c>
    </row>
    <row r="1416" spans="2:5" ht="15.75" hidden="1" customHeight="1">
      <c r="B1416" t="str">
        <f>Tuts!B1414</f>
        <v>PLASTILIT CAIXA DE GORDURA C/ CESTO DE LIMPEZA</v>
      </c>
      <c r="C1416" s="13">
        <f>Tuts!E1414</f>
        <v>310</v>
      </c>
      <c r="D1416" s="18">
        <f>Tuts!J1414</f>
        <v>285.57142857142861</v>
      </c>
      <c r="E1416" s="13">
        <f>Tuts!D1414</f>
        <v>199.9</v>
      </c>
    </row>
    <row r="1417" spans="2:5" ht="15.75" hidden="1" customHeight="1">
      <c r="B1417" t="str">
        <f>Tuts!B1415</f>
        <v>PLASTILIT PORTA SANFONADA PVC 80CM X 2,10M BRANCA</v>
      </c>
      <c r="C1417" s="13">
        <f>Tuts!E1415</f>
        <v>148</v>
      </c>
      <c r="D1417" s="18">
        <f>Tuts!J1415</f>
        <v>135.57142857142858</v>
      </c>
      <c r="E1417" s="13">
        <f>Tuts!D1415</f>
        <v>94.9</v>
      </c>
    </row>
    <row r="1418" spans="2:5" ht="15.75" hidden="1" customHeight="1">
      <c r="B1418" t="str">
        <f>Tuts!B1416</f>
        <v>PLASTILIT PORTA SANFONADA PVC 90CM X 2,10M BRANCA</v>
      </c>
      <c r="C1418" s="13">
        <f>Tuts!E1416</f>
        <v>165</v>
      </c>
      <c r="D1418" s="18">
        <f>Tuts!J1416</f>
        <v>149.85714285714286</v>
      </c>
      <c r="E1418" s="13">
        <f>Tuts!D1416</f>
        <v>104.9</v>
      </c>
    </row>
    <row r="1419" spans="2:5" ht="15.75" hidden="1" customHeight="1">
      <c r="B1419" t="str">
        <f>Tuts!B1417</f>
        <v>PLASTILIT TUBO ESGOTO PLASTILIT 100MM</v>
      </c>
      <c r="C1419" s="13">
        <f>Tuts!E1417</f>
        <v>100</v>
      </c>
      <c r="D1419" s="18">
        <f>Tuts!J1417</f>
        <v>91.414285714285725</v>
      </c>
      <c r="E1419" s="13">
        <f>Tuts!D1417</f>
        <v>63.99</v>
      </c>
    </row>
    <row r="1420" spans="2:5" ht="15.75" hidden="1" customHeight="1">
      <c r="B1420" t="str">
        <f>Tuts!B1418</f>
        <v>PLASTILIT TUBO ESGOTO PLASTILIT 150MM</v>
      </c>
      <c r="C1420" s="13">
        <f>Tuts!E1418</f>
        <v>260</v>
      </c>
      <c r="D1420" s="18">
        <f>Tuts!J1418</f>
        <v>238.72857142857146</v>
      </c>
      <c r="E1420" s="13">
        <f>Tuts!D1418</f>
        <v>167.11</v>
      </c>
    </row>
    <row r="1421" spans="2:5" ht="15.75" hidden="1" customHeight="1">
      <c r="B1421" t="str">
        <f>Tuts!B1419</f>
        <v>PLASTILIT TUBO ESGOTO PLASTILIT 40MM</v>
      </c>
      <c r="C1421" s="13">
        <f>Tuts!E1419</f>
        <v>50</v>
      </c>
      <c r="D1421" s="18">
        <f>Tuts!J1419</f>
        <v>46.085714285714289</v>
      </c>
      <c r="E1421" s="13">
        <f>Tuts!D1419</f>
        <v>32.26</v>
      </c>
    </row>
    <row r="1422" spans="2:5" ht="15.75" hidden="1" customHeight="1">
      <c r="B1422" t="str">
        <f>Tuts!B1420</f>
        <v>PLASTILIT TUBO ESGOTO PLASTILIT 50MM</v>
      </c>
      <c r="C1422" s="13">
        <f>Tuts!E1420</f>
        <v>74</v>
      </c>
      <c r="D1422" s="18">
        <f>Tuts!J1420</f>
        <v>68.428571428571431</v>
      </c>
      <c r="E1422" s="13">
        <f>Tuts!D1420</f>
        <v>47.9</v>
      </c>
    </row>
    <row r="1423" spans="2:5" ht="15.75" hidden="1" customHeight="1">
      <c r="B1423" t="str">
        <f>Tuts!B1421</f>
        <v>PLASTILIT TUBO ESGOTO PLASTILIT 75MM</v>
      </c>
      <c r="C1423" s="13">
        <f>Tuts!E1421</f>
        <v>110</v>
      </c>
      <c r="D1423" s="18">
        <f>Tuts!J1421</f>
        <v>100.35714285714286</v>
      </c>
      <c r="E1423" s="13">
        <f>Tuts!D1421</f>
        <v>70.25</v>
      </c>
    </row>
    <row r="1424" spans="2:5" ht="15.75" hidden="1" customHeight="1">
      <c r="B1424" t="str">
        <f>Tuts!B1422</f>
        <v>PLASTILIT TUBO SOLDÁVEL PLASTILIT 20MM</v>
      </c>
      <c r="C1424" s="13">
        <f>Tuts!E1422</f>
        <v>27</v>
      </c>
      <c r="D1424" s="18">
        <f>Tuts!J1422</f>
        <v>25</v>
      </c>
      <c r="E1424" s="13">
        <f>Tuts!D1422</f>
        <v>17.5</v>
      </c>
    </row>
    <row r="1425" spans="2:5" ht="15.75" hidden="1" customHeight="1">
      <c r="B1425" t="str">
        <f>Tuts!B1423</f>
        <v>PLASTILIT TUBO SOLDÁVEL PLASTILIT 25MM</v>
      </c>
      <c r="C1425" s="13">
        <f>Tuts!E1423</f>
        <v>28</v>
      </c>
      <c r="D1425" s="18">
        <f>Tuts!J1423</f>
        <v>22.800000000000004</v>
      </c>
      <c r="E1425" s="13">
        <f>Tuts!D1423</f>
        <v>15.96</v>
      </c>
    </row>
    <row r="1426" spans="2:5" ht="15.75" hidden="1" customHeight="1">
      <c r="B1426" t="str">
        <f>Tuts!B1424</f>
        <v>PLASTILIT TUBO SOLDÁVEL PLASTILIT 32MM</v>
      </c>
      <c r="C1426" s="13">
        <f>Tuts!E1424</f>
        <v>70</v>
      </c>
      <c r="D1426" s="18">
        <f>Tuts!J1424</f>
        <v>64.142857142857139</v>
      </c>
      <c r="E1426" s="13">
        <f>Tuts!D1424</f>
        <v>44.9</v>
      </c>
    </row>
    <row r="1427" spans="2:5" ht="15.75" hidden="1" customHeight="1">
      <c r="B1427" t="str">
        <f>Tuts!B1425</f>
        <v>PLASTILIT TUBO SOLDÁVEL PLASTILIT 40MM</v>
      </c>
      <c r="C1427" s="13">
        <f>Tuts!E1425</f>
        <v>103</v>
      </c>
      <c r="D1427" s="18">
        <f>Tuts!J1425</f>
        <v>102.84285714285714</v>
      </c>
      <c r="E1427" s="13">
        <f>Tuts!D1425</f>
        <v>71.989999999999995</v>
      </c>
    </row>
    <row r="1428" spans="2:5" ht="15.75" hidden="1" customHeight="1">
      <c r="B1428" t="str">
        <f>Tuts!B1426</f>
        <v>PLASTILIT TUBO SOLDÁVEL PLASTILIT 50MM</v>
      </c>
      <c r="C1428" s="13">
        <f>Tuts!E1426</f>
        <v>115</v>
      </c>
      <c r="D1428" s="18">
        <f>Tuts!J1426</f>
        <v>105.57142857142858</v>
      </c>
      <c r="E1428" s="13">
        <f>Tuts!D1426</f>
        <v>73.900000000000006</v>
      </c>
    </row>
    <row r="1429" spans="2:5" ht="15.75" hidden="1" customHeight="1">
      <c r="B1429" t="str">
        <f>Tuts!B1427</f>
        <v>PLASTILIT TUBO SOLDÁVEL PLASTILIT 60MM</v>
      </c>
      <c r="C1429" s="13">
        <f>Tuts!E1427</f>
        <v>219</v>
      </c>
      <c r="D1429" s="18">
        <f>Tuts!J1427</f>
        <v>202.71428571428572</v>
      </c>
      <c r="E1429" s="13">
        <f>Tuts!D1427</f>
        <v>141.9</v>
      </c>
    </row>
    <row r="1430" spans="2:5" ht="15.75" hidden="1" customHeight="1">
      <c r="B1430" t="str">
        <f>Tuts!B1428</f>
        <v xml:space="preserve">PLASTILIT VALVULA RETENÇÃO RETENCAO ESGOTO </v>
      </c>
      <c r="C1430" s="13">
        <f>Tuts!E1428</f>
        <v>125</v>
      </c>
      <c r="D1430" s="18">
        <f>Tuts!J1428</f>
        <v>114.14285714285715</v>
      </c>
      <c r="E1430" s="13">
        <f>Tuts!D1428</f>
        <v>79.900000000000006</v>
      </c>
    </row>
    <row r="1431" spans="2:5" ht="15.75" hidden="1" customHeight="1">
      <c r="B1431" t="str">
        <f>Tuts!B1429</f>
        <v>PNEU CARRIOLA 3.25X8</v>
      </c>
      <c r="C1431" s="13">
        <f>Tuts!E1429</f>
        <v>39.9</v>
      </c>
      <c r="D1431" s="18">
        <f>Tuts!J1429</f>
        <v>35.700000000000003</v>
      </c>
      <c r="E1431" s="13">
        <f>Tuts!D1429</f>
        <v>24.99</v>
      </c>
    </row>
    <row r="1432" spans="2:5" ht="15.75" hidden="1" customHeight="1">
      <c r="B1432" t="str">
        <f>Tuts!B1430</f>
        <v>PORCA CARROCERIA 5/8 3/4</v>
      </c>
      <c r="C1432" s="13">
        <f>Tuts!E1430</f>
        <v>15</v>
      </c>
      <c r="D1432" s="18">
        <f>Tuts!J1430</f>
        <v>12.142857142857144</v>
      </c>
      <c r="E1432" s="13">
        <f>Tuts!D1430</f>
        <v>8.5</v>
      </c>
    </row>
    <row r="1433" spans="2:5" ht="15.75" hidden="1" customHeight="1">
      <c r="B1433" t="str">
        <f>Tuts!B1431</f>
        <v>PORCA SEXTAVADA 1/4</v>
      </c>
      <c r="C1433" s="13">
        <f>Tuts!E1431</f>
        <v>0.3</v>
      </c>
      <c r="D1433" s="18">
        <f>Tuts!J1431</f>
        <v>0.25714285714285717</v>
      </c>
      <c r="E1433" s="13">
        <f>Tuts!D1431</f>
        <v>0.18</v>
      </c>
    </row>
    <row r="1434" spans="2:5" ht="15.75" hidden="1" customHeight="1">
      <c r="B1434" t="str">
        <f>Tuts!B1432</f>
        <v>PORCA SEXTAVADA 3/4</v>
      </c>
      <c r="C1434" s="13">
        <f>Tuts!E1432</f>
        <v>3.5</v>
      </c>
      <c r="D1434" s="18">
        <f>Tuts!J1432</f>
        <v>2.8857142857142861</v>
      </c>
      <c r="E1434" s="13">
        <f>Tuts!D1432</f>
        <v>2.02</v>
      </c>
    </row>
    <row r="1435" spans="2:5" ht="15.75" hidden="1" customHeight="1">
      <c r="B1435" t="str">
        <f>Tuts!B1433</f>
        <v>PORCA SEXTAVADA 3/8</v>
      </c>
      <c r="C1435" s="13">
        <f>Tuts!E1433</f>
        <v>0.4</v>
      </c>
      <c r="D1435" s="18">
        <f>Tuts!J1433</f>
        <v>0.32857142857142863</v>
      </c>
      <c r="E1435" s="13">
        <f>Tuts!D1433</f>
        <v>0.23</v>
      </c>
    </row>
    <row r="1436" spans="2:5" ht="15.75" hidden="1" customHeight="1">
      <c r="B1436" t="str">
        <f>Tuts!B1434</f>
        <v>PORCA SEXTAVADA 3/8 ROSCA TRAVANTE</v>
      </c>
      <c r="C1436" s="13">
        <f>Tuts!E1434</f>
        <v>0.65</v>
      </c>
      <c r="D1436" s="18">
        <f>Tuts!J1434</f>
        <v>0.51428571428571435</v>
      </c>
      <c r="E1436" s="13">
        <f>Tuts!D1434</f>
        <v>0.36</v>
      </c>
    </row>
    <row r="1437" spans="2:5" ht="15.75" hidden="1" customHeight="1">
      <c r="B1437" t="str">
        <f>Tuts!B1435</f>
        <v>PORCA SEXTAVADA 5/16</v>
      </c>
      <c r="C1437" s="13">
        <f>Tuts!E1435</f>
        <v>0.25</v>
      </c>
      <c r="D1437" s="18">
        <f>Tuts!J1435</f>
        <v>0.2142857142857143</v>
      </c>
      <c r="E1437" s="13">
        <f>Tuts!D1435</f>
        <v>0.15</v>
      </c>
    </row>
    <row r="1438" spans="2:5" ht="15.75" hidden="1" customHeight="1">
      <c r="B1438" t="str">
        <f>Tuts!B1436</f>
        <v>PORCA SEXTAVADA 5/16 ROSCA TRAVANTE</v>
      </c>
      <c r="C1438" s="13">
        <f>Tuts!E1436</f>
        <v>0.9</v>
      </c>
      <c r="D1438" s="18">
        <f>Tuts!J1436</f>
        <v>0.80000000000000016</v>
      </c>
      <c r="E1438" s="13">
        <f>Tuts!D1436</f>
        <v>0.56000000000000005</v>
      </c>
    </row>
    <row r="1439" spans="2:5" ht="15.75" hidden="1" customHeight="1">
      <c r="B1439" t="str">
        <f>Tuts!B1437</f>
        <v>PORTA BALCAO CORRER 3 FOLHAS 213X120 REQ13 RIOBRAS</v>
      </c>
      <c r="C1439" s="13">
        <f>Tuts!E1437</f>
        <v>2390</v>
      </c>
      <c r="D1439" s="18">
        <f>Tuts!J1437</f>
        <v>2288.0285714285715</v>
      </c>
      <c r="E1439" s="13">
        <f>Tuts!D1437</f>
        <v>1601.62</v>
      </c>
    </row>
    <row r="1440" spans="2:5" ht="15.75" hidden="1" customHeight="1">
      <c r="B1440" t="str">
        <f>Tuts!B1438</f>
        <v>PORTA GRELHA 10CM ALUMINIO SSMETAIS</v>
      </c>
      <c r="C1440" s="13">
        <f>Tuts!E1438</f>
        <v>10.5</v>
      </c>
      <c r="D1440" s="18">
        <f>Tuts!J1438</f>
        <v>7.0000000000000009</v>
      </c>
      <c r="E1440" s="13">
        <f>Tuts!D1438</f>
        <v>4.9000000000000004</v>
      </c>
    </row>
    <row r="1441" spans="2:5" ht="15.75" hidden="1" customHeight="1">
      <c r="B1441" t="str">
        <f>Tuts!B1439</f>
        <v>PORTA PINTURA 80CM</v>
      </c>
      <c r="C1441" s="13">
        <f>Tuts!E1439</f>
        <v>180</v>
      </c>
      <c r="D1441" s="18">
        <f>Tuts!J1439</f>
        <v>162.22857142857146</v>
      </c>
      <c r="E1441" s="13">
        <f>Tuts!D1439</f>
        <v>113.56</v>
      </c>
    </row>
    <row r="1442" spans="2:5" ht="15.75" hidden="1" customHeight="1">
      <c r="B1442" t="str">
        <f>Tuts!B1440</f>
        <v>PORTA SHAMPOO CANTO CROMADO</v>
      </c>
      <c r="C1442" s="13">
        <f>Tuts!E1440</f>
        <v>54.9</v>
      </c>
      <c r="D1442" s="18">
        <f>Tuts!J1440</f>
        <v>53.70000000000001</v>
      </c>
      <c r="E1442" s="13">
        <f>Tuts!D1440</f>
        <v>37.590000000000003</v>
      </c>
    </row>
    <row r="1443" spans="2:5" ht="15.75" hidden="1" customHeight="1">
      <c r="B1443" t="str">
        <f>Tuts!B1441</f>
        <v xml:space="preserve">PORTA SHAMPOO GRANDE DE CANTO BRANCO </v>
      </c>
      <c r="C1443" s="13">
        <f>Tuts!E1441</f>
        <v>44.9</v>
      </c>
      <c r="D1443" s="18">
        <f>Tuts!J1441</f>
        <v>39.9</v>
      </c>
      <c r="E1443" s="13">
        <f>Tuts!D1441</f>
        <v>27.93</v>
      </c>
    </row>
    <row r="1444" spans="2:5" ht="15.75" hidden="1" customHeight="1">
      <c r="B1444" t="str">
        <f>Tuts!B1442</f>
        <v>Porta Shampoo Reto 10x25 Marini</v>
      </c>
      <c r="C1444" s="13">
        <f>Tuts!E1442</f>
        <v>27.8</v>
      </c>
      <c r="D1444" s="18">
        <f>Tuts!J1442</f>
        <v>29.100000000000005</v>
      </c>
      <c r="E1444" s="13">
        <f>Tuts!D1442</f>
        <v>20.37</v>
      </c>
    </row>
    <row r="1445" spans="2:5" ht="15.75" hidden="1" customHeight="1">
      <c r="B1445" t="str">
        <f>Tuts!B1443</f>
        <v>Porta Shampoo Reto 10x35 Marini</v>
      </c>
      <c r="C1445" s="13">
        <f>Tuts!E1443</f>
        <v>33.5</v>
      </c>
      <c r="D1445" s="18">
        <f>Tuts!J1443</f>
        <v>35.614285714285714</v>
      </c>
      <c r="E1445" s="13">
        <f>Tuts!D1443</f>
        <v>24.93</v>
      </c>
    </row>
    <row r="1446" spans="2:5" ht="15.75" hidden="1" customHeight="1">
      <c r="B1446" t="str">
        <f>Tuts!B1444</f>
        <v>Porta Shampoo Reto Luxo Marini</v>
      </c>
      <c r="C1446" s="13">
        <f>Tuts!E1444</f>
        <v>43.5</v>
      </c>
      <c r="D1446" s="18">
        <f>Tuts!J1444</f>
        <v>46.071428571428577</v>
      </c>
      <c r="E1446" s="13">
        <f>Tuts!D1444</f>
        <v>32.25</v>
      </c>
    </row>
    <row r="1447" spans="2:5" ht="15.75" hidden="1" customHeight="1">
      <c r="B1447" t="str">
        <f>Tuts!B1445</f>
        <v>PORTA TOALHA MARINI STANDART</v>
      </c>
      <c r="C1447" s="13">
        <f>Tuts!E1445</f>
        <v>19</v>
      </c>
      <c r="D1447" s="18">
        <f>Tuts!J1445</f>
        <v>16.142857142857146</v>
      </c>
      <c r="E1447" s="13">
        <f>Tuts!D1445</f>
        <v>11.3</v>
      </c>
    </row>
    <row r="1448" spans="2:5" ht="15.75" hidden="1" customHeight="1">
      <c r="B1448" t="str">
        <f>Tuts!B1446</f>
        <v>PORTA TRABALHADA MADEIRA 80CM</v>
      </c>
      <c r="C1448" s="13">
        <f>Tuts!E1446</f>
        <v>225</v>
      </c>
      <c r="D1448" s="18">
        <f>Tuts!J1446</f>
        <v>208.01428571428573</v>
      </c>
      <c r="E1448" s="13">
        <f>Tuts!D1446</f>
        <v>145.61000000000001</v>
      </c>
    </row>
    <row r="1449" spans="2:5" ht="15.75" hidden="1" customHeight="1">
      <c r="B1449" t="str">
        <f>Tuts!B1447</f>
        <v>PORTA TRABALHADA MADEIRA 80CM C/ PORTAL</v>
      </c>
      <c r="C1449" s="13">
        <f>Tuts!E1447</f>
        <v>420</v>
      </c>
      <c r="D1449" s="18">
        <f>Tuts!J1447</f>
        <v>360</v>
      </c>
      <c r="E1449" s="13">
        <f>Tuts!D1447</f>
        <v>252</v>
      </c>
    </row>
    <row r="1450" spans="2:5" ht="15.75" hidden="1" customHeight="1">
      <c r="B1450" t="str">
        <f>Tuts!B1448</f>
        <v>PORTA TRABALHADA MADEIRA 90 CM</v>
      </c>
      <c r="C1450" s="13">
        <f>Tuts!E1448</f>
        <v>265</v>
      </c>
      <c r="D1450" s="18">
        <f>Tuts!J1448</f>
        <v>220.71428571428572</v>
      </c>
      <c r="E1450" s="13">
        <f>Tuts!D1448</f>
        <v>154.5</v>
      </c>
    </row>
    <row r="1451" spans="2:5" ht="15.75" hidden="1" customHeight="1">
      <c r="B1451" t="str">
        <f>Tuts!B1449</f>
        <v>PORTAO PET</v>
      </c>
      <c r="C1451" s="13">
        <f>Tuts!E1449</f>
        <v>118</v>
      </c>
      <c r="D1451" s="18">
        <f>Tuts!J1449</f>
        <v>107.14285714285715</v>
      </c>
      <c r="E1451" s="13">
        <f>Tuts!D1449</f>
        <v>75</v>
      </c>
    </row>
    <row r="1452" spans="2:5" ht="15.75" hidden="1" customHeight="1">
      <c r="B1452" t="str">
        <f>Tuts!B1450</f>
        <v>PRATO XAXIM PLASTICO N03</v>
      </c>
      <c r="C1452" s="13">
        <f>Tuts!E1450</f>
        <v>5.5</v>
      </c>
      <c r="D1452" s="18">
        <f>Tuts!J1450</f>
        <v>2.5</v>
      </c>
      <c r="E1452" s="13">
        <f>Tuts!D1450</f>
        <v>1.75</v>
      </c>
    </row>
    <row r="1453" spans="2:5" ht="15.75" hidden="1" customHeight="1">
      <c r="B1453" t="str">
        <f>Tuts!B1451</f>
        <v>PREGO 10X10</v>
      </c>
      <c r="C1453" s="13">
        <f>Tuts!E1451</f>
        <v>57</v>
      </c>
      <c r="D1453" s="18">
        <f>Tuts!J1451</f>
        <v>52.842857142857149</v>
      </c>
      <c r="E1453" s="13">
        <f>Tuts!D1451</f>
        <v>36.99</v>
      </c>
    </row>
    <row r="1454" spans="2:5" ht="15.75" hidden="1" customHeight="1">
      <c r="B1454" t="str">
        <f>Tuts!B1452</f>
        <v>PREGO 12X12</v>
      </c>
      <c r="C1454" s="13">
        <f>Tuts!E1452</f>
        <v>20</v>
      </c>
      <c r="D1454" s="18">
        <f>Tuts!J1452</f>
        <v>18.37142857142857</v>
      </c>
      <c r="E1454" s="13">
        <f>Tuts!D1452</f>
        <v>12.86</v>
      </c>
    </row>
    <row r="1455" spans="2:5" ht="15.75" hidden="1" customHeight="1">
      <c r="B1455" t="str">
        <f>Tuts!B1453</f>
        <v>PREGO 13X15</v>
      </c>
      <c r="C1455" s="13">
        <f>Tuts!E1453</f>
        <v>18</v>
      </c>
      <c r="D1455" s="18">
        <f>Tuts!J1453</f>
        <v>15.957142857142857</v>
      </c>
      <c r="E1455" s="13">
        <f>Tuts!D1453</f>
        <v>11.17</v>
      </c>
    </row>
    <row r="1456" spans="2:5" ht="15.75" hidden="1" customHeight="1">
      <c r="B1456" t="str">
        <f>Tuts!B1454</f>
        <v>PREGO 13X18</v>
      </c>
      <c r="C1456" s="13">
        <f>Tuts!E1454</f>
        <v>32</v>
      </c>
      <c r="D1456" s="18">
        <f>Tuts!J1454</f>
        <v>34.68571428571429</v>
      </c>
      <c r="E1456" s="13">
        <f>Tuts!D1454</f>
        <v>24.28</v>
      </c>
    </row>
    <row r="1457" spans="2:5" ht="15.75" hidden="1" customHeight="1">
      <c r="B1457" t="str">
        <f>Tuts!B1455</f>
        <v>PREGO 14X21</v>
      </c>
      <c r="C1457" s="13">
        <f>Tuts!E1455</f>
        <v>35</v>
      </c>
      <c r="D1457" s="18">
        <f>Tuts!J1455</f>
        <v>32.142857142857146</v>
      </c>
      <c r="E1457" s="13">
        <f>Tuts!D1455</f>
        <v>22.5</v>
      </c>
    </row>
    <row r="1458" spans="2:5" ht="15.75" hidden="1" customHeight="1">
      <c r="B1458" t="str">
        <f>Tuts!B1456</f>
        <v>PREGO 15X15</v>
      </c>
      <c r="C1458" s="13">
        <f>Tuts!E1456</f>
        <v>22</v>
      </c>
      <c r="D1458" s="18">
        <f>Tuts!J1456</f>
        <v>20.385714285714286</v>
      </c>
      <c r="E1458" s="13">
        <f>Tuts!D1456</f>
        <v>14.27</v>
      </c>
    </row>
    <row r="1459" spans="2:5" ht="15.75" hidden="1" customHeight="1">
      <c r="B1459" t="str">
        <f>Tuts!B1457</f>
        <v>PREGO 15X21</v>
      </c>
      <c r="C1459" s="13">
        <f>Tuts!E1457</f>
        <v>23</v>
      </c>
      <c r="D1459" s="18">
        <f>Tuts!J1457</f>
        <v>20.214285714285715</v>
      </c>
      <c r="E1459" s="13">
        <f>Tuts!D1457</f>
        <v>14.15</v>
      </c>
    </row>
    <row r="1460" spans="2:5" ht="15.75" hidden="1" customHeight="1">
      <c r="B1460" t="str">
        <f>Tuts!B1458</f>
        <v>PREGO 17X21</v>
      </c>
      <c r="C1460" s="13">
        <f>Tuts!E1458</f>
        <v>22</v>
      </c>
      <c r="D1460" s="18">
        <f>Tuts!J1458</f>
        <v>19.671428571428571</v>
      </c>
      <c r="E1460" s="13">
        <f>Tuts!D1458</f>
        <v>13.77</v>
      </c>
    </row>
    <row r="1461" spans="2:5" ht="15.75" hidden="1" customHeight="1">
      <c r="B1461" t="str">
        <f>Tuts!B1459</f>
        <v>PREGO 17X27</v>
      </c>
      <c r="C1461" s="13">
        <f>Tuts!E1459</f>
        <v>27</v>
      </c>
      <c r="D1461" s="18">
        <f>Tuts!J1459</f>
        <v>19.285714285714288</v>
      </c>
      <c r="E1461" s="13">
        <f>Tuts!D1459</f>
        <v>13.5</v>
      </c>
    </row>
    <row r="1462" spans="2:5" ht="15.75" hidden="1" customHeight="1">
      <c r="B1462" t="str">
        <f>Tuts!B1460</f>
        <v>PREGO 17X27 CABEÇA DUPLA</v>
      </c>
      <c r="C1462" s="13">
        <f>Tuts!E1460</f>
        <v>30</v>
      </c>
      <c r="D1462" s="18">
        <f>Tuts!J1460</f>
        <v>27.857142857142858</v>
      </c>
      <c r="E1462" s="13">
        <f>Tuts!D1460</f>
        <v>19.5</v>
      </c>
    </row>
    <row r="1463" spans="2:5" ht="15.75" hidden="1" customHeight="1">
      <c r="B1463" t="str">
        <f>Tuts!B1461</f>
        <v>PREGO 18X24</v>
      </c>
      <c r="C1463" s="13">
        <f>Tuts!E1461</f>
        <v>25</v>
      </c>
      <c r="D1463" s="18">
        <f>Tuts!J1461</f>
        <v>21.25714285714286</v>
      </c>
      <c r="E1463" s="13">
        <f>Tuts!D1461</f>
        <v>14.88</v>
      </c>
    </row>
    <row r="1464" spans="2:5" ht="15.75" hidden="1" customHeight="1">
      <c r="B1464" t="str">
        <f>Tuts!B1462</f>
        <v>PREGO 19X27</v>
      </c>
      <c r="C1464" s="13">
        <f>Tuts!E1462</f>
        <v>19</v>
      </c>
      <c r="D1464" s="18">
        <f>Tuts!J1462</f>
        <v>15.714285714285715</v>
      </c>
      <c r="E1464" s="13">
        <f>Tuts!D1462</f>
        <v>11</v>
      </c>
    </row>
    <row r="1465" spans="2:5" ht="15.75" hidden="1" customHeight="1">
      <c r="B1465" t="str">
        <f>Tuts!B1463</f>
        <v>PREGO 19X30</v>
      </c>
      <c r="C1465" s="13">
        <f>Tuts!E1463</f>
        <v>31</v>
      </c>
      <c r="D1465" s="18">
        <f>Tuts!J1463</f>
        <v>28.157142857142862</v>
      </c>
      <c r="E1465" s="13">
        <f>Tuts!D1463</f>
        <v>19.71</v>
      </c>
    </row>
    <row r="1466" spans="2:5" ht="15.75" hidden="1" customHeight="1">
      <c r="B1466" t="str">
        <f>Tuts!B1464</f>
        <v>PREGO 19X36</v>
      </c>
      <c r="C1466" s="13">
        <f>Tuts!E1464</f>
        <v>20</v>
      </c>
      <c r="D1466" s="18">
        <f>Tuts!J1464</f>
        <v>18.085714285714285</v>
      </c>
      <c r="E1466" s="13">
        <f>Tuts!D1464</f>
        <v>12.66</v>
      </c>
    </row>
    <row r="1467" spans="2:5" ht="15.75" hidden="1" customHeight="1">
      <c r="B1467" t="str">
        <f>Tuts!B1465</f>
        <v>PREGO 20X30</v>
      </c>
      <c r="C1467" s="13">
        <f>Tuts!E1465</f>
        <v>18</v>
      </c>
      <c r="D1467" s="18">
        <f>Tuts!J1465</f>
        <v>13.27142857142857</v>
      </c>
      <c r="E1467" s="13">
        <f>Tuts!D1465</f>
        <v>9.2899999999999991</v>
      </c>
    </row>
    <row r="1468" spans="2:5" ht="15.75" hidden="1" customHeight="1">
      <c r="B1468" t="str">
        <f>Tuts!B1466</f>
        <v>PREGO 22X42</v>
      </c>
      <c r="C1468" s="13">
        <f>Tuts!E1466</f>
        <v>21</v>
      </c>
      <c r="D1468" s="18">
        <f>Tuts!J1466</f>
        <v>18.571428571428573</v>
      </c>
      <c r="E1468" s="13">
        <f>Tuts!D1466</f>
        <v>13</v>
      </c>
    </row>
    <row r="1469" spans="2:5" ht="15.75" hidden="1" customHeight="1">
      <c r="B1469" t="str">
        <f>Tuts!B1467</f>
        <v>PREGO 22X48</v>
      </c>
      <c r="C1469" s="13">
        <f>Tuts!E1467</f>
        <v>18</v>
      </c>
      <c r="D1469" s="18">
        <f>Tuts!J1467</f>
        <v>16.171428571428574</v>
      </c>
      <c r="E1469" s="13">
        <f>Tuts!D1467</f>
        <v>11.32</v>
      </c>
    </row>
    <row r="1470" spans="2:5" ht="15.75" hidden="1" customHeight="1">
      <c r="B1470" t="str">
        <f>Tuts!B1468</f>
        <v>PREGO 26 X 84</v>
      </c>
      <c r="C1470" s="13">
        <f>Tuts!E1468</f>
        <v>35</v>
      </c>
      <c r="D1470" s="18">
        <f>Tuts!J1468</f>
        <v>34.18571428571429</v>
      </c>
      <c r="E1470" s="13">
        <f>Tuts!D1468</f>
        <v>23.93</v>
      </c>
    </row>
    <row r="1471" spans="2:5" ht="15.75" hidden="1" customHeight="1">
      <c r="B1471" t="str">
        <f>Tuts!B1469</f>
        <v>PREGO GRAMPO</v>
      </c>
      <c r="C1471" s="13">
        <f>Tuts!E1469</f>
        <v>22</v>
      </c>
      <c r="D1471" s="18">
        <f>Tuts!J1469</f>
        <v>19.714285714285715</v>
      </c>
      <c r="E1471" s="13">
        <f>Tuts!D1469</f>
        <v>13.8</v>
      </c>
    </row>
    <row r="1472" spans="2:5" ht="15.75" hidden="1" customHeight="1">
      <c r="B1472" t="str">
        <f>Tuts!B1470</f>
        <v>PREGO GRAMPO PEQUENO GENERAL</v>
      </c>
      <c r="C1472" s="13">
        <f>Tuts!E1470</f>
        <v>25</v>
      </c>
      <c r="D1472" s="18">
        <f>Tuts!J1470</f>
        <v>22.414285714285715</v>
      </c>
      <c r="E1472" s="13">
        <f>Tuts!D1470</f>
        <v>15.69</v>
      </c>
    </row>
    <row r="1473" spans="2:5" ht="15.75" hidden="1" customHeight="1">
      <c r="B1473" t="str">
        <f>Tuts!B1471</f>
        <v>PREGO TELHEIRO 18X30</v>
      </c>
      <c r="C1473" s="13">
        <f>Tuts!E1471</f>
        <v>0.6</v>
      </c>
      <c r="D1473" s="18">
        <f>Tuts!J1471</f>
        <v>0.51428571428571435</v>
      </c>
      <c r="E1473" s="13">
        <f>Tuts!D1471</f>
        <v>0.36</v>
      </c>
    </row>
    <row r="1474" spans="2:5" ht="15.75" hidden="1" customHeight="1">
      <c r="B1474" t="str">
        <f>Tuts!B1472</f>
        <v>PRETINHO - TIPO 1 - GALÃO 5L</v>
      </c>
      <c r="C1474" s="13">
        <f>Tuts!E1472</f>
        <v>50</v>
      </c>
      <c r="D1474" s="18">
        <f>Tuts!J1472</f>
        <v>50</v>
      </c>
      <c r="E1474" s="13">
        <f>Tuts!D1472</f>
        <v>35</v>
      </c>
    </row>
    <row r="1475" spans="2:5" ht="15.75" hidden="1" customHeight="1">
      <c r="B1475" t="str">
        <f>Tuts!B1473</f>
        <v>PRIME IMPERIO  METAIS TORNEIRA BANHEIRO ABS CROMADO</v>
      </c>
      <c r="C1475" s="13">
        <f>Tuts!E1473</f>
        <v>44</v>
      </c>
      <c r="D1475" s="18">
        <f>Tuts!J1473</f>
        <v>40.714285714285715</v>
      </c>
      <c r="E1475" s="13">
        <f>Tuts!D1473</f>
        <v>28.5</v>
      </c>
    </row>
    <row r="1476" spans="2:5" ht="15.75" hidden="1" customHeight="1">
      <c r="B1476" t="str">
        <f>Tuts!B1474</f>
        <v>PRIME IMPERIO  METAIS TORNEIRA COZINHA ABS CROMADO</v>
      </c>
      <c r="C1476" s="13">
        <f>Tuts!E1474</f>
        <v>43</v>
      </c>
      <c r="D1476" s="18">
        <f>Tuts!J1474</f>
        <v>39.285714285714285</v>
      </c>
      <c r="E1476" s="13">
        <f>Tuts!D1474</f>
        <v>27.5</v>
      </c>
    </row>
    <row r="1477" spans="2:5" ht="15.75" hidden="1" customHeight="1">
      <c r="B1477" t="str">
        <f>Tuts!B1475</f>
        <v>PRIME IMPERIO METAIS TORNEIRA BANHEIRO ABS BRANCA</v>
      </c>
      <c r="C1477" s="13">
        <f>Tuts!E1475</f>
        <v>40</v>
      </c>
      <c r="D1477" s="18">
        <f>Tuts!J1475</f>
        <v>36.428571428571431</v>
      </c>
      <c r="E1477" s="13">
        <f>Tuts!D1475</f>
        <v>25.5</v>
      </c>
    </row>
    <row r="1478" spans="2:5" ht="15.75" hidden="1" customHeight="1">
      <c r="B1478" t="str">
        <f>Tuts!B1476</f>
        <v>PRIME IMPERIO METAIS TORNEIRA COZINHA ABS BRANCA</v>
      </c>
      <c r="C1478" s="13">
        <f>Tuts!E1476</f>
        <v>37</v>
      </c>
      <c r="D1478" s="18">
        <f>Tuts!J1476</f>
        <v>33.571428571428577</v>
      </c>
      <c r="E1478" s="13">
        <f>Tuts!D1476</f>
        <v>23.5</v>
      </c>
    </row>
    <row r="1479" spans="2:5" ht="15.75" hidden="1" customHeight="1">
      <c r="B1479" t="str">
        <f>Tuts!B1477</f>
        <v>Prime Master 3,6l</v>
      </c>
      <c r="C1479" s="13">
        <f>Tuts!E1477</f>
        <v>116</v>
      </c>
      <c r="D1479" s="18">
        <f>Tuts!J1477</f>
        <v>107.51428571428573</v>
      </c>
      <c r="E1479" s="13">
        <f>Tuts!D1477</f>
        <v>75.260000000000005</v>
      </c>
    </row>
    <row r="1480" spans="2:5" ht="15.75" hidden="1" customHeight="1">
      <c r="B1480" t="str">
        <f>Tuts!B1478</f>
        <v>Prime Master 900ml</v>
      </c>
      <c r="C1480" s="13">
        <f>Tuts!E1478</f>
        <v>43</v>
      </c>
      <c r="D1480" s="18">
        <f>Tuts!J1478</f>
        <v>39.157142857142858</v>
      </c>
      <c r="E1480" s="13">
        <f>Tuts!D1478</f>
        <v>27.41</v>
      </c>
    </row>
    <row r="1481" spans="2:5" ht="15.75" hidden="1" customHeight="1">
      <c r="B1481" t="str">
        <f>Tuts!B1479</f>
        <v>PROFIELD 7'' DISCO SEGMENTADO</v>
      </c>
      <c r="C1481" s="13">
        <f>Tuts!E1479</f>
        <v>43</v>
      </c>
      <c r="D1481" s="18">
        <f>Tuts!J1479</f>
        <v>38.571428571428577</v>
      </c>
      <c r="E1481" s="13">
        <f>Tuts!D1479</f>
        <v>27</v>
      </c>
    </row>
    <row r="1482" spans="2:5" ht="15.75" hidden="1" customHeight="1">
      <c r="B1482" t="str">
        <f>Tuts!B1480</f>
        <v>PROFIELD JOGO DE SERRA COPO PARA MADEIRA 11PCS</v>
      </c>
      <c r="C1482" s="13">
        <f>Tuts!E1480</f>
        <v>45</v>
      </c>
      <c r="D1482" s="18">
        <f>Tuts!J1480</f>
        <v>41.285714285714285</v>
      </c>
      <c r="E1482" s="13">
        <f>Tuts!D1480</f>
        <v>28.9</v>
      </c>
    </row>
    <row r="1483" spans="2:5" ht="15.75" hidden="1" customHeight="1">
      <c r="B1483" t="str">
        <f>Tuts!B1481</f>
        <v>PROFIELD JOGO DE SERRA COPO PARA MADEIRA 6PCS</v>
      </c>
      <c r="C1483" s="13">
        <f>Tuts!E1481</f>
        <v>31</v>
      </c>
      <c r="D1483" s="18">
        <f>Tuts!J1481</f>
        <v>27</v>
      </c>
      <c r="E1483" s="13">
        <f>Tuts!D1481</f>
        <v>18.899999999999999</v>
      </c>
    </row>
    <row r="1484" spans="2:5" ht="15.75" hidden="1" customHeight="1">
      <c r="B1484" t="str">
        <f>Tuts!B1482</f>
        <v>PROFIELD REGISTRO METAL 1</v>
      </c>
      <c r="C1484" s="13">
        <f>Tuts!E1482</f>
        <v>43</v>
      </c>
      <c r="D1484" s="18">
        <f>Tuts!J1482</f>
        <v>39.285714285714285</v>
      </c>
      <c r="E1484" s="13">
        <f>Tuts!D1482</f>
        <v>27.5</v>
      </c>
    </row>
    <row r="1485" spans="2:5" ht="15.75" hidden="1" customHeight="1">
      <c r="B1485" t="str">
        <f>Tuts!B1483</f>
        <v>PROFIELD REGISTRO METAL 1/2</v>
      </c>
      <c r="C1485" s="13">
        <f>Tuts!E1483</f>
        <v>22</v>
      </c>
      <c r="D1485" s="18">
        <f>Tuts!J1483</f>
        <v>20.285714285714285</v>
      </c>
      <c r="E1485" s="13">
        <f>Tuts!D1483</f>
        <v>14.2</v>
      </c>
    </row>
    <row r="1486" spans="2:5" ht="15.75" hidden="1" customHeight="1">
      <c r="B1486" t="str">
        <f>Tuts!B1484</f>
        <v>PROFIELD REGISTRO METAL 1/4</v>
      </c>
      <c r="C1486" s="13">
        <f>Tuts!E1484</f>
        <v>23</v>
      </c>
      <c r="D1486" s="18">
        <f>Tuts!J1484</f>
        <v>17.142857142857142</v>
      </c>
      <c r="E1486" s="13">
        <f>Tuts!D1484</f>
        <v>12</v>
      </c>
    </row>
    <row r="1487" spans="2:5" ht="15.75" hidden="1" customHeight="1">
      <c r="B1487" t="str">
        <f>Tuts!B1485</f>
        <v>PROFIELD REGISTRO METAL 3/4</v>
      </c>
      <c r="C1487" s="13">
        <f>Tuts!E1485</f>
        <v>25</v>
      </c>
      <c r="D1487" s="18">
        <f>Tuts!J1485</f>
        <v>22.571428571428573</v>
      </c>
      <c r="E1487" s="13">
        <f>Tuts!D1485</f>
        <v>15.8</v>
      </c>
    </row>
    <row r="1488" spans="2:5" ht="15.75" hidden="1" customHeight="1">
      <c r="B1488" t="str">
        <f>Tuts!B1486</f>
        <v>PROLONGADOR AREIA 135023</v>
      </c>
      <c r="C1488" s="13">
        <f>Tuts!E1486</f>
        <v>47</v>
      </c>
      <c r="D1488" s="18">
        <f>Tuts!J1486</f>
        <v>43.285714285714292</v>
      </c>
      <c r="E1488" s="13">
        <f>Tuts!D1486</f>
        <v>30.3</v>
      </c>
    </row>
    <row r="1489" spans="2:5" ht="15.75" hidden="1" customHeight="1">
      <c r="B1489" t="str">
        <f>Tuts!B1487</f>
        <v>PROLONGADOR CHURRASQUEIRA CERAMICA 132017</v>
      </c>
      <c r="C1489" s="13">
        <f>Tuts!E1487</f>
        <v>45</v>
      </c>
      <c r="D1489" s="18">
        <f>Tuts!J1487</f>
        <v>41.142857142857146</v>
      </c>
      <c r="E1489" s="13">
        <f>Tuts!D1487</f>
        <v>28.8</v>
      </c>
    </row>
    <row r="1490" spans="2:5" ht="15.75" hidden="1" customHeight="1">
      <c r="B1490" t="str">
        <f>Tuts!B1488</f>
        <v>PROLONGADOR CHURRASQUEIRA MESCLA 132059</v>
      </c>
      <c r="C1490" s="13">
        <f>Tuts!E1488</f>
        <v>45</v>
      </c>
      <c r="D1490" s="18">
        <f>Tuts!J1488</f>
        <v>41.142857142857146</v>
      </c>
      <c r="E1490" s="13">
        <f>Tuts!D1488</f>
        <v>28.8</v>
      </c>
    </row>
    <row r="1491" spans="2:5" ht="15.75" hidden="1" customHeight="1">
      <c r="B1491" t="str">
        <f>Tuts!B1489</f>
        <v>PROLONGADOR GRANITO TABACO 135082</v>
      </c>
      <c r="C1491" s="13">
        <f>Tuts!E1489</f>
        <v>52</v>
      </c>
      <c r="D1491" s="18">
        <f>Tuts!J1489</f>
        <v>46.742857142857147</v>
      </c>
      <c r="E1491" s="13">
        <f>Tuts!D1489</f>
        <v>32.72</v>
      </c>
    </row>
    <row r="1492" spans="2:5" ht="15.75" hidden="1" customHeight="1">
      <c r="B1492" t="str">
        <f>Tuts!B1490</f>
        <v>PROTETOR DE SURTO DPS 20 KA BIV</v>
      </c>
      <c r="C1492" s="13">
        <f>Tuts!E1490</f>
        <v>26</v>
      </c>
      <c r="D1492" s="18">
        <f>Tuts!J1490</f>
        <v>24.115714285714287</v>
      </c>
      <c r="E1492" s="13">
        <f>Tuts!D1490</f>
        <v>16.881</v>
      </c>
    </row>
    <row r="1493" spans="2:5" ht="15.75" hidden="1" customHeight="1">
      <c r="B1493" t="str">
        <f>Tuts!B1491</f>
        <v>PROTETOR DE SURTO DPS 40 KA BIV</v>
      </c>
      <c r="C1493" s="13">
        <f>Tuts!E1491</f>
        <v>35</v>
      </c>
      <c r="D1493" s="18">
        <f>Tuts!J1491</f>
        <v>32.285714285714292</v>
      </c>
      <c r="E1493" s="13">
        <f>Tuts!D1491</f>
        <v>22.6</v>
      </c>
    </row>
    <row r="1494" spans="2:5" ht="15.75" hidden="1" customHeight="1">
      <c r="B1494" t="str">
        <f>Tuts!B1492</f>
        <v xml:space="preserve">PROTETOR ORICULAR </v>
      </c>
      <c r="C1494" s="13">
        <f>Tuts!E1492</f>
        <v>5</v>
      </c>
      <c r="D1494" s="18">
        <f>Tuts!J1492</f>
        <v>1.4857142857142858</v>
      </c>
      <c r="E1494" s="13">
        <f>Tuts!D1492</f>
        <v>1.04</v>
      </c>
    </row>
    <row r="1495" spans="2:5" ht="15.75" hidden="1" customHeight="1">
      <c r="B1495" t="str">
        <f>Tuts!B1493</f>
        <v>PROTETOR ORICULAR  C/ ABAFADOR</v>
      </c>
      <c r="C1495" s="13">
        <f>Tuts!E1493</f>
        <v>22.9</v>
      </c>
      <c r="D1495" s="18">
        <f>Tuts!J1493</f>
        <v>20.771428571428572</v>
      </c>
      <c r="E1495" s="13">
        <f>Tuts!D1493</f>
        <v>14.54</v>
      </c>
    </row>
    <row r="1496" spans="2:5" ht="15.75" hidden="1" customHeight="1">
      <c r="B1496" t="str">
        <f>Tuts!B1494</f>
        <v>PRUMO DE PAREDE 400G MOMFORT</v>
      </c>
      <c r="C1496" s="13">
        <f>Tuts!E1494</f>
        <v>30</v>
      </c>
      <c r="D1496" s="18">
        <f>Tuts!J1494</f>
        <v>27.285714285714288</v>
      </c>
      <c r="E1496" s="13">
        <f>Tuts!D1494</f>
        <v>19.100000000000001</v>
      </c>
    </row>
    <row r="1497" spans="2:5" ht="15.75" hidden="1" customHeight="1">
      <c r="B1497" t="str">
        <f>Tuts!B1495</f>
        <v>PRUMO DE PAREDE 500G MOMFORT</v>
      </c>
      <c r="C1497" s="13">
        <f>Tuts!E1495</f>
        <v>34</v>
      </c>
      <c r="D1497" s="18">
        <f>Tuts!J1495</f>
        <v>30.714285714285715</v>
      </c>
      <c r="E1497" s="13">
        <f>Tuts!D1495</f>
        <v>21.5</v>
      </c>
    </row>
    <row r="1498" spans="2:5" ht="15.75" hidden="1" customHeight="1">
      <c r="B1498" t="str">
        <f>Tuts!B1496</f>
        <v>PRUMO DE PAREDE 700G FUZIL</v>
      </c>
      <c r="C1498" s="13">
        <f>Tuts!E1496</f>
        <v>37.9</v>
      </c>
      <c r="D1498" s="18">
        <f>Tuts!J1496</f>
        <v>30.75714285714286</v>
      </c>
      <c r="E1498" s="13">
        <f>Tuts!D1496</f>
        <v>21.53</v>
      </c>
    </row>
    <row r="1499" spans="2:5" ht="15.75" hidden="1" customHeight="1">
      <c r="B1499" t="str">
        <f>Tuts!B1497</f>
        <v>PRUMO PVC</v>
      </c>
      <c r="C1499" s="13">
        <f>Tuts!E1497</f>
        <v>21</v>
      </c>
      <c r="D1499" s="18">
        <f>Tuts!J1497</f>
        <v>19.285714285714288</v>
      </c>
      <c r="E1499" s="13">
        <f>Tuts!D1497</f>
        <v>13.5</v>
      </c>
    </row>
    <row r="1500" spans="2:5" ht="15.75" hidden="1" customHeight="1">
      <c r="B1500" t="str">
        <f>Tuts!B1498</f>
        <v>PU 40 FIX</v>
      </c>
      <c r="C1500" s="13">
        <f>Tuts!E1498</f>
        <v>25.8</v>
      </c>
      <c r="D1500" s="18">
        <f>Tuts!J1498</f>
        <v>22.571428571428573</v>
      </c>
      <c r="E1500" s="13">
        <f>Tuts!D1498</f>
        <v>15.8</v>
      </c>
    </row>
    <row r="1501" spans="2:5" ht="15.75" hidden="1" customHeight="1">
      <c r="B1501" t="str">
        <f>Tuts!B1499</f>
        <v>PU 40 UNIPRO</v>
      </c>
      <c r="C1501" s="13">
        <f>Tuts!E1499</f>
        <v>22.9</v>
      </c>
      <c r="D1501" s="18">
        <f>Tuts!J1499</f>
        <v>18.428571428571431</v>
      </c>
      <c r="E1501" s="13">
        <f>Tuts!D1499</f>
        <v>12.9</v>
      </c>
    </row>
    <row r="1502" spans="2:5" ht="15.75" hidden="1" customHeight="1">
      <c r="B1502" t="str">
        <f>Tuts!B1500</f>
        <v>PU 40 WURTH</v>
      </c>
      <c r="C1502" s="13">
        <f>Tuts!E1500</f>
        <v>26</v>
      </c>
      <c r="D1502" s="18">
        <f>Tuts!J1500</f>
        <v>23.942857142857147</v>
      </c>
      <c r="E1502" s="13">
        <f>Tuts!D1500</f>
        <v>16.760000000000002</v>
      </c>
    </row>
    <row r="1503" spans="2:5" ht="15.75" hidden="1" customHeight="1">
      <c r="B1503" t="str">
        <f>Tuts!B1501</f>
        <v>PU BISNAGA CINZA 80G GARIN</v>
      </c>
      <c r="C1503" s="13">
        <f>Tuts!E1501</f>
        <v>10.8</v>
      </c>
      <c r="D1503" s="18">
        <f>Tuts!J1501</f>
        <v>9.9857142857142858</v>
      </c>
      <c r="E1503" s="13">
        <f>Tuts!D1501</f>
        <v>6.99</v>
      </c>
    </row>
    <row r="1504" spans="2:5" ht="15.75" hidden="1" customHeight="1">
      <c r="B1504" t="str">
        <f>Tuts!B1502</f>
        <v>PULVERIZADOR FAMASTIL 2L</v>
      </c>
      <c r="C1504" s="13">
        <f>Tuts!E1502</f>
        <v>52</v>
      </c>
      <c r="D1504" s="18">
        <f>Tuts!J1502</f>
        <v>47.128571428571433</v>
      </c>
      <c r="E1504" s="13">
        <f>Tuts!D1502</f>
        <v>32.99</v>
      </c>
    </row>
    <row r="1505" spans="2:5" ht="15.75" hidden="1" customHeight="1">
      <c r="B1505" t="str">
        <f>Tuts!B1503</f>
        <v>PULVERIZADOR FAMASTIL 500ML</v>
      </c>
      <c r="C1505" s="13">
        <f>Tuts!E1503</f>
        <v>12.5</v>
      </c>
      <c r="D1505" s="18">
        <f>Tuts!J1503</f>
        <v>11.285714285714286</v>
      </c>
      <c r="E1505" s="13">
        <f>Tuts!D1503</f>
        <v>7.9</v>
      </c>
    </row>
    <row r="1506" spans="2:5" ht="15.75" hidden="1" customHeight="1">
      <c r="B1506" t="str">
        <f>Tuts!B1504</f>
        <v>PULVERIZADOR FAMASTIL 5L</v>
      </c>
      <c r="C1506" s="13">
        <f>Tuts!E1504</f>
        <v>149.9</v>
      </c>
      <c r="D1506" s="18">
        <f>Tuts!J1504</f>
        <v>137.00000000000003</v>
      </c>
      <c r="E1506" s="13">
        <f>Tuts!D1504</f>
        <v>95.9</v>
      </c>
    </row>
    <row r="1507" spans="2:5" ht="15.75" hidden="1" customHeight="1">
      <c r="B1507" t="str">
        <f>Tuts!B1505</f>
        <v>PULVERIZADOR PARA GARRAFA PET</v>
      </c>
      <c r="C1507" s="13">
        <f>Tuts!E1505</f>
        <v>20</v>
      </c>
      <c r="D1507" s="18">
        <f>Tuts!J1505</f>
        <v>18.428571428571431</v>
      </c>
      <c r="E1507" s="13">
        <f>Tuts!D1505</f>
        <v>12.9</v>
      </c>
    </row>
    <row r="1508" spans="2:5" ht="15.75" hidden="1" customHeight="1">
      <c r="B1508" t="str">
        <f>Tuts!B1506</f>
        <v>RALO SIFONADO ASTRA SAIDA P/ BAIXO</v>
      </c>
      <c r="C1508" s="13">
        <f>Tuts!E1506</f>
        <v>10</v>
      </c>
      <c r="D1508" s="18">
        <f>Tuts!J1506</f>
        <v>8.5857142857142854</v>
      </c>
      <c r="E1508" s="13">
        <f>Tuts!D1506</f>
        <v>6.01</v>
      </c>
    </row>
    <row r="1509" spans="2:5" ht="15.75" hidden="1" customHeight="1">
      <c r="B1509" t="str">
        <f>Tuts!B1507</f>
        <v>RALO SIFONADO SAIDA P/ BAIXO METAL PESADO</v>
      </c>
      <c r="C1509" s="13">
        <f>Tuts!E1507</f>
        <v>28</v>
      </c>
      <c r="D1509" s="18">
        <f>Tuts!J1507</f>
        <v>25.714285714285715</v>
      </c>
      <c r="E1509" s="13">
        <f>Tuts!D1507</f>
        <v>18</v>
      </c>
    </row>
    <row r="1510" spans="2:5" ht="15.75" hidden="1" customHeight="1">
      <c r="B1510" t="str">
        <f>Tuts!B1508</f>
        <v>RASTELO ARAME REGULAVEL 22D MAX</v>
      </c>
      <c r="C1510" s="13">
        <f>Tuts!E1508</f>
        <v>42</v>
      </c>
      <c r="D1510" s="18">
        <f>Tuts!J1508</f>
        <v>38.75714285714286</v>
      </c>
      <c r="E1510" s="13">
        <f>Tuts!D1508</f>
        <v>27.13</v>
      </c>
    </row>
    <row r="1511" spans="2:5" ht="15.75" hidden="1" customHeight="1">
      <c r="B1511" t="str">
        <f>Tuts!B1509</f>
        <v>RASTELO C/ CABO CAFÉ FUZIL</v>
      </c>
      <c r="C1511" s="13">
        <f>Tuts!E1509</f>
        <v>39.9</v>
      </c>
      <c r="D1511" s="18">
        <f>Tuts!J1509</f>
        <v>35.628571428571433</v>
      </c>
      <c r="E1511" s="13">
        <f>Tuts!D1509</f>
        <v>24.94</v>
      </c>
    </row>
    <row r="1512" spans="2:5" ht="15.75" hidden="1" customHeight="1">
      <c r="B1512" t="str">
        <f>Tuts!B1510</f>
        <v>Rastelo Plástico 22 Dentes</v>
      </c>
      <c r="C1512" s="13">
        <f>Tuts!E1510</f>
        <v>24.7</v>
      </c>
      <c r="D1512" s="18">
        <f>Tuts!J1510</f>
        <v>24.785714285714288</v>
      </c>
      <c r="E1512" s="13">
        <f>Tuts!D1510</f>
        <v>17.350000000000001</v>
      </c>
    </row>
    <row r="1513" spans="2:5" ht="15.75" hidden="1" customHeight="1">
      <c r="B1513" t="str">
        <f>Tuts!B1511</f>
        <v>RASTELO PLASTICO 24D ROMA</v>
      </c>
      <c r="C1513" s="13">
        <f>Tuts!E1511</f>
        <v>20</v>
      </c>
      <c r="D1513" s="18">
        <f>Tuts!J1511</f>
        <v>16.857142857142858</v>
      </c>
      <c r="E1513" s="13">
        <f>Tuts!D1511</f>
        <v>11.8</v>
      </c>
    </row>
    <row r="1514" spans="2:5" ht="15.75" hidden="1" customHeight="1">
      <c r="B1514" t="str">
        <f>Tuts!B1512</f>
        <v>RASTELO VASSOURA COM PONTA DE AÇO MAXX</v>
      </c>
      <c r="C1514" s="13">
        <f>Tuts!E1512</f>
        <v>32</v>
      </c>
      <c r="D1514" s="18">
        <f>Tuts!J1512</f>
        <v>28.228571428571431</v>
      </c>
      <c r="E1514" s="13">
        <f>Tuts!D1512</f>
        <v>19.760000000000002</v>
      </c>
    </row>
    <row r="1515" spans="2:5" ht="15.75" hidden="1" customHeight="1">
      <c r="B1515" t="str">
        <f>Tuts!B1513</f>
        <v>REBITE ALUMINIO 32X12</v>
      </c>
      <c r="C1515" s="13">
        <f>Tuts!E1513</f>
        <v>0.25</v>
      </c>
      <c r="D1515" s="18">
        <f>Tuts!J1513</f>
        <v>0.25714285714285717</v>
      </c>
      <c r="E1515" s="13">
        <f>Tuts!D1513</f>
        <v>0.18</v>
      </c>
    </row>
    <row r="1516" spans="2:5" ht="15.75" hidden="1" customHeight="1">
      <c r="B1516" t="str">
        <f>Tuts!B1514</f>
        <v>REBITE ALUMINIO 4X8MM</v>
      </c>
      <c r="C1516" s="13">
        <f>Tuts!E1514</f>
        <v>0.3</v>
      </c>
      <c r="D1516" s="18">
        <f>Tuts!J1514</f>
        <v>0.17142857142857143</v>
      </c>
      <c r="E1516" s="13">
        <f>Tuts!D1514</f>
        <v>0.12</v>
      </c>
    </row>
    <row r="1517" spans="2:5" ht="15.75" hidden="1" customHeight="1">
      <c r="B1517" t="str">
        <f>Tuts!B1515</f>
        <v>Rebite Alumínio 6x19mm - (1,5 kg - R$109,00)</v>
      </c>
      <c r="C1517" s="13">
        <f>Tuts!E1515</f>
        <v>0.55000000000000004</v>
      </c>
      <c r="D1517" s="18">
        <f>Tuts!J1515</f>
        <v>0.51428571428571435</v>
      </c>
      <c r="E1517" s="13">
        <f>Tuts!D1515</f>
        <v>0.36</v>
      </c>
    </row>
    <row r="1518" spans="2:5" ht="15.75" hidden="1" customHeight="1">
      <c r="B1518" t="str">
        <f>Tuts!B1516</f>
        <v>Rebite Alumínio 6x25mm - (1,4 kg - R$109,00)</v>
      </c>
      <c r="C1518" s="13">
        <f>Tuts!E1516</f>
        <v>0.65</v>
      </c>
      <c r="D1518" s="18">
        <f>Tuts!J1516</f>
        <v>0.6</v>
      </c>
      <c r="E1518" s="13">
        <f>Tuts!D1516</f>
        <v>0.42</v>
      </c>
    </row>
    <row r="1519" spans="2:5" ht="15.75" hidden="1" customHeight="1">
      <c r="B1519" t="str">
        <f>Tuts!B1517</f>
        <v>REBOLO COPO CONICO 36/60</v>
      </c>
      <c r="C1519" s="13">
        <f>Tuts!E1517</f>
        <v>60</v>
      </c>
      <c r="D1519" s="18">
        <f>Tuts!J1517</f>
        <v>55.7</v>
      </c>
      <c r="E1519" s="13">
        <f>Tuts!D1517</f>
        <v>38.99</v>
      </c>
    </row>
    <row r="1520" spans="2:5" ht="15.75" hidden="1" customHeight="1">
      <c r="B1520" t="str">
        <f>Tuts!B1518</f>
        <v>REBOLO DIAMANTADO TURBO</v>
      </c>
      <c r="C1520" s="13">
        <f>Tuts!E1518</f>
        <v>87</v>
      </c>
      <c r="D1520" s="18">
        <f>Tuts!J1518</f>
        <v>79.985714285714295</v>
      </c>
      <c r="E1520" s="13">
        <f>Tuts!D1518</f>
        <v>55.99</v>
      </c>
    </row>
    <row r="1521" spans="2:5" ht="15.75" hidden="1" customHeight="1">
      <c r="B1521" t="str">
        <f>Tuts!B1519</f>
        <v>REFETOR LED 200W HITEC</v>
      </c>
      <c r="C1521" s="13">
        <f>Tuts!E1519</f>
        <v>142</v>
      </c>
      <c r="D1521" s="18">
        <f>Tuts!J1519</f>
        <v>112.57142857142857</v>
      </c>
      <c r="E1521" s="13">
        <f>Tuts!D1519</f>
        <v>78.8</v>
      </c>
    </row>
    <row r="1522" spans="2:5" ht="15.75" hidden="1" customHeight="1">
      <c r="B1522" t="str">
        <f>Tuts!B1520</f>
        <v>REFIL COLA QUENTE</v>
      </c>
      <c r="C1522" s="13">
        <f>Tuts!E1520</f>
        <v>1</v>
      </c>
      <c r="D1522" s="18">
        <f>Tuts!J1520</f>
        <v>0.68571428571428572</v>
      </c>
      <c r="E1522" s="13">
        <f>Tuts!D1520</f>
        <v>0.48</v>
      </c>
    </row>
    <row r="1523" spans="2:5" ht="15.75" hidden="1" customHeight="1">
      <c r="B1523" t="str">
        <f>Tuts!B1521</f>
        <v>REFIL LORENZETTI ACQUABELLA</v>
      </c>
      <c r="C1523" s="13">
        <f>Tuts!E1521</f>
        <v>45</v>
      </c>
      <c r="D1523" s="18">
        <f>Tuts!J1521</f>
        <v>39.571428571428569</v>
      </c>
      <c r="E1523" s="13">
        <f>Tuts!D1521</f>
        <v>27.7</v>
      </c>
    </row>
    <row r="1524" spans="2:5" ht="15.75" hidden="1" customHeight="1">
      <c r="B1524" t="str">
        <f>Tuts!B1522</f>
        <v>REFLETOR LED 100W FOXLUX</v>
      </c>
      <c r="C1524" s="13">
        <f>Tuts!E1522</f>
        <v>155</v>
      </c>
      <c r="D1524" s="18">
        <f>Tuts!J1522</f>
        <v>128.42857142857144</v>
      </c>
      <c r="E1524" s="13">
        <f>Tuts!D1522</f>
        <v>89.9</v>
      </c>
    </row>
    <row r="1525" spans="2:5" ht="15.75" hidden="1" customHeight="1">
      <c r="B1525" t="str">
        <f>Tuts!B1523</f>
        <v>REFLETOR LED 100W HITEC</v>
      </c>
      <c r="C1525" s="13">
        <f>Tuts!E1523</f>
        <v>55</v>
      </c>
      <c r="D1525" s="18">
        <f>Tuts!J1523</f>
        <v>50.51428571428572</v>
      </c>
      <c r="E1525" s="13">
        <f>Tuts!D1523</f>
        <v>35.36</v>
      </c>
    </row>
    <row r="1526" spans="2:5" ht="15.75" hidden="1" customHeight="1">
      <c r="B1526" t="str">
        <f>Tuts!B1524</f>
        <v>REFLETOR LED 200W FOXLUX</v>
      </c>
      <c r="C1526" s="13">
        <f>Tuts!E1524</f>
        <v>260</v>
      </c>
      <c r="D1526" s="18">
        <f>Tuts!J1524</f>
        <v>228.42857142857144</v>
      </c>
      <c r="E1526" s="13">
        <f>Tuts!D1524</f>
        <v>159.9</v>
      </c>
    </row>
    <row r="1527" spans="2:5" ht="15.75" hidden="1" customHeight="1">
      <c r="B1527" t="str">
        <f>Tuts!B1525</f>
        <v>REFLETOR LED 20W FOXLUX</v>
      </c>
      <c r="C1527" s="13">
        <f>Tuts!E1525</f>
        <v>48</v>
      </c>
      <c r="D1527" s="18">
        <f>Tuts!J1525</f>
        <v>44.271428571428572</v>
      </c>
      <c r="E1527" s="13">
        <f>Tuts!D1525</f>
        <v>30.99</v>
      </c>
    </row>
    <row r="1528" spans="2:5" ht="15.75" hidden="1" customHeight="1">
      <c r="B1528" t="str">
        <f>Tuts!B1526</f>
        <v>REFLETOR LED 30W</v>
      </c>
      <c r="C1528" s="13">
        <f>Tuts!E1526</f>
        <v>46</v>
      </c>
      <c r="D1528" s="18">
        <f>Tuts!J1526</f>
        <v>42.657142857142858</v>
      </c>
      <c r="E1528" s="13">
        <f>Tuts!D1526</f>
        <v>29.86</v>
      </c>
    </row>
    <row r="1529" spans="2:5" ht="15.75" hidden="1" customHeight="1">
      <c r="B1529" t="str">
        <f>Tuts!B1527</f>
        <v>REFLETOR LED 30W FOXLUX</v>
      </c>
      <c r="C1529" s="13">
        <f>Tuts!E1527</f>
        <v>65</v>
      </c>
      <c r="D1529" s="18">
        <f>Tuts!J1527</f>
        <v>58.557142857142864</v>
      </c>
      <c r="E1529" s="13">
        <f>Tuts!D1527</f>
        <v>40.99</v>
      </c>
    </row>
    <row r="1530" spans="2:5" ht="15.75" hidden="1" customHeight="1">
      <c r="B1530" t="str">
        <f>Tuts!B1528</f>
        <v>REFLETOR LED 50W FOXLUX</v>
      </c>
      <c r="C1530" s="13">
        <f>Tuts!E1528</f>
        <v>73</v>
      </c>
      <c r="D1530" s="18">
        <f>Tuts!J1528</f>
        <v>61.457142857142863</v>
      </c>
      <c r="E1530" s="13">
        <f>Tuts!D1528</f>
        <v>43.02</v>
      </c>
    </row>
    <row r="1531" spans="2:5" ht="15.75" hidden="1" customHeight="1">
      <c r="B1531" t="str">
        <f>Tuts!B1529</f>
        <v>REFLETOR LED 50W HITEC</v>
      </c>
      <c r="C1531" s="13">
        <f>Tuts!E1529</f>
        <v>42</v>
      </c>
      <c r="D1531" s="18">
        <f>Tuts!J1529</f>
        <v>34.071428571428577</v>
      </c>
      <c r="E1531" s="13">
        <f>Tuts!D1529</f>
        <v>23.85</v>
      </c>
    </row>
    <row r="1532" spans="2:5" ht="15.75" hidden="1" customHeight="1">
      <c r="B1532" t="str">
        <f>Tuts!B1530</f>
        <v>REFLETOR LED 50W LED BEE</v>
      </c>
      <c r="C1532" s="13">
        <f>Tuts!E1530</f>
        <v>45</v>
      </c>
      <c r="D1532" s="18">
        <f>Tuts!J1530</f>
        <v>38.428571428571431</v>
      </c>
      <c r="E1532" s="13">
        <f>Tuts!D1530</f>
        <v>26.9</v>
      </c>
    </row>
    <row r="1533" spans="2:5" ht="15.75" hidden="1" customHeight="1">
      <c r="B1533" t="str">
        <f>Tuts!B1531</f>
        <v>REFLETOR LED EMBU 100W LUZ QUENTE</v>
      </c>
      <c r="C1533" s="13">
        <f>Tuts!E1531</f>
        <v>75.900000000000006</v>
      </c>
      <c r="D1533" s="18">
        <f>Tuts!J1531</f>
        <v>69.285714285714292</v>
      </c>
      <c r="E1533" s="13">
        <f>Tuts!D1531</f>
        <v>48.5</v>
      </c>
    </row>
    <row r="1534" spans="2:5" ht="15.75" hidden="1" customHeight="1">
      <c r="B1534" t="str">
        <f>Tuts!B1532</f>
        <v>REFLETOR MTX BIVOLT 50W-RGB C/MEMORIA MULTICOR</v>
      </c>
      <c r="C1534" s="13">
        <f>Tuts!E1532</f>
        <v>195</v>
      </c>
      <c r="D1534" s="18">
        <f>Tuts!J1532</f>
        <v>178.57142857142858</v>
      </c>
      <c r="E1534" s="13">
        <f>Tuts!D1532</f>
        <v>125</v>
      </c>
    </row>
    <row r="1535" spans="2:5" ht="15.75" hidden="1" customHeight="1">
      <c r="B1535" t="str">
        <f>Tuts!B1533</f>
        <v>REGADOR PLASTICO 10L</v>
      </c>
      <c r="C1535" s="13">
        <f>Tuts!E1533</f>
        <v>38</v>
      </c>
      <c r="D1535" s="18">
        <f>Tuts!J1533</f>
        <v>34.557142857142864</v>
      </c>
      <c r="E1535" s="13">
        <f>Tuts!D1533</f>
        <v>24.19</v>
      </c>
    </row>
    <row r="1536" spans="2:5" ht="15.75" hidden="1" customHeight="1">
      <c r="B1536" t="str">
        <f>Tuts!B1534</f>
        <v>REGISTRO DE GAS ALIANCA 504/01</v>
      </c>
      <c r="C1536" s="13">
        <f>Tuts!E1534</f>
        <v>45</v>
      </c>
      <c r="D1536" s="18">
        <f>Tuts!J1534</f>
        <v>39.857142857142854</v>
      </c>
      <c r="E1536" s="13">
        <f>Tuts!D1534</f>
        <v>27.9</v>
      </c>
    </row>
    <row r="1537" spans="2:5" ht="15.75" hidden="1" customHeight="1">
      <c r="B1537" t="str">
        <f>Tuts!B1535</f>
        <v>REGISTRO DE GAS VINIGAS</v>
      </c>
      <c r="C1537" s="13">
        <f>Tuts!E1535</f>
        <v>29.9</v>
      </c>
      <c r="D1537" s="18">
        <f>Tuts!J1535</f>
        <v>21.414285714285715</v>
      </c>
      <c r="E1537" s="13">
        <f>Tuts!D1535</f>
        <v>14.99</v>
      </c>
    </row>
    <row r="1538" spans="2:5" ht="15.75" hidden="1" customHeight="1">
      <c r="B1538" t="str">
        <f>Tuts!B1536</f>
        <v>REGISTRO DE PRESSAO 3/4 DIKA C/ ACABAMENTO</v>
      </c>
      <c r="C1538" s="13">
        <f>Tuts!E1536</f>
        <v>65</v>
      </c>
      <c r="D1538" s="18">
        <f>Tuts!J1536</f>
        <v>60.714285714285715</v>
      </c>
      <c r="E1538" s="13">
        <f>Tuts!D1536</f>
        <v>42.5</v>
      </c>
    </row>
    <row r="1539" spans="2:5" ht="15.75" hidden="1" customHeight="1">
      <c r="B1539" t="str">
        <f>Tuts!B1537</f>
        <v>REGISTRO GAVETA S/ ACABAMENTO 1.1/2</v>
      </c>
      <c r="C1539" s="13">
        <f>Tuts!E1537</f>
        <v>105</v>
      </c>
      <c r="D1539" s="18">
        <f>Tuts!J1537</f>
        <v>97.142857142857153</v>
      </c>
      <c r="E1539" s="13">
        <f>Tuts!D1537</f>
        <v>68</v>
      </c>
    </row>
    <row r="1540" spans="2:5" ht="15.75" hidden="1" customHeight="1">
      <c r="B1540" t="str">
        <f>Tuts!B1538</f>
        <v>REGISTRO PVC ROSCA EXTERNA 3/4</v>
      </c>
      <c r="C1540" s="13">
        <f>Tuts!E1538</f>
        <v>14</v>
      </c>
      <c r="D1540" s="18">
        <f>Tuts!J1538</f>
        <v>12.928571428571431</v>
      </c>
      <c r="E1540" s="13">
        <f>Tuts!D1538</f>
        <v>9.0500000000000007</v>
      </c>
    </row>
    <row r="1541" spans="2:5" ht="15.75" hidden="1" customHeight="1">
      <c r="B1541" t="str">
        <f>Tuts!B1539</f>
        <v xml:space="preserve">REGISTRO PVC ROSCA/SOLD 1 </v>
      </c>
      <c r="C1541" s="13">
        <f>Tuts!E1539</f>
        <v>22.3</v>
      </c>
      <c r="D1541" s="18">
        <f>Tuts!J1539</f>
        <v>20.285714285714285</v>
      </c>
      <c r="E1541" s="13">
        <f>Tuts!D1539</f>
        <v>14.2</v>
      </c>
    </row>
    <row r="1542" spans="2:5" ht="15.75" hidden="1" customHeight="1">
      <c r="B1542" t="str">
        <f>Tuts!B1540</f>
        <v>REGISTRO PVC ROSCA/SOLD 1 1/2</v>
      </c>
      <c r="C1542" s="13">
        <f>Tuts!E1540</f>
        <v>35.5</v>
      </c>
      <c r="D1542" s="18">
        <f>Tuts!J1540</f>
        <v>33.571428571428577</v>
      </c>
      <c r="E1542" s="13">
        <f>Tuts!D1540</f>
        <v>23.5</v>
      </c>
    </row>
    <row r="1543" spans="2:5" ht="15.75" hidden="1" customHeight="1">
      <c r="B1543" t="str">
        <f>Tuts!B1541</f>
        <v>REGISTRO PVC ROSCA/SOLD 1 1/4</v>
      </c>
      <c r="C1543" s="13">
        <f>Tuts!E1541</f>
        <v>33.9</v>
      </c>
      <c r="D1543" s="18">
        <f>Tuts!J1541</f>
        <v>31.428571428571431</v>
      </c>
      <c r="E1543" s="13">
        <f>Tuts!D1541</f>
        <v>22</v>
      </c>
    </row>
    <row r="1544" spans="2:5" ht="15.75" hidden="1" customHeight="1">
      <c r="B1544" t="str">
        <f>Tuts!B1542</f>
        <v>REGISTRO PVC ROSCA/SOLD 3/4</v>
      </c>
      <c r="C1544" s="13">
        <f>Tuts!E1542</f>
        <v>12.5</v>
      </c>
      <c r="D1544" s="18">
        <f>Tuts!J1542</f>
        <v>11.285714285714286</v>
      </c>
      <c r="E1544" s="13">
        <f>Tuts!D1542</f>
        <v>7.9</v>
      </c>
    </row>
    <row r="1545" spans="2:5" ht="15.75" hidden="1" customHeight="1">
      <c r="B1545" t="str">
        <f>Tuts!B1543</f>
        <v>REGISTRO PVC ROSCA/SOLD 60</v>
      </c>
      <c r="C1545" s="13">
        <f>Tuts!E1543</f>
        <v>75</v>
      </c>
      <c r="D1545" s="18">
        <f>Tuts!J1543</f>
        <v>75.714285714285722</v>
      </c>
      <c r="E1545" s="13">
        <f>Tuts!D1543</f>
        <v>53</v>
      </c>
    </row>
    <row r="1546" spans="2:5" ht="15.75" hidden="1" customHeight="1">
      <c r="B1546" t="str">
        <f>Tuts!B1544</f>
        <v>REGISTRO UNIAO MANGUEIRA 1''</v>
      </c>
      <c r="C1546" s="13">
        <f>Tuts!E1544</f>
        <v>28</v>
      </c>
      <c r="D1546" s="18">
        <f>Tuts!J1544</f>
        <v>25.571428571428569</v>
      </c>
      <c r="E1546" s="13">
        <f>Tuts!D1544</f>
        <v>17.899999999999999</v>
      </c>
    </row>
    <row r="1547" spans="2:5" ht="15.75" hidden="1" customHeight="1">
      <c r="B1547" t="str">
        <f>Tuts!B1545</f>
        <v>REGISTRO UNIAO MANGUEIRA 1/2</v>
      </c>
      <c r="C1547" s="13">
        <f>Tuts!E1545</f>
        <v>16</v>
      </c>
      <c r="D1547" s="18">
        <f>Tuts!J1545</f>
        <v>14.714285714285717</v>
      </c>
      <c r="E1547" s="13">
        <f>Tuts!D1545</f>
        <v>10.3</v>
      </c>
    </row>
    <row r="1548" spans="2:5" ht="15.75" hidden="1" customHeight="1">
      <c r="B1548" t="str">
        <f>Tuts!B1546</f>
        <v>REGISTRO UNIAO MANGUEIRA 3/4</v>
      </c>
      <c r="C1548" s="13">
        <f>Tuts!E1546</f>
        <v>15.5</v>
      </c>
      <c r="D1548" s="18">
        <f>Tuts!J1546</f>
        <v>14.000000000000002</v>
      </c>
      <c r="E1548" s="13">
        <f>Tuts!D1546</f>
        <v>9.8000000000000007</v>
      </c>
    </row>
    <row r="1549" spans="2:5" ht="15.75" hidden="1" customHeight="1">
      <c r="B1549" t="str">
        <f>Tuts!B1547</f>
        <v>REGUA ALUMINIO 2MT LEVE</v>
      </c>
      <c r="C1549" s="13">
        <f>Tuts!E1547</f>
        <v>35</v>
      </c>
      <c r="D1549" s="18">
        <f>Tuts!J1547</f>
        <v>31.971428571428572</v>
      </c>
      <c r="E1549" s="13">
        <f>Tuts!D1547</f>
        <v>22.38</v>
      </c>
    </row>
    <row r="1550" spans="2:5" ht="15.75" hidden="1" customHeight="1">
      <c r="B1550" t="str">
        <f>Tuts!B1548</f>
        <v>REGUA ALUMINIO 3MT LEVE</v>
      </c>
      <c r="C1550" s="13">
        <f>Tuts!E1548</f>
        <v>59</v>
      </c>
      <c r="D1550" s="18">
        <f>Tuts!J1548</f>
        <v>53.914285714285718</v>
      </c>
      <c r="E1550" s="13">
        <f>Tuts!D1548</f>
        <v>37.74</v>
      </c>
    </row>
    <row r="1551" spans="2:5" ht="15.75" hidden="1" customHeight="1">
      <c r="B1551" t="str">
        <f>Tuts!B1549</f>
        <v>REGUA ALUMINIO 3MT MEDIA AZUL</v>
      </c>
      <c r="C1551" s="13">
        <f>Tuts!E1549</f>
        <v>66</v>
      </c>
      <c r="D1551" s="18">
        <f>Tuts!J1549</f>
        <v>61.085714285714289</v>
      </c>
      <c r="E1551" s="13">
        <f>Tuts!D1549</f>
        <v>42.76</v>
      </c>
    </row>
    <row r="1552" spans="2:5" ht="15.75" hidden="1" customHeight="1">
      <c r="B1552" t="str">
        <f>Tuts!B1550</f>
        <v>REJUNTE VOTOMASSA 1KG</v>
      </c>
      <c r="C1552" s="13">
        <f>Tuts!E1550</f>
        <v>6</v>
      </c>
      <c r="D1552" s="18">
        <f>Tuts!J1550</f>
        <v>5</v>
      </c>
      <c r="E1552" s="13">
        <f>Tuts!D1550</f>
        <v>3.5</v>
      </c>
    </row>
    <row r="1553" spans="2:5" ht="15.75" hidden="1" customHeight="1">
      <c r="B1553" t="str">
        <f>Tuts!B1551</f>
        <v>RELE FOTOCELULA 500E ELETRONICO</v>
      </c>
      <c r="C1553" s="13">
        <f>Tuts!E1551</f>
        <v>41</v>
      </c>
      <c r="D1553" s="18">
        <f>Tuts!J1551</f>
        <v>35.428571428571431</v>
      </c>
      <c r="E1553" s="13">
        <f>Tuts!D1551</f>
        <v>24.8</v>
      </c>
    </row>
    <row r="1554" spans="2:5" ht="15.75" hidden="1" customHeight="1">
      <c r="B1554" t="str">
        <f>Tuts!B1552</f>
        <v>REMOVEDOR DE FERRUGEM WURTH 250ML</v>
      </c>
      <c r="C1554" s="13">
        <f>Tuts!E1552</f>
        <v>32.799999999999997</v>
      </c>
      <c r="D1554" s="18">
        <f>Tuts!J1552</f>
        <v>35.700000000000003</v>
      </c>
      <c r="E1554" s="13">
        <f>Tuts!D1552</f>
        <v>24.99</v>
      </c>
    </row>
    <row r="1555" spans="2:5" ht="15.75" hidden="1" customHeight="1">
      <c r="B1555" t="str">
        <f>Tuts!B1553</f>
        <v>REMOVEDOR DE TINTA 1KG 1L</v>
      </c>
      <c r="C1555" s="13">
        <f>Tuts!E1553</f>
        <v>68</v>
      </c>
      <c r="D1555" s="18">
        <f>Tuts!J1553</f>
        <v>62.25714285714286</v>
      </c>
      <c r="E1555" s="13">
        <f>Tuts!D1553</f>
        <v>43.58</v>
      </c>
    </row>
    <row r="1556" spans="2:5" ht="15.75" hidden="1" customHeight="1">
      <c r="B1556" t="str">
        <f>Tuts!B1554</f>
        <v>REPARO CABEÇOTE C33</v>
      </c>
      <c r="C1556" s="13">
        <f>Tuts!E1554</f>
        <v>15</v>
      </c>
      <c r="D1556" s="18">
        <f>Tuts!J1554</f>
        <v>14.571428571428571</v>
      </c>
      <c r="E1556" s="13">
        <f>Tuts!D1554</f>
        <v>10.199999999999999</v>
      </c>
    </row>
    <row r="1557" spans="2:5" ht="15.75" hidden="1" customHeight="1">
      <c r="B1557" t="str">
        <f>Tuts!B1555</f>
        <v xml:space="preserve">REPARO CAIXA ACOPLADA  BOTAO ACIONADOR C/ CORRENTE  </v>
      </c>
      <c r="C1557" s="13">
        <f>Tuts!E1555</f>
        <v>41</v>
      </c>
      <c r="D1557" s="18">
        <f>Tuts!J1555</f>
        <v>35.700000000000003</v>
      </c>
      <c r="E1557" s="13">
        <f>Tuts!D1555</f>
        <v>24.99</v>
      </c>
    </row>
    <row r="1558" spans="2:5" ht="15.75" hidden="1" customHeight="1">
      <c r="B1558" t="str">
        <f>Tuts!B1556</f>
        <v xml:space="preserve">REPARO CAIXA ACOPLADA ASTRA BOIA </v>
      </c>
      <c r="C1558" s="13">
        <f>Tuts!E1556</f>
        <v>36</v>
      </c>
      <c r="D1558" s="18">
        <f>Tuts!J1556</f>
        <v>32.828571428571429</v>
      </c>
      <c r="E1558" s="13">
        <f>Tuts!D1556</f>
        <v>22.98</v>
      </c>
    </row>
    <row r="1559" spans="2:5" ht="15.75" hidden="1" customHeight="1">
      <c r="B1559" t="str">
        <f>Tuts!B1557</f>
        <v xml:space="preserve">REPARO CAIXA ACOPLADA ASTRA BOTAO ACIONAMENTO  </v>
      </c>
      <c r="C1559" s="13">
        <f>Tuts!E1557</f>
        <v>37</v>
      </c>
      <c r="D1559" s="18">
        <f>Tuts!J1557</f>
        <v>33.828571428571429</v>
      </c>
      <c r="E1559" s="13">
        <f>Tuts!D1557</f>
        <v>23.68</v>
      </c>
    </row>
    <row r="1560" spans="2:5" ht="15.75" hidden="1" customHeight="1">
      <c r="B1560" t="str">
        <f>Tuts!B1558</f>
        <v>REPARO CAIXA ACOPLADA ASTRA MECANISMO DE ENTRADA UNIVERSAL</v>
      </c>
      <c r="C1560" s="13">
        <f>Tuts!E1558</f>
        <v>67</v>
      </c>
      <c r="D1560" s="18">
        <f>Tuts!J1558</f>
        <v>61.7</v>
      </c>
      <c r="E1560" s="13">
        <f>Tuts!D1558</f>
        <v>43.19</v>
      </c>
    </row>
    <row r="1561" spans="2:5" ht="15.75" hidden="1" customHeight="1">
      <c r="B1561" t="str">
        <f>Tuts!B1559</f>
        <v xml:space="preserve">REPARO CAIXA ACOPLADA BLUKIT  </v>
      </c>
      <c r="C1561" s="13">
        <f>Tuts!E1559</f>
        <v>32.9</v>
      </c>
      <c r="D1561" s="18">
        <f>Tuts!J1559</f>
        <v>34.142857142857146</v>
      </c>
      <c r="E1561" s="13">
        <f>Tuts!D1559</f>
        <v>23.9</v>
      </c>
    </row>
    <row r="1562" spans="2:5" ht="15.75" hidden="1" customHeight="1">
      <c r="B1562" t="str">
        <f>Tuts!B1560</f>
        <v>REPARO CAIXA ACOPLADA BOTAO ACIONADOR MIX 637</v>
      </c>
      <c r="C1562" s="13">
        <f>Tuts!E1560</f>
        <v>33.9</v>
      </c>
      <c r="D1562" s="18">
        <f>Tuts!J1560</f>
        <v>31.428571428571431</v>
      </c>
      <c r="E1562" s="13">
        <f>Tuts!D1560</f>
        <v>22</v>
      </c>
    </row>
    <row r="1563" spans="2:5" ht="15.75" hidden="1" customHeight="1">
      <c r="B1563" t="str">
        <f>Tuts!B1561</f>
        <v>REPARO CAIXA ACOPLADA MECANISMO COMPLETO</v>
      </c>
      <c r="C1563" s="13">
        <f>Tuts!E1561</f>
        <v>140</v>
      </c>
      <c r="D1563" s="18">
        <f>Tuts!J1561</f>
        <v>127.14285714285715</v>
      </c>
      <c r="E1563" s="13">
        <f>Tuts!D1561</f>
        <v>89</v>
      </c>
    </row>
    <row r="1564" spans="2:5" ht="15.75" hidden="1" customHeight="1">
      <c r="B1564" t="str">
        <f>Tuts!B1562</f>
        <v>REPARO CAIXA ACOPLADA MECANISMO COMPLETO ASTRA</v>
      </c>
      <c r="C1564" s="13">
        <f>Tuts!E1562</f>
        <v>98</v>
      </c>
      <c r="D1564" s="18">
        <f>Tuts!J1562</f>
        <v>89.071428571428584</v>
      </c>
      <c r="E1564" s="13">
        <f>Tuts!D1562</f>
        <v>62.35</v>
      </c>
    </row>
    <row r="1565" spans="2:5" ht="15.75" hidden="1" customHeight="1">
      <c r="B1565" t="str">
        <f>Tuts!B1563</f>
        <v xml:space="preserve">REPARO CAIXA ACOPLADA OBTURADOR  </v>
      </c>
      <c r="C1565" s="13">
        <f>Tuts!E1563</f>
        <v>27</v>
      </c>
      <c r="D1565" s="18">
        <f>Tuts!J1563</f>
        <v>24.285714285714288</v>
      </c>
      <c r="E1565" s="13">
        <f>Tuts!D1563</f>
        <v>17</v>
      </c>
    </row>
    <row r="1566" spans="2:5" ht="15.75" hidden="1" customHeight="1">
      <c r="B1566" t="str">
        <f>Tuts!B1564</f>
        <v>REPARO CAIXA ACOPLADA PARAFUSO FIXACAO MIX REPAROS</v>
      </c>
      <c r="C1566" s="13">
        <f>Tuts!E1564</f>
        <v>16</v>
      </c>
      <c r="D1566" s="18">
        <f>Tuts!J1564</f>
        <v>15.142857142857144</v>
      </c>
      <c r="E1566" s="13">
        <f>Tuts!D1564</f>
        <v>10.6</v>
      </c>
    </row>
    <row r="1567" spans="2:5" ht="15.75" hidden="1" customHeight="1">
      <c r="B1567" t="str">
        <f>Tuts!B1565</f>
        <v>Reparo M-18 MUS</v>
      </c>
      <c r="C1567" s="13">
        <f>Tuts!E1565</f>
        <v>10.5</v>
      </c>
      <c r="D1567" s="18">
        <f>Tuts!J1565</f>
        <v>10.885714285714286</v>
      </c>
      <c r="E1567" s="13">
        <f>Tuts!D1565</f>
        <v>7.62</v>
      </c>
    </row>
    <row r="1568" spans="2:5" ht="15.75" hidden="1" customHeight="1">
      <c r="B1568" t="str">
        <f>Tuts!B1566</f>
        <v>REPARO MIX 100 DOCOL</v>
      </c>
      <c r="C1568" s="13">
        <f>Tuts!E1566</f>
        <v>48</v>
      </c>
      <c r="D1568" s="18">
        <f>Tuts!J1566</f>
        <v>51.285714285714285</v>
      </c>
      <c r="E1568" s="13">
        <f>Tuts!D1566</f>
        <v>35.9</v>
      </c>
    </row>
    <row r="1569" spans="2:5" ht="15.75" hidden="1" customHeight="1">
      <c r="B1569" t="str">
        <f>Tuts!B1567</f>
        <v>REPARO MIX 200</v>
      </c>
      <c r="C1569" s="13">
        <f>Tuts!E1567</f>
        <v>59.9</v>
      </c>
      <c r="D1569" s="18">
        <f>Tuts!J1567</f>
        <v>54.857142857142861</v>
      </c>
      <c r="E1569" s="13">
        <f>Tuts!D1567</f>
        <v>38.4</v>
      </c>
    </row>
    <row r="1570" spans="2:5" ht="15.75" hidden="1" customHeight="1">
      <c r="B1570" t="str">
        <f>Tuts!B1568</f>
        <v>REPARO MIX 220</v>
      </c>
      <c r="C1570" s="13">
        <f>Tuts!E1568</f>
        <v>75</v>
      </c>
      <c r="D1570" s="18">
        <f>Tuts!J1568</f>
        <v>69.142857142857139</v>
      </c>
      <c r="E1570" s="13">
        <f>Tuts!D1568</f>
        <v>48.4</v>
      </c>
    </row>
    <row r="1571" spans="2:5" ht="15.75" hidden="1" customHeight="1">
      <c r="B1571" t="str">
        <f>Tuts!B1569</f>
        <v>REPARO MIX 222</v>
      </c>
      <c r="C1571" s="13">
        <f>Tuts!E1569</f>
        <v>56.9</v>
      </c>
      <c r="D1571" s="18">
        <f>Tuts!J1569</f>
        <v>52.714285714285715</v>
      </c>
      <c r="E1571" s="13">
        <f>Tuts!D1569</f>
        <v>36.9</v>
      </c>
    </row>
    <row r="1572" spans="2:5" ht="15.75" hidden="1" customHeight="1">
      <c r="B1572" t="str">
        <f>Tuts!B1570</f>
        <v>REPARO MIX 250</v>
      </c>
      <c r="C1572" s="13">
        <f>Tuts!E1570</f>
        <v>95</v>
      </c>
      <c r="D1572" s="18">
        <f>Tuts!J1570</f>
        <v>93.571428571428584</v>
      </c>
      <c r="E1572" s="13">
        <f>Tuts!D1570</f>
        <v>65.5</v>
      </c>
    </row>
    <row r="1573" spans="2:5" ht="15.75" hidden="1" customHeight="1">
      <c r="B1573" t="str">
        <f>Tuts!B1571</f>
        <v>REPARO MIX 915</v>
      </c>
      <c r="C1573" s="13">
        <f>Tuts!E1571</f>
        <v>1.5</v>
      </c>
      <c r="D1573" s="18">
        <f>Tuts!J1571</f>
        <v>1.0857142857142859</v>
      </c>
      <c r="E1573" s="13">
        <f>Tuts!D1571</f>
        <v>0.76</v>
      </c>
    </row>
    <row r="1574" spans="2:5" ht="15.75" hidden="1" customHeight="1">
      <c r="B1574" t="str">
        <f>Tuts!B1572</f>
        <v>REPARO REGISTRO 2100</v>
      </c>
      <c r="C1574" s="13">
        <f>Tuts!E1572</f>
        <v>53</v>
      </c>
      <c r="D1574" s="18">
        <f>Tuts!J1572</f>
        <v>47.571428571428569</v>
      </c>
      <c r="E1574" s="13">
        <f>Tuts!D1572</f>
        <v>33.299999999999997</v>
      </c>
    </row>
    <row r="1575" spans="2:5" ht="15.75" hidden="1" customHeight="1">
      <c r="B1575" t="str">
        <f>Tuts!B1573</f>
        <v>REPARO REGISTRO 2101</v>
      </c>
      <c r="C1575" s="13">
        <f>Tuts!E1573</f>
        <v>53</v>
      </c>
      <c r="D1575" s="18">
        <f>Tuts!J1573</f>
        <v>49.142857142857146</v>
      </c>
      <c r="E1575" s="13">
        <f>Tuts!D1573</f>
        <v>34.4</v>
      </c>
    </row>
    <row r="1576" spans="2:5" ht="15.75" hidden="1" customHeight="1">
      <c r="B1576" t="str">
        <f>Tuts!B1574</f>
        <v>REPARO REGISTRO 2102</v>
      </c>
      <c r="C1576" s="13">
        <f>Tuts!E1574</f>
        <v>53</v>
      </c>
      <c r="D1576" s="18">
        <f>Tuts!J1574</f>
        <v>48.571428571428577</v>
      </c>
      <c r="E1576" s="13">
        <f>Tuts!D1574</f>
        <v>34</v>
      </c>
    </row>
    <row r="1577" spans="2:5" ht="15.75" hidden="1" customHeight="1">
      <c r="B1577" t="str">
        <f>Tuts!B1575</f>
        <v>REPARO REGISTRO 2103</v>
      </c>
      <c r="C1577" s="13">
        <f>Tuts!E1575</f>
        <v>53</v>
      </c>
      <c r="D1577" s="18">
        <f>Tuts!J1575</f>
        <v>48.857142857142861</v>
      </c>
      <c r="E1577" s="13">
        <f>Tuts!D1575</f>
        <v>34.200000000000003</v>
      </c>
    </row>
    <row r="1578" spans="2:5" ht="15.75" hidden="1" customHeight="1">
      <c r="B1578" t="str">
        <f>Tuts!B1576</f>
        <v>REPARO REGISTRO 2104</v>
      </c>
      <c r="C1578" s="13">
        <f>Tuts!E1576</f>
        <v>53</v>
      </c>
      <c r="D1578" s="18">
        <f>Tuts!J1576</f>
        <v>48.857142857142861</v>
      </c>
      <c r="E1578" s="13">
        <f>Tuts!D1576</f>
        <v>34.200000000000003</v>
      </c>
    </row>
    <row r="1579" spans="2:5" ht="15.75" hidden="1" customHeight="1">
      <c r="B1579" t="str">
        <f>Tuts!B1577</f>
        <v>REPARO REGISTRO 2105</v>
      </c>
      <c r="C1579" s="13">
        <f>Tuts!E1577</f>
        <v>53</v>
      </c>
      <c r="D1579" s="18">
        <f>Tuts!J1577</f>
        <v>48.857142857142861</v>
      </c>
      <c r="E1579" s="13">
        <f>Tuts!D1577</f>
        <v>34.200000000000003</v>
      </c>
    </row>
    <row r="1580" spans="2:5" ht="15.75" hidden="1" customHeight="1">
      <c r="B1580" t="str">
        <f>Tuts!B1578</f>
        <v>REPARO REGISTRO 2106</v>
      </c>
      <c r="C1580" s="13">
        <f>Tuts!E1578</f>
        <v>56</v>
      </c>
      <c r="D1580" s="18">
        <f>Tuts!J1578</f>
        <v>50.285714285714292</v>
      </c>
      <c r="E1580" s="13">
        <f>Tuts!D1578</f>
        <v>35.200000000000003</v>
      </c>
    </row>
    <row r="1581" spans="2:5" ht="15.75" hidden="1" customHeight="1">
      <c r="B1581" t="str">
        <f>Tuts!B1579</f>
        <v>REPARO REGISTRO 2107</v>
      </c>
      <c r="C1581" s="13">
        <f>Tuts!E1579</f>
        <v>56</v>
      </c>
      <c r="D1581" s="18">
        <f>Tuts!J1579</f>
        <v>50.714285714285715</v>
      </c>
      <c r="E1581" s="13">
        <f>Tuts!D1579</f>
        <v>35.5</v>
      </c>
    </row>
    <row r="1582" spans="2:5" ht="15.75" hidden="1" customHeight="1">
      <c r="B1582" t="str">
        <f>Tuts!B1580</f>
        <v>REPARO REGISTRO 2108</v>
      </c>
      <c r="C1582" s="13">
        <f>Tuts!E1580</f>
        <v>62</v>
      </c>
      <c r="D1582" s="18">
        <f>Tuts!J1580</f>
        <v>56.857142857142854</v>
      </c>
      <c r="E1582" s="13">
        <f>Tuts!D1580</f>
        <v>39.799999999999997</v>
      </c>
    </row>
    <row r="1583" spans="2:5" ht="15.75" hidden="1" customHeight="1">
      <c r="B1583" t="str">
        <f>Tuts!B1581</f>
        <v>REPARO REGISTRO 2109</v>
      </c>
      <c r="C1583" s="13">
        <f>Tuts!E1581</f>
        <v>62</v>
      </c>
      <c r="D1583" s="18">
        <f>Tuts!J1581</f>
        <v>57.428571428571438</v>
      </c>
      <c r="E1583" s="13">
        <f>Tuts!D1581</f>
        <v>40.200000000000003</v>
      </c>
    </row>
    <row r="1584" spans="2:5" ht="15.75" hidden="1" customHeight="1">
      <c r="B1584" t="str">
        <f>Tuts!B1582</f>
        <v>REPARO REGISTRO 2110</v>
      </c>
      <c r="C1584" s="13">
        <f>Tuts!E1582</f>
        <v>57</v>
      </c>
      <c r="D1584" s="18">
        <f>Tuts!J1582</f>
        <v>52.857142857142861</v>
      </c>
      <c r="E1584" s="13">
        <f>Tuts!D1582</f>
        <v>37</v>
      </c>
    </row>
    <row r="1585" spans="2:5" ht="15.75" hidden="1" customHeight="1">
      <c r="B1585" t="str">
        <f>Tuts!B1583</f>
        <v>REPARO REGISTRO 2112</v>
      </c>
      <c r="C1585" s="13">
        <f>Tuts!E1583</f>
        <v>61</v>
      </c>
      <c r="D1585" s="18">
        <f>Tuts!J1583</f>
        <v>57.142857142857146</v>
      </c>
      <c r="E1585" s="13">
        <f>Tuts!D1583</f>
        <v>40</v>
      </c>
    </row>
    <row r="1586" spans="2:5" ht="15.75" hidden="1" customHeight="1">
      <c r="B1586" t="str">
        <f>Tuts!B1584</f>
        <v>REPARO REGISTRO DECA R05 / 3075</v>
      </c>
      <c r="C1586" s="13">
        <f>Tuts!E1584</f>
        <v>49</v>
      </c>
      <c r="D1586" s="18">
        <f>Tuts!J1584</f>
        <v>45.485714285714288</v>
      </c>
      <c r="E1586" s="13">
        <f>Tuts!D1584</f>
        <v>31.84</v>
      </c>
    </row>
    <row r="1587" spans="2:5" ht="15.75" hidden="1" customHeight="1">
      <c r="B1587" t="str">
        <f>Tuts!B1585</f>
        <v>REPARO REGISTRO DECA R06 / 3076</v>
      </c>
      <c r="C1587" s="13">
        <f>Tuts!E1585</f>
        <v>37</v>
      </c>
      <c r="D1587" s="18">
        <f>Tuts!J1585</f>
        <v>49.714285714285715</v>
      </c>
      <c r="E1587" s="13">
        <f>Tuts!D1585</f>
        <v>34.799999999999997</v>
      </c>
    </row>
    <row r="1588" spans="2:5" ht="15.75" hidden="1" customHeight="1">
      <c r="B1588" t="str">
        <f>Tuts!B1586</f>
        <v>REPARO REGISTRO DECA R07 / 3077</v>
      </c>
      <c r="C1588" s="13">
        <f>Tuts!E1586</f>
        <v>37</v>
      </c>
      <c r="D1588" s="18">
        <f>Tuts!J1586</f>
        <v>50.857142857142861</v>
      </c>
      <c r="E1588" s="13">
        <f>Tuts!D1586</f>
        <v>35.6</v>
      </c>
    </row>
    <row r="1589" spans="2:5" ht="15.75" hidden="1" customHeight="1">
      <c r="B1589" t="str">
        <f>Tuts!B1587</f>
        <v>REPARO REGISTRO PRESSÃO DOCOL R07 / 4200</v>
      </c>
      <c r="C1589" s="13">
        <f>Tuts!E1587</f>
        <v>67</v>
      </c>
      <c r="D1589" s="18">
        <f>Tuts!J1587</f>
        <v>66.714285714285722</v>
      </c>
      <c r="E1589" s="13">
        <f>Tuts!D1587</f>
        <v>46.7</v>
      </c>
    </row>
    <row r="1590" spans="2:5" ht="15.75" hidden="1" customHeight="1">
      <c r="B1590" t="str">
        <f>Tuts!B1588</f>
        <v>RESISTENCIA LORENZETTI BELLA DUCHA 4T (MODELO ANTIGO)</v>
      </c>
      <c r="C1590" s="13">
        <f>Tuts!E1588</f>
        <v>49.8</v>
      </c>
      <c r="D1590" s="18">
        <f>Tuts!J1588</f>
        <v>45.285714285714285</v>
      </c>
      <c r="E1590" s="13">
        <f>Tuts!D1588</f>
        <v>31.7</v>
      </c>
    </row>
    <row r="1591" spans="2:5" ht="15.75" hidden="1" customHeight="1">
      <c r="B1591" t="str">
        <f>Tuts!B1589</f>
        <v>RESISTENCIA LORENZETTI BELLA DUCHA 4T (MODELO NOVO</v>
      </c>
      <c r="C1591" s="13">
        <f>Tuts!E1589</f>
        <v>47</v>
      </c>
      <c r="D1591" s="18">
        <f>Tuts!J1589</f>
        <v>42.5</v>
      </c>
      <c r="E1591" s="13">
        <f>Tuts!D1589</f>
        <v>29.75</v>
      </c>
    </row>
    <row r="1592" spans="2:5" ht="15.75" hidden="1" customHeight="1">
      <c r="B1592" t="str">
        <f>Tuts!B1590</f>
        <v>RESISTENCIA LORENZETTI MAXI DUCHA  127/220 (MODELO NOVO)</v>
      </c>
      <c r="C1592" s="13">
        <f>Tuts!E1590</f>
        <v>37.6</v>
      </c>
      <c r="D1592" s="18">
        <f>Tuts!J1590</f>
        <v>32.285714285714292</v>
      </c>
      <c r="E1592" s="13">
        <f>Tuts!D1590</f>
        <v>22.6</v>
      </c>
    </row>
    <row r="1593" spans="2:5" ht="15.75" hidden="1" customHeight="1">
      <c r="B1593" t="str">
        <f>Tuts!B1591</f>
        <v>RESISTENCIA LORENZETTI MAXI DUCHA ULTRA 127/220</v>
      </c>
      <c r="C1593" s="13">
        <f>Tuts!E1591</f>
        <v>28</v>
      </c>
      <c r="D1593" s="18">
        <f>Tuts!J1591</f>
        <v>25.685714285714287</v>
      </c>
      <c r="E1593" s="13">
        <f>Tuts!D1591</f>
        <v>17.98</v>
      </c>
    </row>
    <row r="1594" spans="2:5" ht="15.75" hidden="1" customHeight="1">
      <c r="B1594" t="str">
        <f>Tuts!B1592</f>
        <v>RETENTOR VALVULA DESCARGA 1.1/2</v>
      </c>
      <c r="C1594" s="13">
        <f>Tuts!E1592</f>
        <v>17.899999999999999</v>
      </c>
      <c r="D1594" s="18">
        <f>Tuts!J1592</f>
        <v>13.614285714285714</v>
      </c>
      <c r="E1594" s="13">
        <f>Tuts!D1592</f>
        <v>9.5299999999999994</v>
      </c>
    </row>
    <row r="1595" spans="2:5" ht="15.75" hidden="1" customHeight="1">
      <c r="B1595" t="str">
        <f>Tuts!B1593</f>
        <v>RODEL CORTAR PISO 7 X 80mm</v>
      </c>
      <c r="C1595" s="13">
        <f>Tuts!E1593</f>
        <v>15</v>
      </c>
      <c r="D1595" s="18">
        <f>Tuts!J1593</f>
        <v>12.614285714285716</v>
      </c>
      <c r="E1595" s="13">
        <f>Tuts!D1593</f>
        <v>8.83</v>
      </c>
    </row>
    <row r="1596" spans="2:5" ht="15.75" hidden="1" customHeight="1">
      <c r="B1596" t="str">
        <f>Tuts!B1594</f>
        <v>RODIZIO RODINHAS (CARTELA 4 UNI)</v>
      </c>
      <c r="C1596" s="13">
        <f>Tuts!E1594</f>
        <v>25</v>
      </c>
      <c r="D1596" s="18">
        <f>Tuts!J1594</f>
        <v>22.5</v>
      </c>
      <c r="E1596" s="13">
        <f>Tuts!D1594</f>
        <v>15.75</v>
      </c>
    </row>
    <row r="1597" spans="2:5" ht="15.75" hidden="1" customHeight="1">
      <c r="B1597" t="str">
        <f>Tuts!B1595</f>
        <v>RODO CURRAL 2,5L</v>
      </c>
      <c r="C1597" s="13">
        <f>Tuts!E1595</f>
        <v>72.900000000000006</v>
      </c>
      <c r="D1597" s="18">
        <f>Tuts!J1595</f>
        <v>64.914285714285711</v>
      </c>
      <c r="E1597" s="13">
        <f>Tuts!D1595</f>
        <v>45.44</v>
      </c>
    </row>
    <row r="1598" spans="2:5" ht="15.75" hidden="1" customHeight="1">
      <c r="B1598" t="str">
        <f>Tuts!B1596</f>
        <v>RODO PLASTICO 40CM</v>
      </c>
      <c r="C1598" s="13">
        <f>Tuts!E1596</f>
        <v>18</v>
      </c>
      <c r="D1598" s="18">
        <f>Tuts!J1596</f>
        <v>15.014285714285714</v>
      </c>
      <c r="E1598" s="13">
        <f>Tuts!D1596</f>
        <v>10.51</v>
      </c>
    </row>
    <row r="1599" spans="2:5" ht="15.75" hidden="1" customHeight="1">
      <c r="B1599" t="str">
        <f>Tuts!B1597</f>
        <v>RODO PLASTICO 60CM</v>
      </c>
      <c r="C1599" s="13">
        <f>Tuts!E1597</f>
        <v>23</v>
      </c>
      <c r="D1599" s="18">
        <f>Tuts!J1597</f>
        <v>20.842857142857145</v>
      </c>
      <c r="E1599" s="13">
        <f>Tuts!D1597</f>
        <v>14.59</v>
      </c>
    </row>
    <row r="1600" spans="2:5" ht="15.75" hidden="1" customHeight="1">
      <c r="B1600" t="str">
        <f>Tuts!B1598</f>
        <v>ROLDANA 24 C/ PREGO</v>
      </c>
      <c r="C1600" s="13">
        <f>Tuts!E1598</f>
        <v>0.5</v>
      </c>
      <c r="D1600" s="18">
        <f>Tuts!J1598</f>
        <v>0.47142857142857147</v>
      </c>
      <c r="E1600" s="13">
        <f>Tuts!D1598</f>
        <v>0.33</v>
      </c>
    </row>
    <row r="1601" spans="2:5" ht="15.75" hidden="1" customHeight="1">
      <c r="B1601" t="str">
        <f>Tuts!B1599</f>
        <v>ROLDANA 36 C/ PREGO</v>
      </c>
      <c r="C1601" s="13">
        <f>Tuts!E1599</f>
        <v>0.9</v>
      </c>
      <c r="D1601" s="18">
        <f>Tuts!J1599</f>
        <v>0.84285714285714286</v>
      </c>
      <c r="E1601" s="13">
        <f>Tuts!D1599</f>
        <v>0.59</v>
      </c>
    </row>
    <row r="1602" spans="2:5" ht="15.75" hidden="1" customHeight="1">
      <c r="B1602" t="str">
        <f>Tuts!B1600</f>
        <v>ROLDANA 48</v>
      </c>
      <c r="C1602" s="13">
        <f>Tuts!E1600</f>
        <v>1.1000000000000001</v>
      </c>
      <c r="D1602" s="18">
        <f>Tuts!J1600</f>
        <v>0.97142857142857153</v>
      </c>
      <c r="E1602" s="13">
        <f>Tuts!D1600</f>
        <v>0.68</v>
      </c>
    </row>
    <row r="1603" spans="2:5" ht="15.75" hidden="1" customHeight="1">
      <c r="B1603" t="str">
        <f>Tuts!B1601</f>
        <v>ROLO LÃ 328 ALTAS 23CM</v>
      </c>
      <c r="C1603" s="13">
        <f>Tuts!E1601</f>
        <v>27.9</v>
      </c>
      <c r="D1603" s="18">
        <f>Tuts!J1601</f>
        <v>28.757142857142856</v>
      </c>
      <c r="E1603" s="13">
        <f>Tuts!D1601</f>
        <v>20.13</v>
      </c>
    </row>
    <row r="1604" spans="2:5" ht="15.75" hidden="1" customHeight="1">
      <c r="B1604" t="str">
        <f>Tuts!B1602</f>
        <v>ROMA ASSENTO SANITARIO BRANCO/CORES</v>
      </c>
      <c r="C1604" s="13">
        <f>Tuts!E1602</f>
        <v>35.799999999999997</v>
      </c>
      <c r="D1604" s="18">
        <f>Tuts!J1602</f>
        <v>31.414285714285715</v>
      </c>
      <c r="E1604" s="13">
        <f>Tuts!D1602</f>
        <v>21.99</v>
      </c>
    </row>
    <row r="1605" spans="2:5" ht="15.75" hidden="1" customHeight="1">
      <c r="B1605" t="str">
        <f>Tuts!B1603</f>
        <v>ROMERO GABINETE 3 GAV 150 AÇO</v>
      </c>
      <c r="C1605" s="13">
        <f>Tuts!E1603</f>
        <v>725</v>
      </c>
      <c r="D1605" s="18">
        <f>Tuts!J1603</f>
        <v>712.88571428571436</v>
      </c>
      <c r="E1605" s="13">
        <f>Tuts!D1603</f>
        <v>499.02</v>
      </c>
    </row>
    <row r="1606" spans="2:5" ht="15.75" hidden="1" customHeight="1">
      <c r="B1606" t="str">
        <f>Tuts!B1604</f>
        <v>ROMERO GABINETE 4 GAV 120 AÇO</v>
      </c>
      <c r="C1606" s="13">
        <f>Tuts!E1604</f>
        <v>615</v>
      </c>
      <c r="D1606" s="18">
        <f>Tuts!J1604</f>
        <v>569.57142857142856</v>
      </c>
      <c r="E1606" s="13">
        <f>Tuts!D1604</f>
        <v>398.7</v>
      </c>
    </row>
    <row r="1607" spans="2:5" ht="15.75" hidden="1" customHeight="1">
      <c r="B1607" t="str">
        <f>Tuts!B1605</f>
        <v>ROMERO GABINETE 4 GAV 150 AÇO</v>
      </c>
      <c r="C1607" s="13">
        <f>Tuts!E1605</f>
        <v>715</v>
      </c>
      <c r="D1607" s="18">
        <f>Tuts!J1605</f>
        <v>659.17142857142869</v>
      </c>
      <c r="E1607" s="13">
        <f>Tuts!D1605</f>
        <v>461.42</v>
      </c>
    </row>
    <row r="1608" spans="2:5" ht="15.75" hidden="1" customHeight="1">
      <c r="B1608" t="str">
        <f>Tuts!B1606</f>
        <v>ROMERO GABINETE C/ TANQUE DUPLO FIBRA 1,05X105</v>
      </c>
      <c r="C1608" s="13">
        <f>Tuts!E1606</f>
        <v>755</v>
      </c>
      <c r="D1608" s="18">
        <f>Tuts!J1606</f>
        <v>721.48571428571438</v>
      </c>
      <c r="E1608" s="13">
        <f>Tuts!D1606</f>
        <v>505.04</v>
      </c>
    </row>
    <row r="1609" spans="2:5" ht="15.75" hidden="1" customHeight="1">
      <c r="B1609" t="str">
        <f>Tuts!B1607</f>
        <v>SACHE GRAXA GRAFITADA 80G</v>
      </c>
      <c r="C1609" s="13">
        <f>Tuts!E1607</f>
        <v>8</v>
      </c>
      <c r="D1609" s="18">
        <f>Tuts!J1607</f>
        <v>7.1142857142857157</v>
      </c>
      <c r="E1609" s="13">
        <f>Tuts!D1607</f>
        <v>4.9800000000000004</v>
      </c>
    </row>
    <row r="1610" spans="2:5" ht="15.75" hidden="1" customHeight="1">
      <c r="B1610" t="str">
        <f>Tuts!B1608</f>
        <v>SALVA REGISTRO 7 BUCHAS C/ ACABAMENTO</v>
      </c>
      <c r="C1610" s="13">
        <f>Tuts!E1608</f>
        <v>48.9</v>
      </c>
      <c r="D1610" s="18">
        <f>Tuts!J1608</f>
        <v>41.142857142857146</v>
      </c>
      <c r="E1610" s="13">
        <f>Tuts!D1608</f>
        <v>28.8</v>
      </c>
    </row>
    <row r="1611" spans="2:5" ht="15.75" hidden="1" customHeight="1">
      <c r="B1611" t="str">
        <f>Tuts!B1609</f>
        <v>SANRO TOP LUVA LATEX VERDE</v>
      </c>
      <c r="C1611" s="13">
        <f>Tuts!E1609</f>
        <v>16.5</v>
      </c>
      <c r="D1611" s="18">
        <f>Tuts!J1609</f>
        <v>15.000000000000002</v>
      </c>
      <c r="E1611" s="13">
        <f>Tuts!D1609</f>
        <v>10.5</v>
      </c>
    </row>
    <row r="1612" spans="2:5" ht="15.75" hidden="1" customHeight="1">
      <c r="B1612" t="str">
        <f>Tuts!B1610</f>
        <v>SARAN ACABAMENTO REGISTRO SARAN</v>
      </c>
      <c r="C1612" s="13">
        <f>Tuts!E1610</f>
        <v>28.5</v>
      </c>
      <c r="D1612" s="18">
        <f>Tuts!J1610</f>
        <v>26.042857142857144</v>
      </c>
      <c r="E1612" s="13">
        <f>Tuts!D1610</f>
        <v>18.23</v>
      </c>
    </row>
    <row r="1613" spans="2:5" ht="15.75" hidden="1" customHeight="1">
      <c r="B1613" t="str">
        <f>Tuts!B1611</f>
        <v>SARGENTO 3X1</v>
      </c>
      <c r="C1613" s="13">
        <f>Tuts!E1611</f>
        <v>58.9</v>
      </c>
      <c r="D1613" s="18">
        <f>Tuts!J1611</f>
        <v>54.285714285714292</v>
      </c>
      <c r="E1613" s="13">
        <f>Tuts!D1611</f>
        <v>38</v>
      </c>
    </row>
    <row r="1614" spans="2:5" ht="15.75" hidden="1" customHeight="1">
      <c r="B1614" t="str">
        <f>Tuts!B1612</f>
        <v>SELA TRINCA GARIN 450G</v>
      </c>
      <c r="C1614" s="13">
        <f>Tuts!E1612</f>
        <v>20</v>
      </c>
      <c r="D1614" s="18">
        <f>Tuts!J1612</f>
        <v>17.12857142857143</v>
      </c>
      <c r="E1614" s="13">
        <f>Tuts!D1612</f>
        <v>11.99</v>
      </c>
    </row>
    <row r="1615" spans="2:5" ht="15.75" hidden="1" customHeight="1">
      <c r="B1615" t="str">
        <f>Tuts!B1613</f>
        <v>SELAMAIS INCOLOR 50G</v>
      </c>
      <c r="C1615" s="13">
        <f>Tuts!E1613</f>
        <v>15.5</v>
      </c>
      <c r="D1615" s="18">
        <f>Tuts!J1613</f>
        <v>13.571428571428573</v>
      </c>
      <c r="E1615" s="13">
        <f>Tuts!D1613</f>
        <v>9.5</v>
      </c>
    </row>
    <row r="1616" spans="2:5" ht="15.75" hidden="1" customHeight="1">
      <c r="B1616" t="str">
        <f>Tuts!B1614</f>
        <v>SENSOR DE PRESENÇA AREA EXTERNA</v>
      </c>
      <c r="C1616" s="13">
        <f>Tuts!E1614</f>
        <v>62</v>
      </c>
      <c r="D1616" s="18">
        <f>Tuts!J1614</f>
        <v>56.785714285714292</v>
      </c>
      <c r="E1616" s="13">
        <f>Tuts!D1614</f>
        <v>39.75</v>
      </c>
    </row>
    <row r="1617" spans="2:5" ht="15.75" hidden="1" customHeight="1">
      <c r="B1617" t="str">
        <f>Tuts!B1615</f>
        <v>SENSOR DE PRESENÇA SOBREPOR AREA INTERNA</v>
      </c>
      <c r="C1617" s="13">
        <f>Tuts!E1615</f>
        <v>50</v>
      </c>
      <c r="D1617" s="18">
        <f>Tuts!J1615</f>
        <v>46.428571428571431</v>
      </c>
      <c r="E1617" s="13">
        <f>Tuts!D1615</f>
        <v>32.5</v>
      </c>
    </row>
    <row r="1618" spans="2:5" ht="15.75" hidden="1" customHeight="1">
      <c r="B1618" t="str">
        <f>Tuts!B1616</f>
        <v>SERRA COPO 45MM</v>
      </c>
      <c r="C1618" s="13">
        <f>Tuts!E1616</f>
        <v>61.3</v>
      </c>
      <c r="D1618" s="18">
        <f>Tuts!J1616</f>
        <v>62.857142857142861</v>
      </c>
      <c r="E1618" s="13">
        <f>Tuts!D1616</f>
        <v>44</v>
      </c>
    </row>
    <row r="1619" spans="2:5" ht="15.75" hidden="1" customHeight="1">
      <c r="B1619" t="str">
        <f>Tuts!B1617</f>
        <v>SERRA COPO 53MM</v>
      </c>
      <c r="C1619" s="13">
        <f>Tuts!E1617</f>
        <v>81.900000000000006</v>
      </c>
      <c r="D1619" s="18">
        <f>Tuts!J1617</f>
        <v>85.714285714285722</v>
      </c>
      <c r="E1619" s="13">
        <f>Tuts!D1617</f>
        <v>60</v>
      </c>
    </row>
    <row r="1620" spans="2:5" ht="15.75" hidden="1" customHeight="1">
      <c r="B1620" t="str">
        <f>Tuts!B1618</f>
        <v>SERRA STARRET 12X18</v>
      </c>
      <c r="C1620" s="13">
        <f>Tuts!E1618</f>
        <v>12.8</v>
      </c>
      <c r="D1620" s="18">
        <f>Tuts!J1618</f>
        <v>11.842857142857142</v>
      </c>
      <c r="E1620" s="13">
        <f>Tuts!D1618</f>
        <v>8.2899999999999991</v>
      </c>
    </row>
    <row r="1621" spans="2:5" ht="15.75" hidden="1" customHeight="1">
      <c r="B1621" t="str">
        <f>Tuts!B1619</f>
        <v>SERRA STARRET 12X24</v>
      </c>
      <c r="C1621" s="13">
        <f>Tuts!E1619</f>
        <v>13.5</v>
      </c>
      <c r="D1621" s="18">
        <f>Tuts!J1619</f>
        <v>12.5</v>
      </c>
      <c r="E1621" s="13">
        <f>Tuts!D1619</f>
        <v>8.75</v>
      </c>
    </row>
    <row r="1622" spans="2:5" ht="15.75" hidden="1" customHeight="1">
      <c r="B1622" t="str">
        <f>Tuts!B1620</f>
        <v>SERROTE PODA PEQUENO</v>
      </c>
      <c r="C1622" s="13">
        <f>Tuts!E1620</f>
        <v>38</v>
      </c>
      <c r="D1622" s="18">
        <f>Tuts!J1620</f>
        <v>32.857142857142861</v>
      </c>
      <c r="E1622" s="13">
        <f>Tuts!D1620</f>
        <v>23</v>
      </c>
    </row>
    <row r="1623" spans="2:5" ht="15.75" hidden="1" customHeight="1">
      <c r="B1623" t="str">
        <f>Tuts!B1621</f>
        <v>SIKATOP 18KG</v>
      </c>
      <c r="C1623" s="13">
        <f>Tuts!E1621</f>
        <v>72</v>
      </c>
      <c r="D1623" s="18">
        <f>Tuts!J1621</f>
        <v>71.414285714285725</v>
      </c>
      <c r="E1623" s="13">
        <f>Tuts!D1621</f>
        <v>49.99</v>
      </c>
    </row>
    <row r="1624" spans="2:5" ht="15.75" hidden="1" customHeight="1">
      <c r="B1624" t="str">
        <f>Tuts!B1622</f>
        <v>SIKATOP 4KG</v>
      </c>
      <c r="C1624" s="13">
        <f>Tuts!E1622</f>
        <v>32</v>
      </c>
      <c r="D1624" s="18">
        <f>Tuts!J1622</f>
        <v>30.085714285714285</v>
      </c>
      <c r="E1624" s="13">
        <f>Tuts!D1622</f>
        <v>21.06</v>
      </c>
    </row>
    <row r="1625" spans="2:5" ht="15.75" hidden="1" customHeight="1">
      <c r="B1625" t="str">
        <f>Tuts!B1623</f>
        <v>SIL CABO FLEXIVEL 1,5MM</v>
      </c>
      <c r="C1625" s="13">
        <f>Tuts!E1623</f>
        <v>145</v>
      </c>
      <c r="D1625" s="18">
        <f>Tuts!J1623</f>
        <v>143.85714285714286</v>
      </c>
      <c r="E1625" s="13">
        <f>Tuts!D1623</f>
        <v>100.7</v>
      </c>
    </row>
    <row r="1626" spans="2:5" ht="15.75" hidden="1" customHeight="1">
      <c r="B1626" t="str">
        <f>Tuts!B1624</f>
        <v>SIL CABO FLEXIVEL 2,5MM</v>
      </c>
      <c r="C1626" s="13">
        <f>Tuts!E1624</f>
        <v>232</v>
      </c>
      <c r="D1626" s="18">
        <f>Tuts!J1624</f>
        <v>231.42857142857144</v>
      </c>
      <c r="E1626" s="13">
        <f>Tuts!D1624</f>
        <v>162</v>
      </c>
    </row>
    <row r="1627" spans="2:5" ht="15.75" hidden="1" customHeight="1">
      <c r="B1627" t="str">
        <f>Tuts!B1625</f>
        <v>SIL CABO FLEXIVEL 4,0MM</v>
      </c>
      <c r="C1627" s="13">
        <f>Tuts!E1625</f>
        <v>382</v>
      </c>
      <c r="D1627" s="18">
        <f>Tuts!J1625</f>
        <v>381.28571428571428</v>
      </c>
      <c r="E1627" s="13">
        <f>Tuts!D1625</f>
        <v>266.89999999999998</v>
      </c>
    </row>
    <row r="1628" spans="2:5" ht="15.75" hidden="1" customHeight="1">
      <c r="B1628" t="str">
        <f>Tuts!B1626</f>
        <v>SILICONE 50G PEQUENO</v>
      </c>
      <c r="C1628" s="13">
        <f>Tuts!E1626</f>
        <v>9.5</v>
      </c>
      <c r="D1628" s="18">
        <f>Tuts!J1626</f>
        <v>8.757142857142858</v>
      </c>
      <c r="E1628" s="13">
        <f>Tuts!D1626</f>
        <v>6.13</v>
      </c>
    </row>
    <row r="1629" spans="2:5" ht="15.75" hidden="1" customHeight="1">
      <c r="B1629" t="str">
        <f>Tuts!B1627</f>
        <v>SILVER TAPE ADELBRAS 48MMX5M</v>
      </c>
      <c r="C1629" s="13">
        <f>Tuts!E1627</f>
        <v>12</v>
      </c>
      <c r="D1629" s="18">
        <f>Tuts!J1627</f>
        <v>10.471428571428572</v>
      </c>
      <c r="E1629" s="13">
        <f>Tuts!D1627</f>
        <v>7.33</v>
      </c>
    </row>
    <row r="1630" spans="2:5" ht="15.75" hidden="1" customHeight="1">
      <c r="B1630" t="str">
        <f>Tuts!B1628</f>
        <v>SILVER TAPE SILVERTAPE WURTH 50MMX5M</v>
      </c>
      <c r="C1630" s="13">
        <f>Tuts!E1628</f>
        <v>12.6</v>
      </c>
      <c r="D1630" s="18">
        <f>Tuts!J1628</f>
        <v>11.642857142857144</v>
      </c>
      <c r="E1630" s="13">
        <f>Tuts!D1628</f>
        <v>8.15</v>
      </c>
    </row>
    <row r="1631" spans="2:5" ht="15.75" hidden="1" customHeight="1">
      <c r="B1631" t="str">
        <f>Tuts!B1629</f>
        <v>SOLEIRA CINZA CORUMBA / VERDE UBATUBA 0,82 X 0,14</v>
      </c>
      <c r="C1631" s="13">
        <f>Tuts!E1629</f>
        <v>39</v>
      </c>
      <c r="D1631" s="18">
        <f>Tuts!J1629</f>
        <v>35.714285714285715</v>
      </c>
      <c r="E1631" s="13">
        <f>Tuts!D1629</f>
        <v>25</v>
      </c>
    </row>
    <row r="1632" spans="2:5" ht="15.75" hidden="1" customHeight="1">
      <c r="B1632" t="str">
        <f>Tuts!B1630</f>
        <v>SOLEIRA CINZA CORUMBA / VERDE UBATUBA 0,92 X 0,14</v>
      </c>
      <c r="C1632" s="13">
        <f>Tuts!E1630</f>
        <v>39</v>
      </c>
      <c r="D1632" s="18">
        <f>Tuts!J1630</f>
        <v>35.714285714285715</v>
      </c>
      <c r="E1632" s="13">
        <f>Tuts!D1630</f>
        <v>25</v>
      </c>
    </row>
    <row r="1633" spans="2:5" ht="15.75" hidden="1" customHeight="1">
      <c r="B1633" t="str">
        <f>Tuts!B1631</f>
        <v xml:space="preserve">Soquete com Chave </v>
      </c>
      <c r="C1633" s="13">
        <f>Tuts!E1631</f>
        <v>7.5</v>
      </c>
      <c r="D1633" s="18">
        <f>Tuts!J1631</f>
        <v>7.5142857142857142</v>
      </c>
      <c r="E1633" s="13">
        <f>Tuts!D1631</f>
        <v>5.26</v>
      </c>
    </row>
    <row r="1634" spans="2:5" ht="15.75" hidden="1" customHeight="1">
      <c r="B1634" t="str">
        <f>Tuts!B1632</f>
        <v>SOQUETE LAMPADA TUBOLAR G13</v>
      </c>
      <c r="C1634" s="13">
        <f>Tuts!E1632</f>
        <v>3</v>
      </c>
      <c r="D1634" s="18">
        <f>Tuts!J1632</f>
        <v>1.7142857142857144</v>
      </c>
      <c r="E1634" s="13">
        <f>Tuts!D1632</f>
        <v>1.2</v>
      </c>
    </row>
    <row r="1635" spans="2:5" ht="15.75" hidden="1" customHeight="1">
      <c r="B1635" t="str">
        <f>Tuts!B1633</f>
        <v>SOQUETE PORCELANATO E27</v>
      </c>
      <c r="C1635" s="13">
        <f>Tuts!E1633</f>
        <v>5</v>
      </c>
      <c r="D1635" s="18">
        <f>Tuts!J1633</f>
        <v>4.2428571428571438</v>
      </c>
      <c r="E1635" s="13">
        <f>Tuts!D1633</f>
        <v>2.97</v>
      </c>
    </row>
    <row r="1636" spans="2:5" ht="15.75" hidden="1" customHeight="1">
      <c r="B1636" t="str">
        <f>Tuts!B1634</f>
        <v>Soquete Rabicho</v>
      </c>
      <c r="C1636" s="13">
        <f>Tuts!E1634</f>
        <v>5</v>
      </c>
      <c r="D1636" s="18">
        <f>Tuts!J1634</f>
        <v>3.5714285714285716</v>
      </c>
      <c r="E1636" s="13">
        <f>Tuts!D1634</f>
        <v>2.5</v>
      </c>
    </row>
    <row r="1637" spans="2:5" ht="15.75" hidden="1" customHeight="1">
      <c r="B1637" t="str">
        <f>Tuts!B1635</f>
        <v>SPLIT BOLT 16MM</v>
      </c>
      <c r="C1637" s="13">
        <f>Tuts!E1635</f>
        <v>8.15</v>
      </c>
      <c r="D1637" s="18">
        <f>Tuts!J1635</f>
        <v>7.5428571428571436</v>
      </c>
      <c r="E1637" s="13">
        <f>Tuts!D1635</f>
        <v>5.28</v>
      </c>
    </row>
    <row r="1638" spans="2:5" ht="15.75" hidden="1" customHeight="1">
      <c r="B1638" t="str">
        <f>Tuts!B1636</f>
        <v>SPLIT BOLT 25MM</v>
      </c>
      <c r="C1638" s="13">
        <f>Tuts!E1636</f>
        <v>10.6</v>
      </c>
      <c r="D1638" s="18">
        <f>Tuts!J1636</f>
        <v>9.7714285714285722</v>
      </c>
      <c r="E1638" s="13">
        <f>Tuts!D1636</f>
        <v>6.84</v>
      </c>
    </row>
    <row r="1639" spans="2:5" ht="15.75" hidden="1" customHeight="1">
      <c r="B1639" t="str">
        <f>Tuts!B1637</f>
        <v>SPOT LED 5W EMBUTIR</v>
      </c>
      <c r="C1639" s="13">
        <f>Tuts!E1637</f>
        <v>12</v>
      </c>
      <c r="D1639" s="18">
        <f>Tuts!J1637</f>
        <v>10.357142857142858</v>
      </c>
      <c r="E1639" s="13">
        <f>Tuts!D1637</f>
        <v>7.25</v>
      </c>
    </row>
    <row r="1640" spans="2:5" ht="15.75" hidden="1" customHeight="1">
      <c r="B1640" t="str">
        <f>Tuts!B1638</f>
        <v>SPOT LUMINARIA LUZ ARTICULADO</v>
      </c>
      <c r="C1640" s="13">
        <f>Tuts!E1638</f>
        <v>12</v>
      </c>
      <c r="D1640" s="18">
        <f>Tuts!J1638</f>
        <v>9.3857142857142861</v>
      </c>
      <c r="E1640" s="13">
        <f>Tuts!D1638</f>
        <v>6.57</v>
      </c>
    </row>
    <row r="1641" spans="2:5" ht="15.75" hidden="1" customHeight="1">
      <c r="B1641" t="str">
        <f>Tuts!B1639</f>
        <v>STAM FECHADURA 501-502/03 ESTREITA</v>
      </c>
      <c r="C1641" s="13">
        <f>Tuts!E1639</f>
        <v>88</v>
      </c>
      <c r="D1641" s="18">
        <f>Tuts!J1639</f>
        <v>81.414285714285725</v>
      </c>
      <c r="E1641" s="13">
        <f>Tuts!D1639</f>
        <v>56.99</v>
      </c>
    </row>
    <row r="1642" spans="2:5" ht="15.75" hidden="1" customHeight="1">
      <c r="B1642" t="str">
        <f>Tuts!B1640</f>
        <v>STAM FECHADURA 803/03 EXT</v>
      </c>
      <c r="C1642" s="13">
        <f>Tuts!E1640</f>
        <v>94</v>
      </c>
      <c r="D1642" s="18">
        <f>Tuts!J1640</f>
        <v>87.257142857142867</v>
      </c>
      <c r="E1642" s="13">
        <f>Tuts!D1640</f>
        <v>61.08</v>
      </c>
    </row>
    <row r="1643" spans="2:5" ht="15.75" hidden="1" customHeight="1">
      <c r="B1643" t="str">
        <f>Tuts!B1641</f>
        <v>STAM FECHADURA 804/03 EXT</v>
      </c>
      <c r="C1643" s="13">
        <f>Tuts!E1641</f>
        <v>85</v>
      </c>
      <c r="D1643" s="18">
        <f>Tuts!J1641</f>
        <v>78.557142857142864</v>
      </c>
      <c r="E1643" s="13">
        <f>Tuts!D1641</f>
        <v>54.99</v>
      </c>
    </row>
    <row r="1644" spans="2:5" ht="15.75" hidden="1" customHeight="1">
      <c r="B1644" t="str">
        <f>Tuts!B1642</f>
        <v xml:space="preserve">STANLEY DISCO 9" SEGMENTADO </v>
      </c>
      <c r="C1644" s="13">
        <f>Tuts!E1642</f>
        <v>98</v>
      </c>
      <c r="D1644" s="18">
        <f>Tuts!J1642</f>
        <v>83.571428571428584</v>
      </c>
      <c r="E1644" s="13">
        <f>Tuts!D1642</f>
        <v>58.5</v>
      </c>
    </row>
    <row r="1645" spans="2:5" ht="15.75" hidden="1" customHeight="1">
      <c r="B1645" t="str">
        <f>Tuts!B1643</f>
        <v>STANLEY DISCO 9" TURBO</v>
      </c>
      <c r="C1645" s="13">
        <f>Tuts!E1643</f>
        <v>85</v>
      </c>
      <c r="D1645" s="18">
        <f>Tuts!J1643</f>
        <v>71.028571428571425</v>
      </c>
      <c r="E1645" s="13">
        <f>Tuts!D1643</f>
        <v>49.72</v>
      </c>
    </row>
    <row r="1646" spans="2:5" ht="15.75" hidden="1" customHeight="1">
      <c r="B1646" t="str">
        <f>Tuts!B1644</f>
        <v>STANLEY DISCO CORTE AÇO/INOX 4</v>
      </c>
      <c r="C1646" s="13">
        <f>Tuts!E1644</f>
        <v>6</v>
      </c>
      <c r="D1646" s="18">
        <f>Tuts!J1644</f>
        <v>2.3714285714285714</v>
      </c>
      <c r="E1646" s="13">
        <f>Tuts!D1644</f>
        <v>1.66</v>
      </c>
    </row>
    <row r="1647" spans="2:5" ht="15.75" hidden="1" customHeight="1">
      <c r="B1647" t="str">
        <f>Tuts!B1645</f>
        <v>STANLEY ESMERILHADEIRA ANG. 4.1/2" (11 5MM) 620W 127V</v>
      </c>
      <c r="C1647" s="13">
        <f>Tuts!E1645</f>
        <v>299.89999999999998</v>
      </c>
      <c r="D1647" s="18">
        <f>Tuts!J1645</f>
        <v>261.6142857142857</v>
      </c>
      <c r="E1647" s="13">
        <f>Tuts!D1645</f>
        <v>183.13</v>
      </c>
    </row>
    <row r="1648" spans="2:5" ht="15.75" hidden="1" customHeight="1">
      <c r="B1648" t="str">
        <f>Tuts!B1646</f>
        <v>STANLEY FURADEIRA IMPACTO 600W 13MM 127V</v>
      </c>
      <c r="C1648" s="13">
        <f>Tuts!E1646</f>
        <v>348</v>
      </c>
      <c r="D1648" s="18">
        <f>Tuts!J1646</f>
        <v>320.84285714285716</v>
      </c>
      <c r="E1648" s="13">
        <f>Tuts!D1646</f>
        <v>224.59</v>
      </c>
    </row>
    <row r="1649" spans="2:5" ht="15.75" hidden="1" customHeight="1">
      <c r="B1649" t="str">
        <f>Tuts!B1647</f>
        <v>STANLEY FURADEIRA IMPACTO 600W 13MM 127V C/ MALETA</v>
      </c>
      <c r="C1649" s="13">
        <f>Tuts!E1647</f>
        <v>390</v>
      </c>
      <c r="D1649" s="18">
        <f>Tuts!J1647</f>
        <v>378.34285714285716</v>
      </c>
      <c r="E1649" s="13">
        <f>Tuts!D1647</f>
        <v>264.83999999999997</v>
      </c>
    </row>
    <row r="1650" spans="2:5" ht="15.75" hidden="1" customHeight="1">
      <c r="B1650" t="str">
        <f>Tuts!B1648</f>
        <v>STANLEY TRENA BASICA 8MT</v>
      </c>
      <c r="C1650" s="13">
        <f>Tuts!E1648</f>
        <v>47.5</v>
      </c>
      <c r="D1650" s="18">
        <f>Tuts!J1648</f>
        <v>43.51428571428572</v>
      </c>
      <c r="E1650" s="13">
        <f>Tuts!D1648</f>
        <v>30.46</v>
      </c>
    </row>
    <row r="1651" spans="2:5" ht="15.75" hidden="1" customHeight="1">
      <c r="B1651" t="str">
        <f>Tuts!B1649</f>
        <v>STARRET DISCO CORTE INOX ACO 4''</v>
      </c>
      <c r="C1651" s="13">
        <f>Tuts!E1649</f>
        <v>5</v>
      </c>
      <c r="D1651" s="18">
        <f>Tuts!J1649</f>
        <v>3.6</v>
      </c>
      <c r="E1651" s="13">
        <f>Tuts!D1649</f>
        <v>2.52</v>
      </c>
    </row>
    <row r="1652" spans="2:5" ht="15.75" hidden="1" customHeight="1">
      <c r="B1652" t="str">
        <f>Tuts!B1650</f>
        <v>STARRET TRENA 5MTS</v>
      </c>
      <c r="C1652" s="13">
        <f>Tuts!E1650</f>
        <v>28.5</v>
      </c>
      <c r="D1652" s="18">
        <f>Tuts!J1650</f>
        <v>26.414285714285715</v>
      </c>
      <c r="E1652" s="13">
        <f>Tuts!D1650</f>
        <v>18.489999999999998</v>
      </c>
    </row>
    <row r="1653" spans="2:5" ht="15.75" hidden="1" customHeight="1">
      <c r="B1653" t="str">
        <f>Tuts!B1651</f>
        <v>STECK QUADRO DE DISJUNTORES SOBREPOR 5DIN</v>
      </c>
      <c r="C1653" s="13">
        <f>Tuts!E1651</f>
        <v>62</v>
      </c>
      <c r="D1653" s="18">
        <f>Tuts!J1651</f>
        <v>55.571428571428569</v>
      </c>
      <c r="E1653" s="13">
        <f>Tuts!D1651</f>
        <v>38.9</v>
      </c>
    </row>
    <row r="1654" spans="2:5" ht="15.75" hidden="1" customHeight="1">
      <c r="B1654" t="str">
        <f>Tuts!B1652</f>
        <v>STICK VARAL DE PAREDE 18M</v>
      </c>
      <c r="C1654" s="13">
        <f>Tuts!E1652</f>
        <v>53</v>
      </c>
      <c r="D1654" s="18">
        <f>Tuts!J1652</f>
        <v>48.671428571428578</v>
      </c>
      <c r="E1654" s="13">
        <f>Tuts!D1652</f>
        <v>34.07</v>
      </c>
    </row>
    <row r="1655" spans="2:5" ht="15.75" hidden="1" customHeight="1">
      <c r="B1655" t="str">
        <f>Tuts!B1653</f>
        <v>Suporte Botijão</v>
      </c>
      <c r="C1655" s="13">
        <f>Tuts!E1653</f>
        <v>49.8</v>
      </c>
      <c r="D1655" s="18">
        <f>Tuts!J1653</f>
        <v>49.814285714285717</v>
      </c>
      <c r="E1655" s="13">
        <f>Tuts!D1653</f>
        <v>34.869999999999997</v>
      </c>
    </row>
    <row r="1656" spans="2:5" ht="15.75" hidden="1" customHeight="1">
      <c r="B1656" t="str">
        <f>Tuts!B1654</f>
        <v>SUPORTE CAIXA DESCARGA</v>
      </c>
      <c r="C1656" s="13">
        <f>Tuts!E1654</f>
        <v>20</v>
      </c>
      <c r="D1656" s="18">
        <f>Tuts!J1654</f>
        <v>18.571428571428573</v>
      </c>
      <c r="E1656" s="13">
        <f>Tuts!D1654</f>
        <v>13</v>
      </c>
    </row>
    <row r="1657" spans="2:5" ht="15.75" hidden="1" customHeight="1">
      <c r="B1657" t="str">
        <f>Tuts!B1655</f>
        <v xml:space="preserve">SUPORTE DE ANTENA TV EXTERNO </v>
      </c>
      <c r="C1657" s="13">
        <f>Tuts!E1655</f>
        <v>45</v>
      </c>
      <c r="D1657" s="18">
        <f>Tuts!J1655</f>
        <v>40.857142857142861</v>
      </c>
      <c r="E1657" s="13">
        <f>Tuts!D1655</f>
        <v>28.6</v>
      </c>
    </row>
    <row r="1658" spans="2:5" ht="15.75" hidden="1" customHeight="1">
      <c r="B1658" t="str">
        <f>Tuts!B1656</f>
        <v>SUPORTE DE MANGUEIRA PLASTICO PRETO MEIA LUA</v>
      </c>
      <c r="C1658" s="13">
        <f>Tuts!E1656</f>
        <v>22</v>
      </c>
      <c r="D1658" s="18">
        <f>Tuts!J1656</f>
        <v>21.414285714285715</v>
      </c>
      <c r="E1658" s="13">
        <f>Tuts!D1656</f>
        <v>14.99</v>
      </c>
    </row>
    <row r="1659" spans="2:5" ht="15.75" hidden="1" customHeight="1">
      <c r="B1659" t="str">
        <f>Tuts!B1657</f>
        <v>SUPORTE DE PIA CHUMBAR</v>
      </c>
      <c r="C1659" s="13">
        <f>Tuts!E1657</f>
        <v>82</v>
      </c>
      <c r="D1659" s="18">
        <f>Tuts!J1657</f>
        <v>74.571428571428584</v>
      </c>
      <c r="E1659" s="13">
        <f>Tuts!D1657</f>
        <v>52.2</v>
      </c>
    </row>
    <row r="1660" spans="2:5" ht="15.75" hidden="1" customHeight="1">
      <c r="B1660" t="str">
        <f>Tuts!B1658</f>
        <v>SUPORTE DE PIA PARAFUSAR</v>
      </c>
      <c r="C1660" s="13">
        <f>Tuts!E1658</f>
        <v>86</v>
      </c>
      <c r="D1660" s="18">
        <f>Tuts!J1658</f>
        <v>78.771428571428572</v>
      </c>
      <c r="E1660" s="13">
        <f>Tuts!D1658</f>
        <v>55.14</v>
      </c>
    </row>
    <row r="1661" spans="2:5" ht="15.75" hidden="1" customHeight="1">
      <c r="B1661" t="str">
        <f>Tuts!B1659</f>
        <v>SUPORTE DE TV</v>
      </c>
      <c r="C1661" s="13">
        <f>Tuts!E1659</f>
        <v>23</v>
      </c>
      <c r="D1661" s="18">
        <f>Tuts!J1659</f>
        <v>21.071428571428573</v>
      </c>
      <c r="E1661" s="13">
        <f>Tuts!D1659</f>
        <v>14.75</v>
      </c>
    </row>
    <row r="1662" spans="2:5" ht="15.75" hidden="1" customHeight="1">
      <c r="B1662" t="str">
        <f>Tuts!B1660</f>
        <v>SUPORTE DUCHA HIGIENICA</v>
      </c>
      <c r="C1662" s="13">
        <f>Tuts!E1660</f>
        <v>28</v>
      </c>
      <c r="D1662" s="18">
        <f>Tuts!J1660</f>
        <v>25.714285714285715</v>
      </c>
      <c r="E1662" s="13">
        <f>Tuts!D1660</f>
        <v>18</v>
      </c>
    </row>
    <row r="1663" spans="2:5" ht="15.75" hidden="1" customHeight="1">
      <c r="B1663" t="str">
        <f>Tuts!B1661</f>
        <v>SUPORTE PARA LAJE TETO</v>
      </c>
      <c r="C1663" s="13">
        <f>Tuts!E1661</f>
        <v>8.1999999999999993</v>
      </c>
      <c r="D1663" s="18">
        <f>Tuts!J1661</f>
        <v>8.3000000000000007</v>
      </c>
      <c r="E1663" s="13">
        <f>Tuts!D1661</f>
        <v>5.81</v>
      </c>
    </row>
    <row r="1664" spans="2:5" ht="15.75" hidden="1" customHeight="1">
      <c r="B1664" t="str">
        <f>Tuts!B1662</f>
        <v>SUPORTE PARA VARAO PAR</v>
      </c>
      <c r="C1664" s="13">
        <f>Tuts!E1662</f>
        <v>10</v>
      </c>
      <c r="D1664" s="18">
        <f>Tuts!J1662</f>
        <v>6.0714285714285721</v>
      </c>
      <c r="E1664" s="13">
        <f>Tuts!D1662</f>
        <v>4.25</v>
      </c>
    </row>
    <row r="1665" spans="2:5" ht="15.75" hidden="1" customHeight="1">
      <c r="B1665" t="str">
        <f>Tuts!B1663</f>
        <v>SUPORTE PAREDE PARA VASO 24CM</v>
      </c>
      <c r="C1665" s="13">
        <f>Tuts!E1663</f>
        <v>7.5</v>
      </c>
      <c r="D1665" s="18">
        <f>Tuts!J1663</f>
        <v>6.6857142857142859</v>
      </c>
      <c r="E1665" s="13">
        <f>Tuts!D1663</f>
        <v>4.68</v>
      </c>
    </row>
    <row r="1666" spans="2:5" ht="15.75" hidden="1" customHeight="1">
      <c r="B1666" t="str">
        <f>Tuts!B1664</f>
        <v>SUPORTE PAREDE PARA VASO 29CM</v>
      </c>
      <c r="C1666" s="13">
        <f>Tuts!E1664</f>
        <v>8.9</v>
      </c>
      <c r="D1666" s="18">
        <f>Tuts!J1664</f>
        <v>8.2857142857142865</v>
      </c>
      <c r="E1666" s="13">
        <f>Tuts!D1664</f>
        <v>5.8</v>
      </c>
    </row>
    <row r="1667" spans="2:5" ht="15.75" hidden="1" customHeight="1">
      <c r="B1667" t="str">
        <f>Tuts!B1665</f>
        <v>SUPORTE SERRA COPO</v>
      </c>
      <c r="C1667" s="13">
        <f>Tuts!E1665</f>
        <v>61</v>
      </c>
      <c r="D1667" s="18">
        <f>Tuts!J1665</f>
        <v>62.857142857142861</v>
      </c>
      <c r="E1667" s="13">
        <f>Tuts!D1665</f>
        <v>44</v>
      </c>
    </row>
    <row r="1668" spans="2:5" ht="15.75" hidden="1" customHeight="1">
      <c r="B1668" t="str">
        <f>Tuts!B1666</f>
        <v>SUPORTE VARAL GALVANIZADO</v>
      </c>
      <c r="C1668" s="13">
        <f>Tuts!E1666</f>
        <v>92</v>
      </c>
      <c r="D1668" s="18">
        <f>Tuts!J1666</f>
        <v>84.51428571428572</v>
      </c>
      <c r="E1668" s="13">
        <f>Tuts!D1666</f>
        <v>59.16</v>
      </c>
    </row>
    <row r="1669" spans="2:5" ht="15.75" hidden="1" customHeight="1">
      <c r="B1669" t="str">
        <f>Tuts!B1667</f>
        <v>SUVINIL ESMALTE 3,6L</v>
      </c>
      <c r="C1669" s="13">
        <f>Tuts!E1667</f>
        <v>175</v>
      </c>
      <c r="D1669" s="18">
        <f>Tuts!J1667</f>
        <v>177.22857142857146</v>
      </c>
      <c r="E1669" s="13">
        <f>Tuts!D1667</f>
        <v>124.06</v>
      </c>
    </row>
    <row r="1670" spans="2:5" ht="15.75" hidden="1" customHeight="1">
      <c r="B1670" t="str">
        <f>Tuts!B1668</f>
        <v>SUVINIL ESMALTE 900ML</v>
      </c>
      <c r="C1670" s="13">
        <f>Tuts!E1668</f>
        <v>55</v>
      </c>
      <c r="D1670" s="18">
        <f>Tuts!J1668</f>
        <v>57</v>
      </c>
      <c r="E1670" s="13">
        <f>Tuts!D1668</f>
        <v>39.9</v>
      </c>
    </row>
    <row r="1671" spans="2:5" ht="15.75" hidden="1" customHeight="1">
      <c r="B1671" t="str">
        <f>Tuts!B1669</f>
        <v>TABOA PINUS 3X025</v>
      </c>
      <c r="C1671" s="13">
        <f>Tuts!E1669</f>
        <v>36</v>
      </c>
      <c r="D1671" s="18">
        <f>Tuts!J1669</f>
        <v>33.25714285714286</v>
      </c>
      <c r="E1671" s="13">
        <f>Tuts!D1669</f>
        <v>23.28</v>
      </c>
    </row>
    <row r="1672" spans="2:5" ht="15.75" hidden="1" customHeight="1">
      <c r="B1672" t="str">
        <f>Tuts!B1670</f>
        <v>TABOA PINUS 3X030</v>
      </c>
      <c r="C1672" s="13">
        <f>Tuts!E1670</f>
        <v>43</v>
      </c>
      <c r="D1672" s="18">
        <f>Tuts!J1670</f>
        <v>39.785714285714292</v>
      </c>
      <c r="E1672" s="13">
        <f>Tuts!D1670</f>
        <v>27.85</v>
      </c>
    </row>
    <row r="1673" spans="2:5" ht="15.75" hidden="1" customHeight="1">
      <c r="B1673" t="str">
        <f>Tuts!B1671</f>
        <v>TALHADEIRA FERRO 3/4</v>
      </c>
      <c r="C1673" s="13">
        <f>Tuts!E1671</f>
        <v>12</v>
      </c>
      <c r="D1673" s="18">
        <f>Tuts!J1671</f>
        <v>10.028571428571428</v>
      </c>
      <c r="E1673" s="13">
        <f>Tuts!D1671</f>
        <v>7.02</v>
      </c>
    </row>
    <row r="1674" spans="2:5" ht="15.75" hidden="1" customHeight="1">
      <c r="B1674" t="str">
        <f>Tuts!B1672</f>
        <v>Tanque Duplo Mármore Sintético 1,05x0,55</v>
      </c>
      <c r="C1674" s="13">
        <f>Tuts!E1672</f>
        <v>305</v>
      </c>
      <c r="D1674" s="18">
        <f>Tuts!J1672</f>
        <v>280</v>
      </c>
      <c r="E1674" s="13">
        <f>Tuts!D1672</f>
        <v>196</v>
      </c>
    </row>
    <row r="1675" spans="2:5" ht="15.75" hidden="1" customHeight="1">
      <c r="B1675" t="str">
        <f>Tuts!B1673</f>
        <v>TANQUE FIBRA  TRIPLO  1,50X0,55</v>
      </c>
      <c r="C1675" s="13">
        <f>Tuts!E1673</f>
        <v>328</v>
      </c>
      <c r="D1675" s="18">
        <f>Tuts!J1673</f>
        <v>302.85714285714289</v>
      </c>
      <c r="E1675" s="13">
        <f>Tuts!D1673</f>
        <v>212</v>
      </c>
    </row>
    <row r="1676" spans="2:5" ht="15.75" hidden="1" customHeight="1">
      <c r="B1676" t="str">
        <f>Tuts!B1674</f>
        <v>TANQUE FIBRA 1 BOLA/BATEDOR LEVE 60X60</v>
      </c>
      <c r="C1676" s="13">
        <f>Tuts!E1674</f>
        <v>140</v>
      </c>
      <c r="D1676" s="18">
        <f>Tuts!J1674</f>
        <v>125.71428571428572</v>
      </c>
      <c r="E1676" s="13">
        <f>Tuts!D1674</f>
        <v>88</v>
      </c>
    </row>
    <row r="1677" spans="2:5" ht="15.75" hidden="1" customHeight="1">
      <c r="B1677" t="str">
        <f>Tuts!B1675</f>
        <v>TANQUE FIBRA DUPLO 1,10x0,55</v>
      </c>
      <c r="C1677" s="13">
        <f>Tuts!E1675</f>
        <v>205</v>
      </c>
      <c r="D1677" s="18">
        <f>Tuts!J1675</f>
        <v>205.71428571428572</v>
      </c>
      <c r="E1677" s="13">
        <f>Tuts!D1675</f>
        <v>144</v>
      </c>
    </row>
    <row r="1678" spans="2:5" ht="15.75" hidden="1" customHeight="1">
      <c r="B1678" t="str">
        <f>Tuts!B1676</f>
        <v>TANQUE GARCA MARMOFIBRA  LEVE 1 BOLA/BATEDOR</v>
      </c>
      <c r="C1678" s="13">
        <f>Tuts!E1676</f>
        <v>138</v>
      </c>
      <c r="D1678" s="18">
        <f>Tuts!J1676</f>
        <v>127.50000000000001</v>
      </c>
      <c r="E1678" s="13">
        <f>Tuts!D1676</f>
        <v>89.25</v>
      </c>
    </row>
    <row r="1679" spans="2:5" ht="15.75" hidden="1" customHeight="1">
      <c r="B1679" t="str">
        <f>Tuts!B1677</f>
        <v>Tanque Triplo Mármore Sintético 1,50x0,55</v>
      </c>
      <c r="C1679" s="13">
        <f>Tuts!E1677</f>
        <v>415</v>
      </c>
      <c r="D1679" s="18">
        <f>Tuts!J1677</f>
        <v>395.71428571428572</v>
      </c>
      <c r="E1679" s="13">
        <f>Tuts!D1677</f>
        <v>277</v>
      </c>
    </row>
    <row r="1680" spans="2:5" ht="15.75" hidden="1" customHeight="1">
      <c r="B1680" t="str">
        <f>Tuts!B1678</f>
        <v>TARJETA TRINCO CAIPIRA RETO N02 5CM</v>
      </c>
      <c r="C1680" s="13">
        <f>Tuts!E1678</f>
        <v>12.5</v>
      </c>
      <c r="D1680" s="18">
        <f>Tuts!J1678</f>
        <v>11.414285714285715</v>
      </c>
      <c r="E1680" s="13">
        <f>Tuts!D1678</f>
        <v>7.99</v>
      </c>
    </row>
    <row r="1681" spans="2:5" ht="15.75" hidden="1" customHeight="1">
      <c r="B1681" t="str">
        <f>Tuts!B1679</f>
        <v>TARJETA TRINCO CAIPIRA RETO N03 7,5CM</v>
      </c>
      <c r="C1681" s="13">
        <f>Tuts!E1679</f>
        <v>17.5</v>
      </c>
      <c r="D1681" s="18">
        <f>Tuts!J1679</f>
        <v>15.685714285714287</v>
      </c>
      <c r="E1681" s="13">
        <f>Tuts!D1679</f>
        <v>10.98</v>
      </c>
    </row>
    <row r="1682" spans="2:5" ht="15.75" hidden="1" customHeight="1">
      <c r="B1682" t="str">
        <f>Tuts!B1680</f>
        <v>TARJETA TRINCO CAIPIRA RETO N04 10CM</v>
      </c>
      <c r="C1682" s="13">
        <f>Tuts!E1680</f>
        <v>17.8</v>
      </c>
      <c r="D1682" s="18">
        <f>Tuts!J1680</f>
        <v>16.414285714285715</v>
      </c>
      <c r="E1682" s="13">
        <f>Tuts!D1680</f>
        <v>11.49</v>
      </c>
    </row>
    <row r="1683" spans="2:5" ht="15.75" hidden="1" customHeight="1">
      <c r="B1683" t="str">
        <f>Tuts!B1681</f>
        <v>TARJETA TRINCO CAIPIRA RETO N06 15CM</v>
      </c>
      <c r="C1683" s="13">
        <f>Tuts!E1681</f>
        <v>20</v>
      </c>
      <c r="D1683" s="18">
        <f>Tuts!J1681</f>
        <v>18.557142857142857</v>
      </c>
      <c r="E1683" s="13">
        <f>Tuts!D1681</f>
        <v>12.99</v>
      </c>
    </row>
    <row r="1684" spans="2:5" ht="15.75" hidden="1" customHeight="1">
      <c r="B1684" t="str">
        <f>Tuts!B1682</f>
        <v>TARJETA TRINCO REDONDO 63MM</v>
      </c>
      <c r="C1684" s="13">
        <f>Tuts!E1682</f>
        <v>5.5</v>
      </c>
      <c r="D1684" s="18">
        <f>Tuts!J1682</f>
        <v>4.9857142857142867</v>
      </c>
      <c r="E1684" s="13">
        <f>Tuts!D1682</f>
        <v>3.49</v>
      </c>
    </row>
    <row r="1685" spans="2:5" ht="15.75" hidden="1" customHeight="1">
      <c r="B1685" t="str">
        <f>Tuts!B1683</f>
        <v>TECLA ACABAMENTO VALVULA DOCOL</v>
      </c>
      <c r="C1685" s="13">
        <f>Tuts!E1683</f>
        <v>12</v>
      </c>
      <c r="D1685" s="18">
        <f>Tuts!J1683</f>
        <v>11.142857142857144</v>
      </c>
      <c r="E1685" s="13">
        <f>Tuts!D1683</f>
        <v>7.8</v>
      </c>
    </row>
    <row r="1686" spans="2:5" ht="15.75" hidden="1" customHeight="1">
      <c r="B1686" t="str">
        <f>Tuts!B1684</f>
        <v>TELA ANTI INSETO COLETOR 4''</v>
      </c>
      <c r="C1686" s="13">
        <f>Tuts!E1684</f>
        <v>8</v>
      </c>
      <c r="D1686" s="18">
        <f>Tuts!J1684</f>
        <v>6.6571428571428575</v>
      </c>
      <c r="E1686" s="13">
        <f>Tuts!D1684</f>
        <v>4.66</v>
      </c>
    </row>
    <row r="1687" spans="2:5" ht="15.75" hidden="1" customHeight="1">
      <c r="B1687" t="str">
        <f>Tuts!B1685</f>
        <v>TELA GALINHEIRO 1,80MT F22</v>
      </c>
      <c r="C1687" s="13">
        <f>Tuts!E1685</f>
        <v>8.5</v>
      </c>
      <c r="D1687" s="18">
        <f>Tuts!J1685</f>
        <v>7.6428571428571432</v>
      </c>
      <c r="E1687" s="13">
        <f>Tuts!D1685</f>
        <v>5.35</v>
      </c>
    </row>
    <row r="1688" spans="2:5" ht="15.75" hidden="1" customHeight="1">
      <c r="B1688" t="str">
        <f>Tuts!B1686</f>
        <v>TELA MANGUEIRAO 1,00MT F18</v>
      </c>
      <c r="C1688" s="13">
        <f>Tuts!E1686</f>
        <v>11.6</v>
      </c>
      <c r="D1688" s="18">
        <f>Tuts!J1686</f>
        <v>10.700000000000001</v>
      </c>
      <c r="E1688" s="13">
        <f>Tuts!D1686</f>
        <v>7.49</v>
      </c>
    </row>
    <row r="1689" spans="2:5" ht="15.75" hidden="1" customHeight="1">
      <c r="B1689" t="str">
        <f>Tuts!B1687</f>
        <v>TELA MOSQUITEIRO  BRANCO 1,2X50MTS</v>
      </c>
      <c r="C1689" s="13">
        <f>Tuts!E1687</f>
        <v>4.5</v>
      </c>
      <c r="D1689" s="18">
        <f>Tuts!J1687</f>
        <v>3.7</v>
      </c>
      <c r="E1689" s="13">
        <f>Tuts!D1687</f>
        <v>2.59</v>
      </c>
    </row>
    <row r="1690" spans="2:5" ht="15.75" hidden="1" customHeight="1">
      <c r="B1690" t="str">
        <f>Tuts!B1688</f>
        <v>TELA PINTEIRO 1,00MT F24</v>
      </c>
      <c r="C1690" s="13">
        <f>Tuts!E1688</f>
        <v>7.5</v>
      </c>
      <c r="D1690" s="18">
        <f>Tuts!J1688</f>
        <v>6.757142857142858</v>
      </c>
      <c r="E1690" s="13">
        <f>Tuts!D1688</f>
        <v>4.7300000000000004</v>
      </c>
    </row>
    <row r="1691" spans="2:5" ht="15.75" hidden="1" customHeight="1">
      <c r="B1691" t="str">
        <f>Tuts!B1689</f>
        <v>TELA SOMBRITE 1,50X50M 50%</v>
      </c>
      <c r="C1691" s="13">
        <f>Tuts!E1689</f>
        <v>7.8</v>
      </c>
      <c r="D1691" s="18">
        <f>Tuts!J1689</f>
        <v>6.871428571428571</v>
      </c>
      <c r="E1691" s="13">
        <f>Tuts!D1689</f>
        <v>4.8099999999999996</v>
      </c>
    </row>
    <row r="1692" spans="2:5" ht="15.75" hidden="1" customHeight="1">
      <c r="B1692" t="str">
        <f>Tuts!B1690</f>
        <v>TELA SOMBRITE 3,00X50M 50%</v>
      </c>
      <c r="C1692" s="13">
        <f>Tuts!E1690</f>
        <v>9.5</v>
      </c>
      <c r="D1692" s="18">
        <f>Tuts!J1690</f>
        <v>8.7142857142857135</v>
      </c>
      <c r="E1692" s="13">
        <f>Tuts!D1690</f>
        <v>6.1</v>
      </c>
    </row>
    <row r="1693" spans="2:5" ht="15.75" hidden="1" customHeight="1">
      <c r="B1693" t="str">
        <f>Tuts!B1691</f>
        <v>TELA SOMBRITE 4,00X50M 50%</v>
      </c>
      <c r="C1693" s="13">
        <f>Tuts!E1691</f>
        <v>19.8</v>
      </c>
      <c r="D1693" s="18">
        <f>Tuts!J1691</f>
        <v>18.200000000000003</v>
      </c>
      <c r="E1693" s="13">
        <f>Tuts!D1691</f>
        <v>12.74</v>
      </c>
    </row>
    <row r="1694" spans="2:5" ht="15.75" hidden="1" customHeight="1">
      <c r="B1694" t="str">
        <f>Tuts!B1692</f>
        <v>TELHA MULTILIT 3,05x1,10 6mm</v>
      </c>
      <c r="C1694" s="13">
        <f>Tuts!E1692</f>
        <v>129</v>
      </c>
      <c r="D1694" s="18">
        <f>Tuts!J1692</f>
        <v>122.11428571428573</v>
      </c>
      <c r="E1694" s="13">
        <f>Tuts!D1692</f>
        <v>85.48</v>
      </c>
    </row>
    <row r="1695" spans="2:5" ht="15.75" hidden="1" customHeight="1">
      <c r="B1695" t="str">
        <f>Tuts!B1693</f>
        <v>TELHA MULTILIT 4MM 2,44 x 0,50M 4MM</v>
      </c>
      <c r="C1695" s="13">
        <f>Tuts!E1693</f>
        <v>25</v>
      </c>
      <c r="D1695" s="18">
        <f>Tuts!J1693</f>
        <v>22.071428571428573</v>
      </c>
      <c r="E1695" s="13">
        <f>Tuts!D1693</f>
        <v>15.45</v>
      </c>
    </row>
    <row r="1696" spans="2:5" ht="15.75" hidden="1" customHeight="1">
      <c r="B1696" t="str">
        <f>Tuts!B1694</f>
        <v>TELHA MULTILIT 5MM 2,44x1,10 5MM</v>
      </c>
      <c r="C1696" s="13">
        <f>Tuts!E1694</f>
        <v>68</v>
      </c>
      <c r="D1696" s="18">
        <f>Tuts!J1694</f>
        <v>60.728571428571428</v>
      </c>
      <c r="E1696" s="13">
        <f>Tuts!D1694</f>
        <v>42.51</v>
      </c>
    </row>
    <row r="1697" spans="2:5" ht="15.75" hidden="1" customHeight="1">
      <c r="B1697" t="str">
        <f>Tuts!B1695</f>
        <v>TELHA MULTILIT 6MM 3,66 x 1,10</v>
      </c>
      <c r="C1697" s="13">
        <f>Tuts!E1695</f>
        <v>148</v>
      </c>
      <c r="D1697" s="18">
        <f>Tuts!J1695</f>
        <v>135.69999999999999</v>
      </c>
      <c r="E1697" s="13">
        <f>Tuts!D1695</f>
        <v>94.99</v>
      </c>
    </row>
    <row r="1698" spans="2:5" ht="15.75" hidden="1" customHeight="1">
      <c r="B1698" t="str">
        <f>Tuts!B1696</f>
        <v>TELHA PVC 2,42X0,86 COLONIAL</v>
      </c>
      <c r="C1698" s="13">
        <f>Tuts!E1696</f>
        <v>130</v>
      </c>
      <c r="D1698" s="18">
        <f>Tuts!J1696</f>
        <v>119.57142857142858</v>
      </c>
      <c r="E1698" s="13">
        <f>Tuts!D1696</f>
        <v>83.7</v>
      </c>
    </row>
    <row r="1699" spans="2:5" ht="15.75" hidden="1" customHeight="1">
      <c r="B1699" t="str">
        <f>Tuts!B1697</f>
        <v xml:space="preserve">TELHA ROMANA </v>
      </c>
      <c r="C1699" s="13">
        <f>Tuts!E1697</f>
        <v>1.85</v>
      </c>
      <c r="D1699" s="18">
        <f>Tuts!J1697</f>
        <v>1.6428571428571428</v>
      </c>
      <c r="E1699" s="13">
        <f>Tuts!D1697</f>
        <v>1.1499999999999999</v>
      </c>
    </row>
    <row r="1700" spans="2:5" ht="15.75" hidden="1" customHeight="1">
      <c r="B1700" t="str">
        <f>Tuts!B1698</f>
        <v>TELHA TRANSPARENTE 2,44X1,10</v>
      </c>
      <c r="C1700" s="13">
        <f>Tuts!E1698</f>
        <v>106</v>
      </c>
      <c r="D1700" s="18">
        <f>Tuts!J1698</f>
        <v>97.9</v>
      </c>
      <c r="E1700" s="13">
        <f>Tuts!D1698</f>
        <v>68.53</v>
      </c>
    </row>
    <row r="1701" spans="2:5" ht="15.75" hidden="1" customHeight="1">
      <c r="B1701" t="str">
        <f>Tuts!B1699</f>
        <v>TELHA TRANSPARENTE ROMANA</v>
      </c>
      <c r="C1701" s="13">
        <f>Tuts!E1699</f>
        <v>27.9</v>
      </c>
      <c r="D1701" s="18">
        <f>Tuts!J1699</f>
        <v>24.914285714285718</v>
      </c>
      <c r="E1701" s="13">
        <f>Tuts!D1699</f>
        <v>17.440000000000001</v>
      </c>
    </row>
    <row r="1702" spans="2:5" ht="15.75" hidden="1" customHeight="1">
      <c r="B1702" t="str">
        <f>Tuts!B1700</f>
        <v>TESOURA DE PODA MOMFORT</v>
      </c>
      <c r="C1702" s="13">
        <f>Tuts!E1700</f>
        <v>79.900000000000006</v>
      </c>
      <c r="D1702" s="18">
        <f>Tuts!J1700</f>
        <v>73.342857142857156</v>
      </c>
      <c r="E1702" s="13">
        <f>Tuts!D1700</f>
        <v>51.34</v>
      </c>
    </row>
    <row r="1703" spans="2:5" ht="15.75" hidden="1" customHeight="1">
      <c r="B1703" t="str">
        <f>Tuts!B1701</f>
        <v>TESOURA PROFIELD</v>
      </c>
      <c r="C1703" s="13">
        <f>Tuts!E1701</f>
        <v>22</v>
      </c>
      <c r="D1703" s="18">
        <f>Tuts!J1701</f>
        <v>19.857142857142858</v>
      </c>
      <c r="E1703" s="13">
        <f>Tuts!D1701</f>
        <v>13.9</v>
      </c>
    </row>
    <row r="1704" spans="2:5" ht="15.75" hidden="1" customHeight="1">
      <c r="B1704" t="str">
        <f>Tuts!B1702</f>
        <v>THOMPSON LAMINA DE ROÇADEIRA 3 PONTAS</v>
      </c>
      <c r="C1704" s="13">
        <f>Tuts!E1702</f>
        <v>53</v>
      </c>
      <c r="D1704" s="18">
        <f>Tuts!J1702</f>
        <v>44.842857142857149</v>
      </c>
      <c r="E1704" s="13">
        <f>Tuts!D1702</f>
        <v>31.39</v>
      </c>
    </row>
    <row r="1705" spans="2:5" ht="15.75" hidden="1" customHeight="1">
      <c r="B1705" t="str">
        <f>Tuts!B1703</f>
        <v>Tijolo Pó de Mico</v>
      </c>
      <c r="C1705" s="13">
        <f>Tuts!E1703</f>
        <v>0.4</v>
      </c>
      <c r="D1705" s="18">
        <f>Tuts!J1703</f>
        <v>0.37142857142857144</v>
      </c>
      <c r="E1705" s="13">
        <f>Tuts!D1703</f>
        <v>0.26</v>
      </c>
    </row>
    <row r="1706" spans="2:5" ht="15.75" hidden="1" customHeight="1">
      <c r="B1706" t="str">
        <f>Tuts!B1704</f>
        <v>TIMER ANALOGICO BIVOLT THOMPSON</v>
      </c>
      <c r="C1706" s="13">
        <f>Tuts!E1704</f>
        <v>58</v>
      </c>
      <c r="D1706" s="18">
        <f>Tuts!J1704</f>
        <v>53.000000000000007</v>
      </c>
      <c r="E1706" s="13">
        <f>Tuts!D1704</f>
        <v>37.1</v>
      </c>
    </row>
    <row r="1707" spans="2:5" ht="15.75" hidden="1" customHeight="1">
      <c r="B1707" t="str">
        <f>Tuts!B1705</f>
        <v>TINGIDOR IMBUIA 200ML MOCOCA</v>
      </c>
      <c r="C1707" s="13">
        <f>Tuts!E1705</f>
        <v>22.6</v>
      </c>
      <c r="D1707" s="18">
        <f>Tuts!J1705</f>
        <v>19.971428571428572</v>
      </c>
      <c r="E1707" s="13">
        <f>Tuts!D1705</f>
        <v>13.98</v>
      </c>
    </row>
    <row r="1708" spans="2:5" ht="15.75" hidden="1" customHeight="1">
      <c r="B1708" t="str">
        <f>Tuts!B1706</f>
        <v>TINGIDOR MOGNO 200ML MOCOCA</v>
      </c>
      <c r="C1708" s="13">
        <f>Tuts!E1706</f>
        <v>22.6</v>
      </c>
      <c r="D1708" s="18">
        <f>Tuts!J1706</f>
        <v>19.971428571428572</v>
      </c>
      <c r="E1708" s="13">
        <f>Tuts!D1706</f>
        <v>13.98</v>
      </c>
    </row>
    <row r="1709" spans="2:5" ht="15.75" hidden="1" customHeight="1">
      <c r="B1709" t="str">
        <f>Tuts!B1707</f>
        <v>Tinta Acrílica Master 18l</v>
      </c>
      <c r="C1709" s="13">
        <f>Tuts!E1707</f>
        <v>205</v>
      </c>
      <c r="D1709" s="18">
        <f>Tuts!J1707</f>
        <v>186</v>
      </c>
      <c r="E1709" s="13">
        <f>Tuts!D1707</f>
        <v>130.19999999999999</v>
      </c>
    </row>
    <row r="1710" spans="2:5" ht="15.75" hidden="1" customHeight="1">
      <c r="B1710" t="str">
        <f>Tuts!B1708</f>
        <v>Tinta Acrílica Master 3,6l</v>
      </c>
      <c r="C1710" s="13">
        <f>Tuts!E1708</f>
        <v>84.5</v>
      </c>
      <c r="D1710" s="18">
        <f>Tuts!J1708</f>
        <v>77.985714285714295</v>
      </c>
      <c r="E1710" s="13">
        <f>Tuts!D1708</f>
        <v>54.59</v>
      </c>
    </row>
    <row r="1711" spans="2:5" ht="15.75" hidden="1" customHeight="1">
      <c r="B1711" t="str">
        <f>Tuts!B1709</f>
        <v>TINTA PISO BASE AGUA VERDE - DUCOR - 3,6l</v>
      </c>
      <c r="C1711" s="13">
        <f>Tuts!E1709</f>
        <v>61</v>
      </c>
      <c r="D1711" s="18">
        <f>Tuts!J1709</f>
        <v>55.714285714285715</v>
      </c>
      <c r="E1711" s="13">
        <f>Tuts!D1709</f>
        <v>39</v>
      </c>
    </row>
    <row r="1712" spans="2:5" ht="15.75" hidden="1" customHeight="1">
      <c r="B1712" t="str">
        <f>Tuts!B1710</f>
        <v>TINTA PISO BASE AGUA VERDE - DUCOR - BALDE</v>
      </c>
      <c r="C1712" s="13">
        <f>Tuts!E1710</f>
        <v>195</v>
      </c>
      <c r="D1712" s="18">
        <f>Tuts!J1710</f>
        <v>235.28571428571428</v>
      </c>
      <c r="E1712" s="13">
        <f>Tuts!D1710</f>
        <v>164.7</v>
      </c>
    </row>
    <row r="1713" spans="2:5" ht="15.75" hidden="1" customHeight="1">
      <c r="B1713" t="str">
        <f>Tuts!B1711</f>
        <v>TOLEMAT DOBRADIÇA LEVE 3.1/2 COMUM</v>
      </c>
      <c r="C1713" s="13">
        <f>Tuts!E1711</f>
        <v>15</v>
      </c>
      <c r="D1713" s="18">
        <f>Tuts!J1711</f>
        <v>13.542857142857144</v>
      </c>
      <c r="E1713" s="13">
        <f>Tuts!D1711</f>
        <v>9.48</v>
      </c>
    </row>
    <row r="1714" spans="2:5" ht="15.75" hidden="1" customHeight="1">
      <c r="B1714" t="str">
        <f>Tuts!B1712</f>
        <v>TOLEMAT DOBRADIÇA LEVE 3.1/2 DOURADA/PRETA</v>
      </c>
      <c r="C1714" s="13">
        <f>Tuts!E1712</f>
        <v>17</v>
      </c>
      <c r="D1714" s="18">
        <f>Tuts!J1712</f>
        <v>15.142857142857144</v>
      </c>
      <c r="E1714" s="13">
        <f>Tuts!D1712</f>
        <v>10.6</v>
      </c>
    </row>
    <row r="1715" spans="2:5" ht="15.75" hidden="1" customHeight="1">
      <c r="B1715" t="str">
        <f>Tuts!B1713</f>
        <v>TOMADA EM BARRA 3 KAHEL</v>
      </c>
      <c r="C1715" s="13">
        <f>Tuts!E1713</f>
        <v>15</v>
      </c>
      <c r="D1715" s="18">
        <f>Tuts!J1713</f>
        <v>14.142857142857144</v>
      </c>
      <c r="E1715" s="13">
        <f>Tuts!D1713</f>
        <v>9.9</v>
      </c>
    </row>
    <row r="1716" spans="2:5" ht="15.75" hidden="1" customHeight="1">
      <c r="B1716" t="str">
        <f>Tuts!B1714</f>
        <v>TOMADA EM BARRA 4 KAHEL</v>
      </c>
      <c r="C1716" s="13">
        <f>Tuts!E1714</f>
        <v>17</v>
      </c>
      <c r="D1716" s="18">
        <f>Tuts!J1714</f>
        <v>16</v>
      </c>
      <c r="E1716" s="13">
        <f>Tuts!D1714</f>
        <v>11.2</v>
      </c>
    </row>
    <row r="1717" spans="2:5" ht="15.75" hidden="1" customHeight="1">
      <c r="B1717" t="str">
        <f>Tuts!B1715</f>
        <v>TOMADA EM BARRA 5 KAHEL</v>
      </c>
      <c r="C1717" s="13">
        <f>Tuts!E1715</f>
        <v>21</v>
      </c>
      <c r="D1717" s="18">
        <f>Tuts!J1715</f>
        <v>18.928571428571431</v>
      </c>
      <c r="E1717" s="13">
        <f>Tuts!D1715</f>
        <v>13.25</v>
      </c>
    </row>
    <row r="1718" spans="2:5" ht="15.75" hidden="1" customHeight="1">
      <c r="B1718" t="str">
        <f>Tuts!B1716</f>
        <v>TORNEIRA ESFERA JARDIM 1/2</v>
      </c>
      <c r="C1718" s="13">
        <f>Tuts!E1716</f>
        <v>24.5</v>
      </c>
      <c r="D1718" s="18">
        <f>Tuts!J1716</f>
        <v>22.571428571428573</v>
      </c>
      <c r="E1718" s="13">
        <f>Tuts!D1716</f>
        <v>15.8</v>
      </c>
    </row>
    <row r="1719" spans="2:5" ht="15.75" hidden="1" customHeight="1">
      <c r="B1719" t="str">
        <f>Tuts!B1717</f>
        <v>TORNEIRA ESFERA JARDIM 3/4</v>
      </c>
      <c r="C1719" s="13">
        <f>Tuts!E1717</f>
        <v>25.9</v>
      </c>
      <c r="D1719" s="18">
        <f>Tuts!J1717</f>
        <v>24.000000000000004</v>
      </c>
      <c r="E1719" s="13">
        <f>Tuts!D1717</f>
        <v>16.8</v>
      </c>
    </row>
    <row r="1720" spans="2:5" ht="15.75" hidden="1" customHeight="1">
      <c r="B1720" t="str">
        <f>Tuts!B1718</f>
        <v>TORNEIRA LAVATORIO HIDROPAL</v>
      </c>
      <c r="C1720" s="13">
        <f>Tuts!E1718</f>
        <v>38.9</v>
      </c>
      <c r="D1720" s="18">
        <f>Tuts!J1718</f>
        <v>35.714285714285715</v>
      </c>
      <c r="E1720" s="13">
        <f>Tuts!D1718</f>
        <v>25</v>
      </c>
    </row>
    <row r="1721" spans="2:5" ht="15.75" hidden="1" customHeight="1">
      <c r="B1721" t="str">
        <f>Tuts!B1719</f>
        <v>Torneira Lorenzetti com filtro</v>
      </c>
      <c r="C1721" s="13">
        <f>Tuts!E1719</f>
        <v>123.5</v>
      </c>
      <c r="D1721" s="18">
        <f>Tuts!J1719</f>
        <v>115.28571428571429</v>
      </c>
      <c r="E1721" s="13">
        <f>Tuts!D1719</f>
        <v>80.7</v>
      </c>
    </row>
    <row r="1722" spans="2:5" ht="15.75" hidden="1" customHeight="1">
      <c r="B1722" t="str">
        <f>Tuts!B1720</f>
        <v>TORNEIRA PIA ABS BROMADO</v>
      </c>
      <c r="C1722" s="13">
        <f>Tuts!E1720</f>
        <v>23</v>
      </c>
      <c r="D1722" s="18">
        <f>Tuts!J1720</f>
        <v>24.285714285714288</v>
      </c>
      <c r="E1722" s="13">
        <f>Tuts!D1720</f>
        <v>17</v>
      </c>
    </row>
    <row r="1723" spans="2:5" ht="15.75" hidden="1" customHeight="1">
      <c r="B1723" t="str">
        <f>Tuts!B1721</f>
        <v>TORNEIRA PIA PAREDE BICA MÓVEL BRANCA TIGRE</v>
      </c>
      <c r="C1723" s="13">
        <f>Tuts!E1721</f>
        <v>36</v>
      </c>
      <c r="D1723" s="18">
        <f>Tuts!J1721</f>
        <v>32.828571428571429</v>
      </c>
      <c r="E1723" s="13">
        <f>Tuts!D1721</f>
        <v>22.98</v>
      </c>
    </row>
    <row r="1724" spans="2:5" ht="15.75" hidden="1" customHeight="1">
      <c r="B1724" t="str">
        <f>Tuts!B1722</f>
        <v>Torneira Preta Simples Jardim</v>
      </c>
      <c r="C1724" s="13">
        <f>Tuts!E1722</f>
        <v>5</v>
      </c>
      <c r="D1724" s="18">
        <f>Tuts!J1722</f>
        <v>3.2857142857142856</v>
      </c>
      <c r="E1724" s="13">
        <f>Tuts!D1722</f>
        <v>2.2999999999999998</v>
      </c>
    </row>
    <row r="1725" spans="2:5" ht="15.75" hidden="1" customHeight="1">
      <c r="B1725" t="str">
        <f>Tuts!B1723</f>
        <v>TORNEIRA TANQUE 15CM BRANCA TIGRE</v>
      </c>
      <c r="C1725" s="13">
        <f>Tuts!E1723</f>
        <v>27.8</v>
      </c>
      <c r="D1725" s="18">
        <f>Tuts!J1723</f>
        <v>25.142857142857146</v>
      </c>
      <c r="E1725" s="13">
        <f>Tuts!D1723</f>
        <v>17.600000000000001</v>
      </c>
    </row>
    <row r="1726" spans="2:5" ht="15.75" hidden="1" customHeight="1">
      <c r="B1726" t="str">
        <f>Tuts!B1724</f>
        <v>TORNEIRA TANQUE MAQUINA ESFERA</v>
      </c>
      <c r="C1726" s="13">
        <f>Tuts!E1724</f>
        <v>44</v>
      </c>
      <c r="D1726" s="18">
        <f>Tuts!J1724</f>
        <v>39.714285714285715</v>
      </c>
      <c r="E1726" s="13">
        <f>Tuts!D1724</f>
        <v>27.8</v>
      </c>
    </row>
    <row r="1727" spans="2:5" ht="15.75" hidden="1" customHeight="1">
      <c r="B1727" t="str">
        <f>Tuts!B1725</f>
        <v>TRELIÇA GERDAU H8 6/4,2/4,2MM 6M</v>
      </c>
      <c r="C1727" s="13">
        <f>Tuts!E1725</f>
        <v>55</v>
      </c>
      <c r="D1727" s="18">
        <f>Tuts!J1725</f>
        <v>47</v>
      </c>
      <c r="E1727" s="13">
        <f>Tuts!D1725</f>
        <v>32.9</v>
      </c>
    </row>
    <row r="1728" spans="2:5" ht="15.75" hidden="1" customHeight="1">
      <c r="B1728" t="str">
        <f>Tuts!B1726</f>
        <v>TRILHO DESTACAVEL SUPORTE P/ DISJUNTOR</v>
      </c>
      <c r="C1728" s="13">
        <f>Tuts!E1726</f>
        <v>0.9</v>
      </c>
      <c r="D1728" s="18">
        <f>Tuts!J1726</f>
        <v>0.68571428571428572</v>
      </c>
      <c r="E1728" s="13">
        <f>Tuts!D1726</f>
        <v>0.48</v>
      </c>
    </row>
    <row r="1729" spans="2:5" ht="15.75" hidden="1" customHeight="1">
      <c r="B1729" t="str">
        <f>Tuts!B1727</f>
        <v>TRIO CAIXA PASSAGEM FUNDO ALTO 4X2</v>
      </c>
      <c r="C1729" s="13">
        <f>Tuts!E1727</f>
        <v>8</v>
      </c>
      <c r="D1729" s="18">
        <f>Tuts!J1727</f>
        <v>4.2857142857142856</v>
      </c>
      <c r="E1729" s="13">
        <f>Tuts!D1727</f>
        <v>3</v>
      </c>
    </row>
    <row r="1730" spans="2:5" ht="15.75" hidden="1" customHeight="1">
      <c r="B1730" t="str">
        <f>Tuts!B1728</f>
        <v>TRIO CAIXA PASSAGEM FUNDO BAIXO 4X2</v>
      </c>
      <c r="C1730" s="13">
        <f>Tuts!E1728</f>
        <v>6</v>
      </c>
      <c r="D1730" s="18">
        <f>Tuts!J1728</f>
        <v>0</v>
      </c>
      <c r="E1730" s="13">
        <f>Tuts!D1728</f>
        <v>0</v>
      </c>
    </row>
    <row r="1731" spans="2:5" ht="15.75" hidden="1" customHeight="1">
      <c r="B1731" t="str">
        <f>Tuts!B1729</f>
        <v>TUBO DE LIGACAO RETO ALUMINIO</v>
      </c>
      <c r="C1731" s="13">
        <f>Tuts!E1729</f>
        <v>36</v>
      </c>
      <c r="D1731" s="18">
        <f>Tuts!J1729</f>
        <v>14.271428571428572</v>
      </c>
      <c r="E1731" s="13">
        <f>Tuts!D1729</f>
        <v>9.99</v>
      </c>
    </row>
    <row r="1732" spans="2:5" ht="15.75" hidden="1" customHeight="1">
      <c r="B1732" t="str">
        <f>Tuts!B1730</f>
        <v>TUBO DE LIGACAO SIFONADO ALUMINIO</v>
      </c>
      <c r="C1732" s="13">
        <f>Tuts!E1730</f>
        <v>18</v>
      </c>
      <c r="D1732" s="18">
        <f>Tuts!J1730</f>
        <v>14.271428571428572</v>
      </c>
      <c r="E1732" s="13">
        <f>Tuts!D1730</f>
        <v>9.99</v>
      </c>
    </row>
    <row r="1733" spans="2:5" ht="15.75" hidden="1" customHeight="1">
      <c r="B1733" t="str">
        <f>Tuts!B1731</f>
        <v>TUBO DE LIGACAO SIFONADO BRANCO</v>
      </c>
      <c r="C1733" s="13">
        <f>Tuts!E1731</f>
        <v>12</v>
      </c>
      <c r="D1733" s="18">
        <f>Tuts!J1731</f>
        <v>8.5571428571428587</v>
      </c>
      <c r="E1733" s="13">
        <f>Tuts!D1731</f>
        <v>5.99</v>
      </c>
    </row>
    <row r="1734" spans="2:5" ht="15.75" hidden="1" customHeight="1">
      <c r="B1734" t="str">
        <f>Tuts!B1732</f>
        <v xml:space="preserve">TUBO PONTA AZUL </v>
      </c>
      <c r="C1734" s="13">
        <f>Tuts!E1732</f>
        <v>16.899999999999999</v>
      </c>
      <c r="D1734" s="18">
        <f>Tuts!J1732</f>
        <v>15.000000000000002</v>
      </c>
      <c r="E1734" s="13">
        <f>Tuts!D1732</f>
        <v>10.5</v>
      </c>
    </row>
    <row r="1735" spans="2:5" ht="15.75" hidden="1" customHeight="1">
      <c r="B1735" t="str">
        <f>Tuts!B1733</f>
        <v>UNIAO DE COMPRESSAO 20MM</v>
      </c>
      <c r="C1735" s="13">
        <f>Tuts!E1733</f>
        <v>16.899999999999999</v>
      </c>
      <c r="D1735" s="18">
        <f>Tuts!J1733</f>
        <v>15.65714285714286</v>
      </c>
      <c r="E1735" s="13">
        <f>Tuts!D1733</f>
        <v>10.96</v>
      </c>
    </row>
    <row r="1736" spans="2:5" ht="15.75" hidden="1" customHeight="1">
      <c r="B1736" t="str">
        <f>Tuts!B1734</f>
        <v>UNIAO DE COMPRESSAO 25MM</v>
      </c>
      <c r="C1736" s="13">
        <f>Tuts!E1734</f>
        <v>21.5</v>
      </c>
      <c r="D1736" s="18">
        <f>Tuts!J1734</f>
        <v>19.600000000000001</v>
      </c>
      <c r="E1736" s="13">
        <f>Tuts!D1734</f>
        <v>13.72</v>
      </c>
    </row>
    <row r="1737" spans="2:5" ht="15.75" hidden="1" customHeight="1">
      <c r="B1737" t="str">
        <f>Tuts!B1735</f>
        <v>UNIAO DE COMPRESSAO 32MM</v>
      </c>
      <c r="C1737" s="13">
        <f>Tuts!E1735</f>
        <v>27.9</v>
      </c>
      <c r="D1737" s="18">
        <f>Tuts!J1735</f>
        <v>25.25714285714286</v>
      </c>
      <c r="E1737" s="13">
        <f>Tuts!D1735</f>
        <v>17.68</v>
      </c>
    </row>
    <row r="1738" spans="2:5" ht="15.75" hidden="1" customHeight="1">
      <c r="B1738" t="str">
        <f>Tuts!B1736</f>
        <v>VALVULA DE RETENCAO 100MM</v>
      </c>
      <c r="C1738" s="13">
        <f>Tuts!E1736</f>
        <v>24.8</v>
      </c>
      <c r="D1738" s="18">
        <f>Tuts!J1736</f>
        <v>22.142857142857146</v>
      </c>
      <c r="E1738" s="13">
        <f>Tuts!D1736</f>
        <v>15.5</v>
      </c>
    </row>
    <row r="1739" spans="2:5" ht="15.75" hidden="1" customHeight="1">
      <c r="B1739" t="str">
        <f>Tuts!B1737</f>
        <v>Válvula Krona Lavatório Plástico s/ Ladrão c/ Unho</v>
      </c>
      <c r="C1739" s="13">
        <f>Tuts!E1737</f>
        <v>9.5</v>
      </c>
      <c r="D1739" s="18">
        <f>Tuts!J1737</f>
        <v>9.257142857142858</v>
      </c>
      <c r="E1739" s="13">
        <f>Tuts!D1737</f>
        <v>6.48</v>
      </c>
    </row>
    <row r="1740" spans="2:5" ht="15.75" hidden="1" customHeight="1">
      <c r="B1740" t="str">
        <f>Tuts!B1738</f>
        <v>VALVULA LAVATORIO ABS</v>
      </c>
      <c r="C1740" s="13">
        <f>Tuts!E1738</f>
        <v>12.5</v>
      </c>
      <c r="D1740" s="18">
        <f>Tuts!J1738</f>
        <v>9.4285714285714288</v>
      </c>
      <c r="E1740" s="13">
        <f>Tuts!D1738</f>
        <v>6.6</v>
      </c>
    </row>
    <row r="1741" spans="2:5" ht="15.75" hidden="1" customHeight="1">
      <c r="B1741" t="str">
        <f>Tuts!B1739</f>
        <v>VALVULA LAVATORIO BRANCA PLASTICO</v>
      </c>
      <c r="C1741" s="13">
        <f>Tuts!E1739</f>
        <v>5</v>
      </c>
      <c r="D1741" s="18">
        <f>Tuts!J1739</f>
        <v>4.1428571428571432</v>
      </c>
      <c r="E1741" s="13">
        <f>Tuts!D1739</f>
        <v>2.9</v>
      </c>
    </row>
    <row r="1742" spans="2:5" ht="15.75" hidden="1" customHeight="1">
      <c r="B1742" t="str">
        <f>Tuts!B1740</f>
        <v>VALVULA TANQUE BRANCA PLASTICO BLUKIT</v>
      </c>
      <c r="C1742" s="13">
        <f>Tuts!E1740</f>
        <v>13.9</v>
      </c>
      <c r="D1742" s="18">
        <f>Tuts!J1740</f>
        <v>12.814285714285717</v>
      </c>
      <c r="E1742" s="13">
        <f>Tuts!D1740</f>
        <v>8.9700000000000006</v>
      </c>
    </row>
    <row r="1743" spans="2:5" ht="15.75" hidden="1" customHeight="1">
      <c r="B1743" t="str">
        <f>Tuts!B1741</f>
        <v>VASO PLASTICO REDONDO 10X06 N0</v>
      </c>
      <c r="C1743" s="13">
        <f>Tuts!E1741</f>
        <v>2</v>
      </c>
      <c r="D1743" s="18">
        <f>Tuts!J1741</f>
        <v>0.77142857142857157</v>
      </c>
      <c r="E1743" s="13">
        <f>Tuts!D1741</f>
        <v>0.54</v>
      </c>
    </row>
    <row r="1744" spans="2:5" ht="15.75" hidden="1" customHeight="1">
      <c r="B1744" t="str">
        <f>Tuts!B1742</f>
        <v>VASO PLASTICO REDONDO 17X13 N2</v>
      </c>
      <c r="C1744" s="13">
        <f>Tuts!E1742</f>
        <v>3.5</v>
      </c>
      <c r="D1744" s="18">
        <f>Tuts!J1742</f>
        <v>3.0428571428571427</v>
      </c>
      <c r="E1744" s="13">
        <f>Tuts!D1742</f>
        <v>2.13</v>
      </c>
    </row>
    <row r="1745" spans="2:5" ht="15.75" hidden="1" customHeight="1">
      <c r="B1745" t="str">
        <f>Tuts!B1743</f>
        <v>VASO PLASTICO REDONDO 25X20 N4</v>
      </c>
      <c r="C1745" s="13">
        <f>Tuts!E1743</f>
        <v>10.5</v>
      </c>
      <c r="D1745" s="18">
        <f>Tuts!J1743</f>
        <v>9.4428571428571431</v>
      </c>
      <c r="E1745" s="13">
        <f>Tuts!D1743</f>
        <v>6.61</v>
      </c>
    </row>
    <row r="1746" spans="2:5" ht="15.75" hidden="1" customHeight="1">
      <c r="B1746" t="str">
        <f>Tuts!B1744</f>
        <v>VASO SANITARIO CONJUNTO BACIA COM CAIXA ACOPLADA BR REDONDO</v>
      </c>
      <c r="C1746" s="13">
        <f>Tuts!E1744</f>
        <v>430</v>
      </c>
      <c r="D1746" s="18">
        <f>Tuts!J1744</f>
        <v>428.42857142857144</v>
      </c>
      <c r="E1746" s="13">
        <f>Tuts!D1744</f>
        <v>299.89999999999998</v>
      </c>
    </row>
    <row r="1747" spans="2:5" ht="15.75" hidden="1" customHeight="1">
      <c r="B1747" t="str">
        <f>Tuts!B1745</f>
        <v>VASO SANITARIO INCEPA QUADRADO THEMA PLUS BR FURO EMBAIXO P/ VALVULA</v>
      </c>
      <c r="C1747" s="13">
        <f>Tuts!E1745</f>
        <v>430</v>
      </c>
      <c r="D1747" s="18">
        <f>Tuts!J1745</f>
        <v>385</v>
      </c>
      <c r="E1747" s="13">
        <f>Tuts!D1745</f>
        <v>269.5</v>
      </c>
    </row>
    <row r="1748" spans="2:5" ht="15.75" hidden="1" customHeight="1">
      <c r="B1748" t="str">
        <f>Tuts!B1746</f>
        <v>VASO SANITARIO LOGASA PARATI BRANCO SIMPLES</v>
      </c>
      <c r="C1748" s="13">
        <f>Tuts!E1746</f>
        <v>230</v>
      </c>
      <c r="D1748" s="18">
        <f>Tuts!J1746</f>
        <v>222.92857142857144</v>
      </c>
      <c r="E1748" s="13">
        <f>Tuts!D1746</f>
        <v>156.05000000000001</v>
      </c>
    </row>
    <row r="1749" spans="2:5" ht="15.75" hidden="1" customHeight="1">
      <c r="B1749" t="str">
        <f>Tuts!B1747</f>
        <v>VASO XAXIM COCO 18X10</v>
      </c>
      <c r="C1749" s="13">
        <f>Tuts!E1747</f>
        <v>19.5</v>
      </c>
      <c r="D1749" s="18">
        <f>Tuts!J1747</f>
        <v>17.928571428571431</v>
      </c>
      <c r="E1749" s="13">
        <f>Tuts!D1747</f>
        <v>12.55</v>
      </c>
    </row>
    <row r="1750" spans="2:5" ht="15.75" hidden="1" customHeight="1">
      <c r="B1750" t="str">
        <f>Tuts!B1748</f>
        <v>VASO XAXIM COCO 21X11</v>
      </c>
      <c r="C1750" s="13">
        <f>Tuts!E1748</f>
        <v>21.9</v>
      </c>
      <c r="D1750" s="18">
        <f>Tuts!J1748</f>
        <v>20.100000000000001</v>
      </c>
      <c r="E1750" s="13">
        <f>Tuts!D1748</f>
        <v>14.07</v>
      </c>
    </row>
    <row r="1751" spans="2:5" ht="15.75" hidden="1" customHeight="1">
      <c r="B1751" t="str">
        <f>Tuts!B1749</f>
        <v>VASSOURA POPULAR C/ CABO</v>
      </c>
      <c r="C1751" s="13">
        <f>Tuts!E1749</f>
        <v>16</v>
      </c>
      <c r="D1751" s="18">
        <f>Tuts!J1749</f>
        <v>13.942857142857143</v>
      </c>
      <c r="E1751" s="13">
        <f>Tuts!D1749</f>
        <v>9.76</v>
      </c>
    </row>
    <row r="1752" spans="2:5" ht="15.75" hidden="1" customHeight="1">
      <c r="B1752" t="str">
        <f>Tuts!B1750</f>
        <v>VASSOURA SAFIRA PLUS C/ CABO</v>
      </c>
      <c r="C1752" s="13">
        <f>Tuts!E1750</f>
        <v>20</v>
      </c>
      <c r="D1752" s="18">
        <f>Tuts!J1750</f>
        <v>17.614285714285714</v>
      </c>
      <c r="E1752" s="13">
        <f>Tuts!D1750</f>
        <v>12.33</v>
      </c>
    </row>
    <row r="1753" spans="2:5" ht="15.75" hidden="1" customHeight="1">
      <c r="B1753" t="str">
        <f>Tuts!B1751</f>
        <v>VASSOURAO MADEIRA C/ CABO</v>
      </c>
      <c r="C1753" s="13">
        <f>Tuts!E1751</f>
        <v>27.9</v>
      </c>
      <c r="D1753" s="18">
        <f>Tuts!J1751</f>
        <v>25.028571428571428</v>
      </c>
      <c r="E1753" s="13">
        <f>Tuts!D1751</f>
        <v>17.52</v>
      </c>
    </row>
    <row r="1754" spans="2:5" ht="15.75" hidden="1" customHeight="1">
      <c r="B1754" t="str">
        <f>Tuts!B1752</f>
        <v>VEDA CALHA GARIN</v>
      </c>
      <c r="C1754" s="13">
        <f>Tuts!E1752</f>
        <v>18.5</v>
      </c>
      <c r="D1754" s="18">
        <f>Tuts!J1752</f>
        <v>18</v>
      </c>
      <c r="E1754" s="13">
        <f>Tuts!D1752</f>
        <v>12.6</v>
      </c>
    </row>
    <row r="1755" spans="2:5" ht="15.75" hidden="1" customHeight="1">
      <c r="B1755" t="str">
        <f>Tuts!B1753</f>
        <v>VEDA CALHA WURTH</v>
      </c>
      <c r="C1755" s="13">
        <f>Tuts!E1753</f>
        <v>24</v>
      </c>
      <c r="D1755" s="18">
        <f>Tuts!J1753</f>
        <v>23.542857142857144</v>
      </c>
      <c r="E1755" s="13">
        <f>Tuts!D1753</f>
        <v>16.48</v>
      </c>
    </row>
    <row r="1756" spans="2:5" ht="15.75" hidden="1" customHeight="1">
      <c r="B1756" t="str">
        <f>Tuts!B1754</f>
        <v>VEDAÇÃO DE SAIDA CAIXA ACOPLADA</v>
      </c>
      <c r="C1756" s="13">
        <f>Tuts!E1754</f>
        <v>13.8</v>
      </c>
      <c r="D1756" s="18">
        <f>Tuts!J1754</f>
        <v>13.328571428571429</v>
      </c>
      <c r="E1756" s="13">
        <f>Tuts!D1754</f>
        <v>9.33</v>
      </c>
    </row>
    <row r="1757" spans="2:5" ht="15.75" hidden="1" customHeight="1">
      <c r="B1757" t="str">
        <f>Tuts!B1755</f>
        <v>VEDACIT BIANCO 3,6KG</v>
      </c>
      <c r="C1757" s="13">
        <f>Tuts!E1755</f>
        <v>130</v>
      </c>
      <c r="D1757" s="18">
        <f>Tuts!J1755</f>
        <v>120.42857142857143</v>
      </c>
      <c r="E1757" s="13">
        <f>Tuts!D1755</f>
        <v>84.3</v>
      </c>
    </row>
    <row r="1758" spans="2:5" ht="15.75" hidden="1" customHeight="1">
      <c r="B1758" t="str">
        <f>Tuts!B1756</f>
        <v>VEDACIT BIANCO 900G</v>
      </c>
      <c r="C1758" s="13">
        <f>Tuts!E1756</f>
        <v>44.9</v>
      </c>
      <c r="D1758" s="18">
        <f>Tuts!J1756</f>
        <v>40.642857142857146</v>
      </c>
      <c r="E1758" s="13">
        <f>Tuts!D1756</f>
        <v>28.45</v>
      </c>
    </row>
    <row r="1759" spans="2:5" ht="15.75" hidden="1" customHeight="1">
      <c r="B1759" t="str">
        <f>Tuts!B1757</f>
        <v>VEDACIT COMPOUND OTTO 1KG</v>
      </c>
      <c r="C1759" s="13">
        <f>Tuts!E1757</f>
        <v>85</v>
      </c>
      <c r="D1759" s="18">
        <f>Tuts!J1757</f>
        <v>76.51428571428572</v>
      </c>
      <c r="E1759" s="13">
        <f>Tuts!D1757</f>
        <v>53.56</v>
      </c>
    </row>
    <row r="1760" spans="2:5" ht="15.75" hidden="1" customHeight="1">
      <c r="B1760" t="str">
        <f>Tuts!B1758</f>
        <v>VEDACIT IMPERMEABILIZANTE 1L</v>
      </c>
      <c r="C1760" s="13">
        <f>Tuts!E1758</f>
        <v>21.9</v>
      </c>
      <c r="D1760" s="18">
        <f>Tuts!J1758</f>
        <v>20.12857142857143</v>
      </c>
      <c r="E1760" s="13">
        <f>Tuts!D1758</f>
        <v>14.09</v>
      </c>
    </row>
    <row r="1761" spans="2:5" ht="15.75" hidden="1" customHeight="1">
      <c r="B1761" t="str">
        <f>Tuts!B1759</f>
        <v>VEDACIT IMPERMEABILIZANTE 3,6L</v>
      </c>
      <c r="C1761" s="13">
        <f>Tuts!E1759</f>
        <v>65</v>
      </c>
      <c r="D1761" s="18">
        <f>Tuts!J1759</f>
        <v>59.18571428571429</v>
      </c>
      <c r="E1761" s="13">
        <f>Tuts!D1759</f>
        <v>41.43</v>
      </c>
    </row>
    <row r="1762" spans="2:5" ht="15.75" hidden="1" customHeight="1">
      <c r="B1762" t="str">
        <f>Tuts!B1760</f>
        <v>VEDACIT VEDALIT 18L</v>
      </c>
      <c r="C1762" s="13">
        <f>Tuts!E1760</f>
        <v>214</v>
      </c>
      <c r="D1762" s="18">
        <f>Tuts!J1760</f>
        <v>199.98571428571432</v>
      </c>
      <c r="E1762" s="13">
        <f>Tuts!D1760</f>
        <v>139.99</v>
      </c>
    </row>
    <row r="1763" spans="2:5" ht="15.75" hidden="1" customHeight="1">
      <c r="B1763" t="str">
        <f>Tuts!B1761</f>
        <v>VEDACIT VEDALIT 3,6l</v>
      </c>
      <c r="C1763" s="13">
        <f>Tuts!E1761</f>
        <v>58</v>
      </c>
      <c r="D1763" s="18">
        <f>Tuts!J1761</f>
        <v>52.414285714285711</v>
      </c>
      <c r="E1763" s="13">
        <f>Tuts!D1761</f>
        <v>36.69</v>
      </c>
    </row>
    <row r="1764" spans="2:5" ht="15.75" hidden="1" customHeight="1">
      <c r="B1764" t="str">
        <f>Tuts!B1762</f>
        <v>VEDACIT VEDALIT 900ML</v>
      </c>
      <c r="C1764" s="13">
        <f>Tuts!E1762</f>
        <v>20</v>
      </c>
      <c r="D1764" s="18">
        <f>Tuts!J1762</f>
        <v>17.214285714285715</v>
      </c>
      <c r="E1764" s="13">
        <f>Tuts!D1762</f>
        <v>12.05</v>
      </c>
    </row>
    <row r="1765" spans="2:5" ht="15.75" hidden="1" customHeight="1">
      <c r="B1765" t="str">
        <f>Tuts!B1763</f>
        <v>VEDACIT VEDAPREN 3,6</v>
      </c>
      <c r="C1765" s="13">
        <f>Tuts!E1763</f>
        <v>90.5</v>
      </c>
      <c r="D1765" s="18">
        <f>Tuts!J1763</f>
        <v>83.757142857142867</v>
      </c>
      <c r="E1765" s="13">
        <f>Tuts!D1763</f>
        <v>58.63</v>
      </c>
    </row>
    <row r="1766" spans="2:5" ht="15.75" hidden="1" customHeight="1">
      <c r="B1766" t="str">
        <f>Tuts!B1764</f>
        <v>VEDADOR CAIXA ACOPLADA 642</v>
      </c>
      <c r="C1766" s="13">
        <f>Tuts!E1764</f>
        <v>12</v>
      </c>
      <c r="D1766" s="18">
        <f>Tuts!J1764</f>
        <v>11.714285714285714</v>
      </c>
      <c r="E1766" s="13">
        <f>Tuts!D1764</f>
        <v>8.1999999999999993</v>
      </c>
    </row>
    <row r="1767" spans="2:5" ht="15.75" hidden="1" customHeight="1">
      <c r="B1767" t="str">
        <f>Tuts!B1765</f>
        <v>VEDANEL ANEL DE VEDACAO C/ GUIA</v>
      </c>
      <c r="C1767" s="13">
        <f>Tuts!E1765</f>
        <v>13</v>
      </c>
      <c r="D1767" s="18">
        <f>Tuts!J1765</f>
        <v>11.771428571428572</v>
      </c>
      <c r="E1767" s="13">
        <f>Tuts!D1765</f>
        <v>8.24</v>
      </c>
    </row>
    <row r="1768" spans="2:5" ht="15.75" hidden="1" customHeight="1">
      <c r="B1768" t="str">
        <f>Tuts!B1766</f>
        <v>VERGALHAO FERRO 1/2</v>
      </c>
      <c r="C1768" s="13">
        <f>Tuts!E1766</f>
        <v>108</v>
      </c>
      <c r="D1768" s="18">
        <f>Tuts!J1766</f>
        <v>99.271428571428572</v>
      </c>
      <c r="E1768" s="13">
        <f>Tuts!D1766</f>
        <v>69.489999999999995</v>
      </c>
    </row>
    <row r="1769" spans="2:5" ht="15.75" hidden="1" customHeight="1">
      <c r="B1769" t="str">
        <f>Tuts!B1767</f>
        <v>VERGALHAO FERRO 1/4</v>
      </c>
      <c r="C1769" s="13">
        <f>Tuts!E1767</f>
        <v>35</v>
      </c>
      <c r="D1769" s="18">
        <f>Tuts!J1767</f>
        <v>29.285714285714288</v>
      </c>
      <c r="E1769" s="13">
        <f>Tuts!D1767</f>
        <v>20.5</v>
      </c>
    </row>
    <row r="1770" spans="2:5" ht="15.75" hidden="1" customHeight="1">
      <c r="B1770" t="str">
        <f>Tuts!B1768</f>
        <v xml:space="preserve">VERGALHÃO FERRO 1/4 </v>
      </c>
      <c r="C1770" s="13">
        <f>Tuts!E1768</f>
        <v>35</v>
      </c>
      <c r="D1770" s="18">
        <f>Tuts!J1768</f>
        <v>29.842857142857145</v>
      </c>
      <c r="E1770" s="13">
        <f>Tuts!D1768</f>
        <v>20.89</v>
      </c>
    </row>
    <row r="1771" spans="2:5" ht="15.75" hidden="1" customHeight="1">
      <c r="B1771" t="str">
        <f>Tuts!B1769</f>
        <v xml:space="preserve">VERGALHAO FERRO 3/8 </v>
      </c>
      <c r="C1771" s="13">
        <f>Tuts!E1769</f>
        <v>68</v>
      </c>
      <c r="D1771" s="18">
        <f>Tuts!J1769</f>
        <v>62.714285714285715</v>
      </c>
      <c r="E1771" s="13">
        <f>Tuts!D1769</f>
        <v>43.9</v>
      </c>
    </row>
    <row r="1772" spans="2:5" ht="15.75" hidden="1" customHeight="1">
      <c r="B1772" t="str">
        <f>Tuts!B1770</f>
        <v>VERGALHAO FERRO 4.2 - 3/16</v>
      </c>
      <c r="C1772" s="13">
        <f>Tuts!E1770</f>
        <v>25</v>
      </c>
      <c r="D1772" s="18">
        <f>Tuts!J1770</f>
        <v>21.914285714285715</v>
      </c>
      <c r="E1772" s="13">
        <f>Tuts!D1770</f>
        <v>15.34</v>
      </c>
    </row>
    <row r="1773" spans="2:5" ht="15.75" hidden="1" customHeight="1">
      <c r="B1773" t="str">
        <f>Tuts!B1771</f>
        <v xml:space="preserve">VERGALHAO FERRO 5/16 </v>
      </c>
      <c r="C1773" s="13">
        <f>Tuts!E1771</f>
        <v>55</v>
      </c>
      <c r="D1773" s="18">
        <f>Tuts!J1771</f>
        <v>42.857142857142861</v>
      </c>
      <c r="E1773" s="13">
        <f>Tuts!D1771</f>
        <v>30</v>
      </c>
    </row>
    <row r="1774" spans="2:5" ht="15.75" hidden="1" customHeight="1">
      <c r="B1774" t="str">
        <f>Tuts!B1772</f>
        <v>VERNIZ DE MOTOR WURTH</v>
      </c>
      <c r="C1774" s="13">
        <f>Tuts!E1772</f>
        <v>33</v>
      </c>
      <c r="D1774" s="18">
        <f>Tuts!J1772</f>
        <v>30.314285714285713</v>
      </c>
      <c r="E1774" s="13">
        <f>Tuts!D1772</f>
        <v>21.22</v>
      </c>
    </row>
    <row r="1775" spans="2:5" ht="15.75" hidden="1" customHeight="1">
      <c r="B1775" t="str">
        <f>Tuts!B1773</f>
        <v>WEB MODULO INTERRUPTOR SIMPLES</v>
      </c>
      <c r="C1775" s="13">
        <f>Tuts!E1773</f>
        <v>4.2</v>
      </c>
      <c r="D1775" s="18">
        <f>Tuts!J1773</f>
        <v>4.4285714285714288</v>
      </c>
      <c r="E1775" s="13">
        <f>Tuts!D1773</f>
        <v>3.1</v>
      </c>
    </row>
    <row r="1776" spans="2:5" ht="15.75" hidden="1" customHeight="1">
      <c r="B1776" t="str">
        <f>Tuts!B1774</f>
        <v>WEG CAIXA PROTECAO DISJ C/ TOMADA</v>
      </c>
      <c r="C1776" s="13">
        <f>Tuts!E1774</f>
        <v>25</v>
      </c>
      <c r="D1776" s="18">
        <f>Tuts!J1774</f>
        <v>22.842857142857145</v>
      </c>
      <c r="E1776" s="13">
        <f>Tuts!D1774</f>
        <v>15.99</v>
      </c>
    </row>
    <row r="1777" spans="2:5" ht="15.75" hidden="1" customHeight="1">
      <c r="B1777" t="str">
        <f>Tuts!B1775</f>
        <v>WEG CONJUNTO SOBREPOR EXTERNO 3/2/1 POSTOS</v>
      </c>
      <c r="C1777" s="13">
        <f>Tuts!E1775</f>
        <v>7.5</v>
      </c>
      <c r="D1777" s="18">
        <f>Tuts!J1775</f>
        <v>6.4285714285714288</v>
      </c>
      <c r="E1777" s="13">
        <f>Tuts!D1775</f>
        <v>4.5</v>
      </c>
    </row>
    <row r="1778" spans="2:5" ht="15.75" hidden="1" customHeight="1">
      <c r="B1778" t="str">
        <f>Tuts!B1776</f>
        <v>WEG MODULO CEGO BCO</v>
      </c>
      <c r="C1778" s="13">
        <f>Tuts!E1776</f>
        <v>3</v>
      </c>
      <c r="D1778" s="18">
        <f>Tuts!J1776</f>
        <v>2.4285714285714288</v>
      </c>
      <c r="E1778" s="13">
        <f>Tuts!D1776</f>
        <v>1.7</v>
      </c>
    </row>
    <row r="1779" spans="2:5" ht="15.75" customHeight="1">
      <c r="B1779" t="str">
        <f>Tuts!B1777</f>
        <v>WEG MODULO INTERRUPTOR PARALELO</v>
      </c>
      <c r="C1779" s="13">
        <f>Tuts!E1777</f>
        <v>6.8</v>
      </c>
      <c r="D1779" s="18">
        <f>Tuts!J1777</f>
        <v>6.2285714285714295</v>
      </c>
      <c r="E1779" s="13">
        <f>Tuts!D1777</f>
        <v>4.3600000000000003</v>
      </c>
    </row>
    <row r="1780" spans="2:5" ht="15.75" hidden="1" customHeight="1">
      <c r="B1780" t="str">
        <f>Tuts!B1778</f>
        <v>WEG MODULO INTERRUPTOR SIMPLES</v>
      </c>
      <c r="C1780" s="13">
        <f>Tuts!E1778</f>
        <v>4.9000000000000004</v>
      </c>
      <c r="D1780" s="18">
        <f>Tuts!J1778</f>
        <v>4.4285714285714288</v>
      </c>
      <c r="E1780" s="13">
        <f>Tuts!D1778</f>
        <v>3.1</v>
      </c>
    </row>
    <row r="1781" spans="2:5" ht="15.75" hidden="1" customHeight="1">
      <c r="B1781" t="str">
        <f>Tuts!B1779</f>
        <v>WEG MODULO REDE</v>
      </c>
      <c r="C1781" s="13">
        <f>Tuts!E1779</f>
        <v>24.9</v>
      </c>
      <c r="D1781" s="18">
        <f>Tuts!J1779</f>
        <v>22.485714285714288</v>
      </c>
      <c r="E1781" s="13">
        <f>Tuts!D1779</f>
        <v>15.74</v>
      </c>
    </row>
    <row r="1782" spans="2:5" ht="15.75" hidden="1" customHeight="1">
      <c r="B1782" t="str">
        <f>Tuts!B1780</f>
        <v>WEG MODULO TOMADA 2P+T 10A COMPOSE</v>
      </c>
      <c r="C1782" s="13">
        <f>Tuts!E1780</f>
        <v>7.1</v>
      </c>
      <c r="D1782" s="18">
        <f>Tuts!J1780</f>
        <v>6.4285714285714288</v>
      </c>
      <c r="E1782" s="13">
        <f>Tuts!D1780</f>
        <v>4.5</v>
      </c>
    </row>
    <row r="1783" spans="2:5" ht="15.75" hidden="1" customHeight="1">
      <c r="B1783" t="str">
        <f>Tuts!B1781</f>
        <v>WEG MODULO TOMADA 2P+T 20A COMPOSE</v>
      </c>
      <c r="C1783" s="13">
        <f>Tuts!E1781</f>
        <v>7.4</v>
      </c>
      <c r="D1783" s="18">
        <f>Tuts!J1781</f>
        <v>6.7857142857142865</v>
      </c>
      <c r="E1783" s="13">
        <f>Tuts!D1781</f>
        <v>4.75</v>
      </c>
    </row>
    <row r="1784" spans="2:5" ht="15.75" hidden="1" customHeight="1">
      <c r="B1784" t="str">
        <f>Tuts!B1782</f>
        <v>WEG MODULO TOMADA 2P+T 20A VERMELHO COMPOSE</v>
      </c>
      <c r="C1784" s="13">
        <f>Tuts!E1782</f>
        <v>10.8</v>
      </c>
      <c r="D1784" s="18">
        <f>Tuts!J1782</f>
        <v>9.8571428571428577</v>
      </c>
      <c r="E1784" s="13">
        <f>Tuts!D1782</f>
        <v>6.9</v>
      </c>
    </row>
    <row r="1785" spans="2:5" ht="15.75" hidden="1" customHeight="1">
      <c r="B1785" t="str">
        <f>Tuts!B1783</f>
        <v>WEG PLACA 4x2 MODULAR CORES</v>
      </c>
      <c r="C1785" s="13">
        <f>Tuts!E1783</f>
        <v>4.5</v>
      </c>
      <c r="D1785" s="18">
        <f>Tuts!J1783</f>
        <v>3.0000000000000004</v>
      </c>
      <c r="E1785" s="13">
        <f>Tuts!D1783</f>
        <v>2.1</v>
      </c>
    </row>
    <row r="1786" spans="2:5" ht="15.75" hidden="1" customHeight="1">
      <c r="B1786" t="str">
        <f>Tuts!B1784</f>
        <v>WEG PLACA C/ SUPORTE 4x2 1/2/3 POSTOS MOD BR</v>
      </c>
      <c r="C1786" s="13">
        <f>Tuts!E1784</f>
        <v>4.9000000000000004</v>
      </c>
      <c r="D1786" s="18">
        <f>Tuts!J1784</f>
        <v>4.2857142857142856</v>
      </c>
      <c r="E1786" s="13">
        <f>Tuts!D1784</f>
        <v>3</v>
      </c>
    </row>
    <row r="1787" spans="2:5" ht="15.75" hidden="1" customHeight="1">
      <c r="B1787" t="str">
        <f>Tuts!B1785</f>
        <v>WEG PLACA C/SUPORTE CEGA</v>
      </c>
      <c r="C1787" s="13">
        <f>Tuts!E1785</f>
        <v>4.8</v>
      </c>
      <c r="D1787" s="18">
        <f>Tuts!J1785</f>
        <v>4.2142857142857144</v>
      </c>
      <c r="E1787" s="13">
        <f>Tuts!D1785</f>
        <v>2.95</v>
      </c>
    </row>
    <row r="1788" spans="2:5" ht="15.75" hidden="1" customHeight="1">
      <c r="B1788" t="str">
        <f>Tuts!B1786</f>
        <v>WEG SUPORTE PLACA MODULAR 4x2</v>
      </c>
      <c r="C1788" s="13">
        <f>Tuts!E1786</f>
        <v>2.5</v>
      </c>
      <c r="D1788" s="18">
        <f>Tuts!J1786</f>
        <v>2.1428571428571428</v>
      </c>
      <c r="E1788" s="13">
        <f>Tuts!D1786</f>
        <v>1.5</v>
      </c>
    </row>
    <row r="1789" spans="2:5" ht="15.75" hidden="1" customHeight="1">
      <c r="B1789" t="str">
        <f>Tuts!B1787</f>
        <v>WURTH ABRACADEIRA CHAPA U 1''</v>
      </c>
      <c r="C1789" s="13">
        <f>Tuts!E1787</f>
        <v>2.9</v>
      </c>
      <c r="D1789" s="18">
        <f>Tuts!J1787</f>
        <v>2.6857142857142859</v>
      </c>
      <c r="E1789" s="13">
        <f>Tuts!D1787</f>
        <v>1.88</v>
      </c>
    </row>
    <row r="1790" spans="2:5" ht="15.75" hidden="1" customHeight="1">
      <c r="B1790" t="str">
        <f>Tuts!B1788</f>
        <v>WURTH ABRACADEIRA CHAPA U 1 1/2''</v>
      </c>
      <c r="C1790" s="13">
        <f>Tuts!E1788</f>
        <v>3.6</v>
      </c>
      <c r="D1790" s="18">
        <f>Tuts!J1788</f>
        <v>3.342857142857143</v>
      </c>
      <c r="E1790" s="13">
        <f>Tuts!D1788</f>
        <v>2.34</v>
      </c>
    </row>
    <row r="1791" spans="2:5" ht="15.75" hidden="1" customHeight="1">
      <c r="B1791" t="str">
        <f>Tuts!B1789</f>
        <v>WURTH ABRACADEIRA CHAPA U 1 1/4''</v>
      </c>
      <c r="C1791" s="13">
        <f>Tuts!E1789</f>
        <v>3.5</v>
      </c>
      <c r="D1791" s="18">
        <f>Tuts!J1789</f>
        <v>3.2142857142857144</v>
      </c>
      <c r="E1791" s="13">
        <f>Tuts!D1789</f>
        <v>2.25</v>
      </c>
    </row>
    <row r="1792" spans="2:5" ht="15.75" hidden="1" customHeight="1">
      <c r="B1792" t="str">
        <f>Tuts!B1790</f>
        <v>WURTH ABRACADEIRA CHAPA U 1/2''</v>
      </c>
      <c r="C1792" s="13">
        <f>Tuts!E1790</f>
        <v>3.15</v>
      </c>
      <c r="D1792" s="18">
        <f>Tuts!J1790</f>
        <v>2.9142857142857146</v>
      </c>
      <c r="E1792" s="13">
        <f>Tuts!D1790</f>
        <v>2.04</v>
      </c>
    </row>
    <row r="1793" spans="2:5" ht="15.75" hidden="1" customHeight="1">
      <c r="B1793" t="str">
        <f>Tuts!B1791</f>
        <v>WURTH ABRACADEIRA CHAPA U 2''</v>
      </c>
      <c r="C1793" s="13">
        <f>Tuts!E1791</f>
        <v>5.2</v>
      </c>
      <c r="D1793" s="18">
        <f>Tuts!J1791</f>
        <v>4.7428571428571429</v>
      </c>
      <c r="E1793" s="13">
        <f>Tuts!D1791</f>
        <v>3.32</v>
      </c>
    </row>
    <row r="1794" spans="2:5" ht="15.75" hidden="1" customHeight="1">
      <c r="B1794" t="str">
        <f>Tuts!B1792</f>
        <v>WURTH ABRACADEIRA CHAPA U 3 1/2''</v>
      </c>
      <c r="C1794" s="13">
        <f>Tuts!E1792</f>
        <v>7.5</v>
      </c>
      <c r="D1794" s="18">
        <f>Tuts!J1792</f>
        <v>6.9285714285714288</v>
      </c>
      <c r="E1794" s="13">
        <f>Tuts!D1792</f>
        <v>4.8499999999999996</v>
      </c>
    </row>
    <row r="1795" spans="2:5" ht="15.75" hidden="1" customHeight="1">
      <c r="B1795" t="str">
        <f>Tuts!B1793</f>
        <v>WURTH ABRACADEIRA CHAPA U 3/4''</v>
      </c>
      <c r="C1795" s="13">
        <f>Tuts!E1793</f>
        <v>3.5</v>
      </c>
      <c r="D1795" s="18">
        <f>Tuts!J1793</f>
        <v>3.2142857142857144</v>
      </c>
      <c r="E1795" s="13">
        <f>Tuts!D1793</f>
        <v>2.25</v>
      </c>
    </row>
    <row r="1796" spans="2:5" ht="15.75" hidden="1" customHeight="1">
      <c r="B1796" t="str">
        <f>Tuts!B1794</f>
        <v>WURTH ABRACADEIRA ROSCA SEM FIM 10X16X9</v>
      </c>
      <c r="C1796" s="13">
        <f>Tuts!E1794</f>
        <v>2.0499999999999998</v>
      </c>
      <c r="D1796" s="18">
        <f>Tuts!J1794</f>
        <v>1.8714285714285717</v>
      </c>
      <c r="E1796" s="13">
        <f>Tuts!D1794</f>
        <v>1.31</v>
      </c>
    </row>
    <row r="1797" spans="2:5" ht="15.75" hidden="1" customHeight="1">
      <c r="B1797" t="str">
        <f>Tuts!B1795</f>
        <v>WURTH ABRACADEIRA ROSCA SEM FIM 12X22X9</v>
      </c>
      <c r="C1797" s="13">
        <f>Tuts!E1795</f>
        <v>2.2000000000000002</v>
      </c>
      <c r="D1797" s="18">
        <f>Tuts!J1795</f>
        <v>2.0285714285714285</v>
      </c>
      <c r="E1797" s="13">
        <f>Tuts!D1795</f>
        <v>1.42</v>
      </c>
    </row>
    <row r="1798" spans="2:5" ht="15.75" hidden="1" customHeight="1">
      <c r="B1798" t="str">
        <f>Tuts!B1796</f>
        <v>WURTH ABRACADEIRA ROSCA SEM FIM 16X27X9</v>
      </c>
      <c r="C1798" s="13">
        <f>Tuts!E1796</f>
        <v>2.2999999999999998</v>
      </c>
      <c r="D1798" s="18">
        <f>Tuts!J1796</f>
        <v>2.1142857142857143</v>
      </c>
      <c r="E1798" s="13">
        <f>Tuts!D1796</f>
        <v>1.48</v>
      </c>
    </row>
    <row r="1799" spans="2:5" ht="15.75" hidden="1" customHeight="1">
      <c r="B1799" t="str">
        <f>Tuts!B1797</f>
        <v>WURTH ABRACADEIRA ROSCA SEM FIM 20X32X9</v>
      </c>
      <c r="C1799" s="13">
        <f>Tuts!E1797</f>
        <v>2.35</v>
      </c>
      <c r="D1799" s="18">
        <f>Tuts!J1797</f>
        <v>2.1571428571428575</v>
      </c>
      <c r="E1799" s="13">
        <f>Tuts!D1797</f>
        <v>1.51</v>
      </c>
    </row>
    <row r="1800" spans="2:5" ht="15.75" hidden="1" customHeight="1">
      <c r="B1800" t="str">
        <f>Tuts!B1798</f>
        <v>WURTH ABRACADEIRA ROSCA SEM FIM 30X45X9</v>
      </c>
      <c r="C1800" s="13">
        <f>Tuts!E1798</f>
        <v>3.05</v>
      </c>
      <c r="D1800" s="18">
        <f>Tuts!J1798</f>
        <v>2.8142857142857145</v>
      </c>
      <c r="E1800" s="13">
        <f>Tuts!D1798</f>
        <v>1.97</v>
      </c>
    </row>
    <row r="1801" spans="2:5" ht="15.75" hidden="1" customHeight="1">
      <c r="B1801" t="str">
        <f>Tuts!B1799</f>
        <v>WURTH ABRACADEIRA ROSCA SEM FIM 32X50X9</v>
      </c>
      <c r="C1801" s="13">
        <f>Tuts!E1799</f>
        <v>3.1</v>
      </c>
      <c r="D1801" s="18">
        <f>Tuts!J1799</f>
        <v>2.8714285714285714</v>
      </c>
      <c r="E1801" s="13">
        <f>Tuts!D1799</f>
        <v>2.0099999999999998</v>
      </c>
    </row>
    <row r="1802" spans="2:5" ht="15.75" hidden="1" customHeight="1">
      <c r="B1802" t="str">
        <f>Tuts!B1800</f>
        <v>WURTH ABRACADEIRA ROSCA SEM FIM 40X60X9</v>
      </c>
      <c r="C1802" s="13">
        <f>Tuts!E1800</f>
        <v>3.3</v>
      </c>
      <c r="D1802" s="18">
        <f>Tuts!J1800</f>
        <v>3.0571428571428574</v>
      </c>
      <c r="E1802" s="13">
        <f>Tuts!D1800</f>
        <v>2.14</v>
      </c>
    </row>
    <row r="1803" spans="2:5" ht="15.75" hidden="1" customHeight="1">
      <c r="B1803" t="str">
        <f>Tuts!B1801</f>
        <v>WURTH ABRACADEIRA ROSCA SEM FIM 50X70X9</v>
      </c>
      <c r="C1803" s="13">
        <f>Tuts!E1801</f>
        <v>3.45</v>
      </c>
      <c r="D1803" s="18">
        <f>Tuts!J1801</f>
        <v>3.1857142857142859</v>
      </c>
      <c r="E1803" s="13">
        <f>Tuts!D1801</f>
        <v>2.23</v>
      </c>
    </row>
    <row r="1804" spans="2:5" ht="15.75" hidden="1" customHeight="1">
      <c r="B1804" t="str">
        <f>Tuts!B1802</f>
        <v>WURTH ABRACADEIRA ROSCA SEM FIM 70X89X9</v>
      </c>
      <c r="C1804" s="13">
        <f>Tuts!E1802</f>
        <v>4</v>
      </c>
      <c r="D1804" s="18">
        <f>Tuts!J1802</f>
        <v>3.6857142857142859</v>
      </c>
      <c r="E1804" s="13">
        <f>Tuts!D1802</f>
        <v>2.58</v>
      </c>
    </row>
    <row r="1805" spans="2:5" ht="15.75" hidden="1" customHeight="1">
      <c r="B1805" t="str">
        <f>Tuts!B1803</f>
        <v>WURTH ABRACADEIRA ROSCA SEM FIM 8X12X9</v>
      </c>
      <c r="C1805" s="13">
        <f>Tuts!E1803</f>
        <v>2</v>
      </c>
      <c r="D1805" s="18">
        <f>Tuts!J1803</f>
        <v>1.8285714285714287</v>
      </c>
      <c r="E1805" s="13">
        <f>Tuts!D1803</f>
        <v>1.28</v>
      </c>
    </row>
    <row r="1806" spans="2:5" ht="15.75" hidden="1" customHeight="1">
      <c r="B1806" t="str">
        <f>Tuts!B1804</f>
        <v>WURTH ABRACADEIRA ROSCA SEM FIM 8X12X9</v>
      </c>
      <c r="C1806" s="13">
        <f>Tuts!E1804</f>
        <v>2</v>
      </c>
      <c r="D1806" s="18">
        <f>Tuts!J1804</f>
        <v>1.7</v>
      </c>
      <c r="E1806" s="13">
        <f>Tuts!D1804</f>
        <v>1.19</v>
      </c>
    </row>
    <row r="1807" spans="2:5" ht="15.75" hidden="1" customHeight="1">
      <c r="B1807" t="str">
        <f>Tuts!B1805</f>
        <v>WURTH ABRACADEIRA ROSCA SEM FIM 90X110X9</v>
      </c>
      <c r="C1807" s="13">
        <f>Tuts!E1805</f>
        <v>6</v>
      </c>
      <c r="D1807" s="18">
        <f>Tuts!J1805</f>
        <v>5.5571428571428578</v>
      </c>
      <c r="E1807" s="13">
        <f>Tuts!D1805</f>
        <v>3.89</v>
      </c>
    </row>
    <row r="1808" spans="2:5" ht="15.75" hidden="1" customHeight="1">
      <c r="B1808" t="str">
        <f>Tuts!B1806</f>
        <v>WURTH ABRACADEIRA ROSCA SEM FIM 90X110X9</v>
      </c>
      <c r="C1808" s="13">
        <f>Tuts!E1806</f>
        <v>5.6</v>
      </c>
      <c r="D1808" s="18">
        <f>Tuts!J1806</f>
        <v>5.1571428571428575</v>
      </c>
      <c r="E1808" s="13">
        <f>Tuts!D1806</f>
        <v>3.61</v>
      </c>
    </row>
    <row r="1809" spans="2:5" ht="15.75" hidden="1" customHeight="1">
      <c r="B1809" t="str">
        <f>Tuts!B1807</f>
        <v>WURTH ADESIVO JUNTA DE MOTORES 75G</v>
      </c>
      <c r="C1809" s="13">
        <f>Tuts!E1807</f>
        <v>19</v>
      </c>
      <c r="D1809" s="18">
        <f>Tuts!J1807</f>
        <v>16.557142857142857</v>
      </c>
      <c r="E1809" s="13">
        <f>Tuts!D1807</f>
        <v>11.59</v>
      </c>
    </row>
    <row r="1810" spans="2:5" ht="15.75" hidden="1" customHeight="1">
      <c r="B1810" t="str">
        <f>Tuts!B1808</f>
        <v>WURTH ADESIVO PARA MATERIAL POROSO 20G</v>
      </c>
      <c r="C1810" s="13">
        <f>Tuts!E1808</f>
        <v>10.8</v>
      </c>
      <c r="D1810" s="18">
        <f>Tuts!J1808</f>
        <v>9.8285714285714292</v>
      </c>
      <c r="E1810" s="13">
        <f>Tuts!D1808</f>
        <v>6.88</v>
      </c>
    </row>
    <row r="1811" spans="2:5" ht="15.75" hidden="1" customHeight="1">
      <c r="B1811" t="str">
        <f>Tuts!B1809</f>
        <v>WURTH AUTO FRESS CHEIRINHO</v>
      </c>
      <c r="C1811" s="13">
        <f>Tuts!E1809</f>
        <v>10.8</v>
      </c>
      <c r="D1811" s="18">
        <f>Tuts!J1809</f>
        <v>9.5142857142857142</v>
      </c>
      <c r="E1811" s="13">
        <f>Tuts!D1809</f>
        <v>6.66</v>
      </c>
    </row>
    <row r="1812" spans="2:5" ht="15.75" hidden="1" customHeight="1">
      <c r="B1812" t="str">
        <f>Tuts!B1810</f>
        <v>WURTH COADOR DE TINTA</v>
      </c>
      <c r="C1812" s="13">
        <f>Tuts!E1810</f>
        <v>2.5</v>
      </c>
      <c r="D1812" s="18">
        <f>Tuts!J1810</f>
        <v>1.4000000000000001</v>
      </c>
      <c r="E1812" s="13">
        <f>Tuts!D1810</f>
        <v>0.98</v>
      </c>
    </row>
    <row r="1813" spans="2:5" ht="15.75" hidden="1" customHeight="1">
      <c r="B1813" t="str">
        <f>Tuts!B1811</f>
        <v>WURTH DESENCARBONIZANTE 300ML</v>
      </c>
      <c r="C1813" s="13">
        <f>Tuts!E1811</f>
        <v>21</v>
      </c>
      <c r="D1813" s="18">
        <f>Tuts!J1811</f>
        <v>18.642857142857146</v>
      </c>
      <c r="E1813" s="13">
        <f>Tuts!D1811</f>
        <v>13.05</v>
      </c>
    </row>
    <row r="1814" spans="2:5" ht="15.75" hidden="1" customHeight="1">
      <c r="B1814" t="str">
        <f>Tuts!B1812</f>
        <v>WURTH DETERGENTE CERA LIMPADORA 200G</v>
      </c>
      <c r="C1814" s="13">
        <f>Tuts!E1812</f>
        <v>24.8</v>
      </c>
      <c r="D1814" s="18">
        <f>Tuts!J1812</f>
        <v>18.785714285714288</v>
      </c>
      <c r="E1814" s="13">
        <f>Tuts!D1812</f>
        <v>13.15</v>
      </c>
    </row>
    <row r="1815" spans="2:5" ht="15.75" hidden="1" customHeight="1">
      <c r="B1815" t="str">
        <f>Tuts!B1813</f>
        <v>WURTH DISCO DIAMANTADO SEGMENTADO 4''</v>
      </c>
      <c r="C1815" s="13">
        <f>Tuts!E1813</f>
        <v>26.5</v>
      </c>
      <c r="D1815" s="18">
        <f>Tuts!J1813</f>
        <v>27.1</v>
      </c>
      <c r="E1815" s="13">
        <f>Tuts!D1813</f>
        <v>18.97</v>
      </c>
    </row>
    <row r="1816" spans="2:5" ht="15.75" hidden="1" customHeight="1">
      <c r="B1816" t="str">
        <f>Tuts!B1814</f>
        <v>WURTH DISCO DIAMANTADO TURBO 4''</v>
      </c>
      <c r="C1816" s="13">
        <f>Tuts!E1814</f>
        <v>24.5</v>
      </c>
      <c r="D1816" s="18">
        <f>Tuts!J1814</f>
        <v>21.042857142857144</v>
      </c>
      <c r="E1816" s="13">
        <f>Tuts!D1814</f>
        <v>14.73</v>
      </c>
    </row>
    <row r="1817" spans="2:5" ht="15.75" hidden="1" customHeight="1">
      <c r="B1817" t="str">
        <f>Tuts!B1815</f>
        <v>WURTH DISCO FIBRA LIXA G120</v>
      </c>
      <c r="C1817" s="13">
        <f>Tuts!E1815</f>
        <v>6</v>
      </c>
      <c r="D1817" s="18">
        <f>Tuts!J1815</f>
        <v>4.3285714285714283</v>
      </c>
      <c r="E1817" s="13">
        <f>Tuts!D1815</f>
        <v>3.03</v>
      </c>
    </row>
    <row r="1818" spans="2:5" ht="15.75" hidden="1" customHeight="1">
      <c r="B1818" t="str">
        <f>Tuts!B1816</f>
        <v>WURTH DISCO FIBRA LIXA G36</v>
      </c>
      <c r="C1818" s="13">
        <f>Tuts!E1816</f>
        <v>6</v>
      </c>
      <c r="D1818" s="18">
        <f>Tuts!J1816</f>
        <v>5.3142857142857149</v>
      </c>
      <c r="E1818" s="13">
        <f>Tuts!D1816</f>
        <v>3.72</v>
      </c>
    </row>
    <row r="1819" spans="2:5" ht="15.75" hidden="1" customHeight="1">
      <c r="B1819" t="str">
        <f>Tuts!B1817</f>
        <v>WURTH DISCO FIBRA LIXA G80</v>
      </c>
      <c r="C1819" s="13">
        <f>Tuts!E1817</f>
        <v>6</v>
      </c>
      <c r="D1819" s="18">
        <f>Tuts!J1817</f>
        <v>4.8285714285714283</v>
      </c>
      <c r="E1819" s="13">
        <f>Tuts!D1817</f>
        <v>3.38</v>
      </c>
    </row>
    <row r="1820" spans="2:5" ht="15.75" hidden="1" customHeight="1">
      <c r="B1820" t="str">
        <f>Tuts!B1818</f>
        <v>WURTH DISCO PORCELANATO 4''</v>
      </c>
      <c r="C1820" s="13">
        <f>Tuts!E1818</f>
        <v>29.9</v>
      </c>
      <c r="D1820" s="18">
        <f>Tuts!J1818</f>
        <v>26.928571428571431</v>
      </c>
      <c r="E1820" s="13">
        <f>Tuts!D1818</f>
        <v>18.850000000000001</v>
      </c>
    </row>
    <row r="1821" spans="2:5" ht="15.75" hidden="1" customHeight="1">
      <c r="B1821" t="str">
        <f>Tuts!B1819</f>
        <v>WURTH DISCO SUPERFLEX G80 4''</v>
      </c>
      <c r="C1821" s="13">
        <f>Tuts!E1819</f>
        <v>29</v>
      </c>
      <c r="D1821" s="18">
        <f>Tuts!J1819</f>
        <v>25.600000000000005</v>
      </c>
      <c r="E1821" s="13">
        <f>Tuts!D1819</f>
        <v>17.920000000000002</v>
      </c>
    </row>
    <row r="1822" spans="2:5" ht="15.75" hidden="1" customHeight="1">
      <c r="B1822" t="str">
        <f>Tuts!B1820</f>
        <v>WURTH DUPLA FACE 9MMX 1,5MT</v>
      </c>
      <c r="C1822" s="13">
        <f>Tuts!E1820</f>
        <v>5.7</v>
      </c>
      <c r="D1822" s="18">
        <f>Tuts!J1820</f>
        <v>5.2857142857142865</v>
      </c>
      <c r="E1822" s="13">
        <f>Tuts!D1820</f>
        <v>3.7</v>
      </c>
    </row>
    <row r="1823" spans="2:5" ht="15.75" hidden="1" customHeight="1">
      <c r="B1823" t="str">
        <f>Tuts!B1821</f>
        <v>WURTH EMBELEZADOR DE COURO 100ML</v>
      </c>
      <c r="C1823" s="13">
        <f>Tuts!E1821</f>
        <v>18.5</v>
      </c>
      <c r="D1823" s="18">
        <f>Tuts!J1821</f>
        <v>15.685714285714287</v>
      </c>
      <c r="E1823" s="13">
        <f>Tuts!D1821</f>
        <v>10.98</v>
      </c>
    </row>
    <row r="1824" spans="2:5" ht="15.75" hidden="1" customHeight="1">
      <c r="B1824" t="str">
        <f>Tuts!B1822</f>
        <v>WURTH ESPUMA LIMPADORA</v>
      </c>
      <c r="C1824" s="13">
        <f>Tuts!E1822</f>
        <v>42</v>
      </c>
      <c r="D1824" s="18">
        <f>Tuts!J1822</f>
        <v>37.585714285714289</v>
      </c>
      <c r="E1824" s="13">
        <f>Tuts!D1822</f>
        <v>26.31</v>
      </c>
    </row>
    <row r="1825" spans="2:5" ht="15.75" hidden="1" customHeight="1">
      <c r="B1825" t="str">
        <f>Tuts!B1823</f>
        <v>WURTH FILTRO DE LUZ LENTE</v>
      </c>
      <c r="C1825" s="13">
        <f>Tuts!E1823</f>
        <v>8</v>
      </c>
      <c r="D1825" s="18">
        <f>Tuts!J1823</f>
        <v>5.1571428571428575</v>
      </c>
      <c r="E1825" s="13">
        <f>Tuts!D1823</f>
        <v>3.61</v>
      </c>
    </row>
    <row r="1826" spans="2:5" ht="15.75" hidden="1" customHeight="1">
      <c r="B1826" t="str">
        <f>Tuts!B1824</f>
        <v>WURTH FITA TELADA ADESIVA 48MMX45MTS</v>
      </c>
      <c r="C1826" s="13">
        <f>Tuts!E1824</f>
        <v>24.8</v>
      </c>
      <c r="D1826" s="18">
        <f>Tuts!J1824</f>
        <v>21.414285714285715</v>
      </c>
      <c r="E1826" s="13">
        <f>Tuts!D1824</f>
        <v>14.99</v>
      </c>
    </row>
    <row r="1827" spans="2:5" ht="15.75" hidden="1" customHeight="1">
      <c r="B1827" t="str">
        <f>Tuts!B1825</f>
        <v>WURTH FLANELA DE LIMPEZA</v>
      </c>
      <c r="C1827" s="13">
        <f>Tuts!E1825</f>
        <v>8</v>
      </c>
      <c r="D1827" s="18">
        <f>Tuts!J1825</f>
        <v>7.4142857142857155</v>
      </c>
      <c r="E1827" s="13">
        <f>Tuts!D1825</f>
        <v>5.19</v>
      </c>
    </row>
    <row r="1828" spans="2:5" ht="15.75" hidden="1" customHeight="1">
      <c r="B1828" t="str">
        <f>Tuts!B1826</f>
        <v>WURTH FLUIDO PARA RADIADOR 1L</v>
      </c>
      <c r="C1828" s="13">
        <f>Tuts!E1826</f>
        <v>14.5</v>
      </c>
      <c r="D1828" s="18">
        <f>Tuts!J1826</f>
        <v>10.428571428571429</v>
      </c>
      <c r="E1828" s="13">
        <f>Tuts!D1826</f>
        <v>7.3</v>
      </c>
    </row>
    <row r="1829" spans="2:5" ht="15.75" hidden="1" customHeight="1">
      <c r="B1829" t="str">
        <f>Tuts!B1827</f>
        <v>WURTH KIT HIDRATAÇÃO LIMPEZA DE COURO</v>
      </c>
      <c r="C1829" s="13">
        <f>Tuts!E1827</f>
        <v>37</v>
      </c>
      <c r="D1829" s="18">
        <f>Tuts!J1827</f>
        <v>32.542857142857144</v>
      </c>
      <c r="E1829" s="13">
        <f>Tuts!D1827</f>
        <v>22.78</v>
      </c>
    </row>
    <row r="1830" spans="2:5" ht="15.75" hidden="1" customHeight="1">
      <c r="B1830" t="str">
        <f>Tuts!B1828</f>
        <v>WURTH LAMINA ESTILETE 18MM</v>
      </c>
      <c r="C1830" s="13">
        <f>Tuts!E1828</f>
        <v>18</v>
      </c>
      <c r="D1830" s="18">
        <f>Tuts!J1828</f>
        <v>15.885714285714286</v>
      </c>
      <c r="E1830" s="13">
        <f>Tuts!D1828</f>
        <v>11.12</v>
      </c>
    </row>
    <row r="1831" spans="2:5" ht="15.75" hidden="1" customHeight="1">
      <c r="B1831" t="str">
        <f>Tuts!B1829</f>
        <v>WURTH LAVA E ENCERA 430ML</v>
      </c>
      <c r="C1831" s="13">
        <f>Tuts!E1829</f>
        <v>45.5</v>
      </c>
      <c r="D1831" s="18">
        <f>Tuts!J1829</f>
        <v>40.500000000000007</v>
      </c>
      <c r="E1831" s="13">
        <f>Tuts!D1829</f>
        <v>28.35</v>
      </c>
    </row>
    <row r="1832" spans="2:5" ht="15.75" hidden="1" customHeight="1">
      <c r="B1832" t="str">
        <f>Tuts!B1830</f>
        <v>WURTH LIMPA PARABRISA 50ML</v>
      </c>
      <c r="C1832" s="13">
        <f>Tuts!E1830</f>
        <v>3.5</v>
      </c>
      <c r="D1832" s="18">
        <f>Tuts!J1830</f>
        <v>2.9571428571428573</v>
      </c>
      <c r="E1832" s="13">
        <f>Tuts!D1830</f>
        <v>2.0699999999999998</v>
      </c>
    </row>
    <row r="1833" spans="2:5" ht="15.75" hidden="1" customHeight="1">
      <c r="B1833" t="str">
        <f>Tuts!B1831</f>
        <v xml:space="preserve">WURTH LUVA MAO NYLON PRETA 9 </v>
      </c>
      <c r="C1833" s="13">
        <f>Tuts!E1831</f>
        <v>21</v>
      </c>
      <c r="D1833" s="18">
        <f>Tuts!J1831</f>
        <v>18.842857142857142</v>
      </c>
      <c r="E1833" s="13">
        <f>Tuts!D1831</f>
        <v>13.19</v>
      </c>
    </row>
    <row r="1834" spans="2:5" ht="15.75" hidden="1" customHeight="1">
      <c r="B1834" t="str">
        <f>Tuts!B1832</f>
        <v>WURTH LUVA MISTA RASPA</v>
      </c>
      <c r="C1834" s="13">
        <f>Tuts!E1832</f>
        <v>34</v>
      </c>
      <c r="D1834" s="18">
        <f>Tuts!J1832</f>
        <v>30.828571428571429</v>
      </c>
      <c r="E1834" s="13">
        <f>Tuts!D1832</f>
        <v>21.58</v>
      </c>
    </row>
    <row r="1835" spans="2:5" ht="15.75" hidden="1" customHeight="1">
      <c r="B1835" t="str">
        <f>Tuts!B1833</f>
        <v>WURTH LUVA MULTIUSO AMARELA</v>
      </c>
      <c r="C1835" s="13">
        <f>Tuts!E1833</f>
        <v>10.9</v>
      </c>
      <c r="D1835" s="18">
        <f>Tuts!J1833</f>
        <v>10.142857142857142</v>
      </c>
      <c r="E1835" s="13">
        <f>Tuts!D1833</f>
        <v>7.1</v>
      </c>
    </row>
    <row r="1836" spans="2:5" ht="15.75" hidden="1" customHeight="1">
      <c r="B1836" t="str">
        <f>Tuts!B1834</f>
        <v>WURTH LUVA NITRIL CINZA</v>
      </c>
      <c r="C1836" s="13">
        <f>Tuts!E1834</f>
        <v>23.5</v>
      </c>
      <c r="D1836" s="18">
        <f>Tuts!J1834</f>
        <v>21.285714285714288</v>
      </c>
      <c r="E1836" s="13">
        <f>Tuts!D1834</f>
        <v>14.9</v>
      </c>
    </row>
    <row r="1837" spans="2:5" ht="15.75" hidden="1" customHeight="1">
      <c r="B1837" t="str">
        <f>Tuts!B1835</f>
        <v>WURTH LUVA VAQUETA PETROLEIRA</v>
      </c>
      <c r="C1837" s="13">
        <f>Tuts!E1835</f>
        <v>45</v>
      </c>
      <c r="D1837" s="18">
        <f>Tuts!J1835</f>
        <v>40.9</v>
      </c>
      <c r="E1837" s="13">
        <f>Tuts!D1835</f>
        <v>28.63</v>
      </c>
    </row>
    <row r="1838" spans="2:5" ht="15.75" hidden="1" customHeight="1">
      <c r="B1838" t="str">
        <f>Tuts!B1836</f>
        <v>WURTH MASCARA RESPIRADOR</v>
      </c>
      <c r="C1838" s="13">
        <f>Tuts!E1836</f>
        <v>8</v>
      </c>
      <c r="D1838" s="18">
        <f>Tuts!J1836</f>
        <v>6.3142857142857149</v>
      </c>
      <c r="E1838" s="13">
        <f>Tuts!D1836</f>
        <v>4.42</v>
      </c>
    </row>
    <row r="1839" spans="2:5" ht="15.75" hidden="1" customHeight="1">
      <c r="B1839" t="str">
        <f>Tuts!B1837</f>
        <v>WURTH OCULOS SUMMER ESCURO</v>
      </c>
      <c r="C1839" s="13">
        <f>Tuts!E1837</f>
        <v>12</v>
      </c>
      <c r="D1839" s="18">
        <f>Tuts!J1837</f>
        <v>9.8571428571428577</v>
      </c>
      <c r="E1839" s="13">
        <f>Tuts!D1837</f>
        <v>6.9</v>
      </c>
    </row>
    <row r="1840" spans="2:5" ht="15.75" hidden="1" customHeight="1">
      <c r="B1840" t="str">
        <f>Tuts!B1838</f>
        <v>WURTH OCULOS SUMMER INCOLOR</v>
      </c>
      <c r="C1840" s="13">
        <f>Tuts!E1838</f>
        <v>12</v>
      </c>
      <c r="D1840" s="18">
        <f>Tuts!J1838</f>
        <v>10.442857142857143</v>
      </c>
      <c r="E1840" s="13">
        <f>Tuts!D1838</f>
        <v>7.31</v>
      </c>
    </row>
    <row r="1841" spans="2:5" ht="15.75" hidden="1" customHeight="1">
      <c r="B1841" t="str">
        <f>Tuts!B1839</f>
        <v>WURTH PANO DE MICROFIBRA</v>
      </c>
      <c r="C1841" s="13">
        <f>Tuts!E1839</f>
        <v>14</v>
      </c>
      <c r="D1841" s="18">
        <f>Tuts!J1839</f>
        <v>12.842857142857143</v>
      </c>
      <c r="E1841" s="13">
        <f>Tuts!D1839</f>
        <v>8.99</v>
      </c>
    </row>
    <row r="1842" spans="2:5" ht="15.75" hidden="1" customHeight="1">
      <c r="B1842" t="str">
        <f>Tuts!B1840</f>
        <v xml:space="preserve">WURTH PEDRA DE AFIACAO </v>
      </c>
      <c r="C1842" s="13">
        <f>Tuts!E1840</f>
        <v>26.9</v>
      </c>
      <c r="D1842" s="18">
        <f>Tuts!J1840</f>
        <v>24.871428571428574</v>
      </c>
      <c r="E1842" s="13">
        <f>Tuts!D1840</f>
        <v>17.41</v>
      </c>
    </row>
    <row r="1843" spans="2:5" ht="15.75" hidden="1" customHeight="1">
      <c r="B1843" t="str">
        <f>Tuts!B1841</f>
        <v>WURTH PU-40 PU40 WMAX CINZA 400G</v>
      </c>
      <c r="C1843" s="13">
        <f>Tuts!E1841</f>
        <v>29.9</v>
      </c>
      <c r="D1843" s="18">
        <f>Tuts!J1841</f>
        <v>26.271428571428572</v>
      </c>
      <c r="E1843" s="13">
        <f>Tuts!D1841</f>
        <v>18.39</v>
      </c>
    </row>
    <row r="1844" spans="2:5" ht="15.75" hidden="1" customHeight="1">
      <c r="B1844" t="str">
        <f>Tuts!B1842</f>
        <v>WURTH PU-40 PU40 WMAX PRETO 400G</v>
      </c>
      <c r="C1844" s="13">
        <f>Tuts!E1842</f>
        <v>32</v>
      </c>
      <c r="D1844" s="18">
        <f>Tuts!J1842</f>
        <v>29.471428571428572</v>
      </c>
      <c r="E1844" s="13">
        <f>Tuts!D1842</f>
        <v>20.63</v>
      </c>
    </row>
    <row r="1845" spans="2:5" ht="15.75" hidden="1" customHeight="1">
      <c r="B1845" t="str">
        <f>Tuts!B1843</f>
        <v>WURTH REPARADOR DE PNEU CARRO 300ML</v>
      </c>
      <c r="C1845" s="13">
        <f>Tuts!E1843</f>
        <v>65</v>
      </c>
      <c r="D1845" s="18">
        <f>Tuts!J1843</f>
        <v>75.2</v>
      </c>
      <c r="E1845" s="13">
        <f>Tuts!D1843</f>
        <v>52.64</v>
      </c>
    </row>
    <row r="1846" spans="2:5" ht="15.75" hidden="1" customHeight="1">
      <c r="B1846" t="str">
        <f>Tuts!B1844</f>
        <v>WURTH REPARADOR DE PNEU MOTO 170ML</v>
      </c>
      <c r="C1846" s="13">
        <f>Tuts!E1844</f>
        <v>55</v>
      </c>
      <c r="D1846" s="18">
        <f>Tuts!J1844</f>
        <v>59.128571428571433</v>
      </c>
      <c r="E1846" s="13">
        <f>Tuts!D1844</f>
        <v>41.39</v>
      </c>
    </row>
    <row r="1847" spans="2:5" ht="15.75" hidden="1" customHeight="1">
      <c r="B1847" t="str">
        <f>Tuts!B1845</f>
        <v>WURTH ROST-OFF EDIÇÃO ESPECIAL</v>
      </c>
      <c r="C1847" s="13">
        <f>Tuts!E1845</f>
        <v>24</v>
      </c>
      <c r="D1847" s="18">
        <f>Tuts!J1845</f>
        <v>20</v>
      </c>
      <c r="E1847" s="13">
        <f>Tuts!D1845</f>
        <v>14</v>
      </c>
    </row>
    <row r="1848" spans="2:5" ht="15.75" hidden="1" customHeight="1">
      <c r="B1848" t="str">
        <f>Tuts!B1846</f>
        <v>WURTH RPW REVITALIZADOR PARA BORRACHAS</v>
      </c>
      <c r="C1848" s="13">
        <f>Tuts!E1846</f>
        <v>44</v>
      </c>
      <c r="D1848" s="18">
        <f>Tuts!J1846</f>
        <v>39.800000000000004</v>
      </c>
      <c r="E1848" s="13">
        <f>Tuts!D1846</f>
        <v>27.86</v>
      </c>
    </row>
    <row r="1849" spans="2:5" ht="15.75" hidden="1" customHeight="1">
      <c r="B1849" t="str">
        <f>Tuts!B1847</f>
        <v>WURTH SELANTE ACRILICO BR</v>
      </c>
      <c r="C1849" s="13">
        <f>Tuts!E1847</f>
        <v>26</v>
      </c>
      <c r="D1849" s="18">
        <f>Tuts!J1847</f>
        <v>21.785714285714288</v>
      </c>
      <c r="E1849" s="13">
        <f>Tuts!D1847</f>
        <v>15.25</v>
      </c>
    </row>
    <row r="1850" spans="2:5" ht="15.75" hidden="1" customHeight="1">
      <c r="B1850" t="str">
        <f>Tuts!B1848</f>
        <v>WURTH SERRA ACO CARBONO 24D</v>
      </c>
      <c r="C1850" s="13">
        <f>Tuts!E1848</f>
        <v>7</v>
      </c>
      <c r="D1850" s="18">
        <f>Tuts!J1848</f>
        <v>3.8857142857142861</v>
      </c>
      <c r="E1850" s="13">
        <f>Tuts!D1848</f>
        <v>2.72</v>
      </c>
    </row>
    <row r="1851" spans="2:5" ht="15.75" hidden="1" customHeight="1">
      <c r="B1851" t="str">
        <f>Tuts!B1849</f>
        <v>WURTH SHAMPOO AUTOMOTIVO C/ CERA 1L</v>
      </c>
      <c r="C1851" s="13">
        <f>Tuts!E1849</f>
        <v>26.9</v>
      </c>
      <c r="D1851" s="18">
        <f>Tuts!J1849</f>
        <v>22.714285714285715</v>
      </c>
      <c r="E1851" s="13">
        <f>Tuts!D1849</f>
        <v>15.9</v>
      </c>
    </row>
    <row r="1852" spans="2:5" ht="15.75" hidden="1" customHeight="1">
      <c r="B1852" t="str">
        <f>Tuts!B1850</f>
        <v>WURTH SILICONE SPRAY AUTOMOTIVO</v>
      </c>
      <c r="C1852" s="13">
        <f>Tuts!E1850</f>
        <v>27</v>
      </c>
      <c r="D1852" s="18">
        <f>Tuts!J1850</f>
        <v>24.828571428571429</v>
      </c>
      <c r="E1852" s="13">
        <f>Tuts!D1850</f>
        <v>17.38</v>
      </c>
    </row>
    <row r="1853" spans="2:5" ht="15.75" hidden="1" customHeight="1">
      <c r="B1853" t="str">
        <f>Tuts!B1851</f>
        <v>WURTH SILICONE W-MAX ALTA TEMPERATURA 85G</v>
      </c>
      <c r="C1853" s="13">
        <f>Tuts!E1851</f>
        <v>15</v>
      </c>
      <c r="D1853" s="18">
        <f>Tuts!J1851</f>
        <v>7.9000000000000012</v>
      </c>
      <c r="E1853" s="13">
        <f>Tuts!D1851</f>
        <v>5.53</v>
      </c>
    </row>
    <row r="1854" spans="2:5" ht="15.75" hidden="1" customHeight="1">
      <c r="B1854" t="str">
        <f>Tuts!B1852</f>
        <v>WURTH SILICONE W-MAX BRANCO 275ML</v>
      </c>
      <c r="C1854" s="13">
        <f>Tuts!E1852</f>
        <v>25</v>
      </c>
      <c r="D1854" s="18">
        <f>Tuts!J1852</f>
        <v>12.071428571428571</v>
      </c>
      <c r="E1854" s="13">
        <f>Tuts!D1852</f>
        <v>8.4499999999999993</v>
      </c>
    </row>
    <row r="1855" spans="2:5" ht="15.75" hidden="1" customHeight="1">
      <c r="B1855" t="str">
        <f>Tuts!B1853</f>
        <v>WURTH SILICONE W-MAX INCOLOR 275ML</v>
      </c>
      <c r="C1855" s="13">
        <f>Tuts!E1853</f>
        <v>25</v>
      </c>
      <c r="D1855" s="18">
        <f>Tuts!J1853</f>
        <v>21.171428571428574</v>
      </c>
      <c r="E1855" s="13">
        <f>Tuts!D1853</f>
        <v>14.82</v>
      </c>
    </row>
    <row r="1856" spans="2:5" ht="15.75" hidden="1" customHeight="1">
      <c r="B1856" t="str">
        <f>Tuts!B1854</f>
        <v>WURTH TRENA 3MT</v>
      </c>
      <c r="C1856" s="13">
        <f>Tuts!E1854</f>
        <v>19.899999999999999</v>
      </c>
      <c r="D1856" s="18">
        <f>Tuts!J1854</f>
        <v>18.357142857142858</v>
      </c>
      <c r="E1856" s="13">
        <f>Tuts!D1854</f>
        <v>12.85</v>
      </c>
    </row>
    <row r="1857" spans="2:5" ht="15.75" hidden="1" customHeight="1">
      <c r="B1857" t="str">
        <f>Tuts!B1855</f>
        <v>WURTH TRENA 8MT</v>
      </c>
      <c r="C1857" s="13">
        <f>Tuts!E1855</f>
        <v>55.9</v>
      </c>
      <c r="D1857" s="18">
        <f>Tuts!J1855</f>
        <v>51.028571428571432</v>
      </c>
      <c r="E1857" s="13">
        <f>Tuts!D1855</f>
        <v>35.72</v>
      </c>
    </row>
    <row r="1858" spans="2:5" ht="15.75" hidden="1" customHeight="1">
      <c r="B1858" t="str">
        <f>Tuts!B1856</f>
        <v>WURTH TRENA 8MT</v>
      </c>
      <c r="C1858" s="13">
        <f>Tuts!E1856</f>
        <v>36.9</v>
      </c>
      <c r="D1858" s="18">
        <f>Tuts!J1856</f>
        <v>31.671428571428574</v>
      </c>
      <c r="E1858" s="13">
        <f>Tuts!D1856</f>
        <v>22.17</v>
      </c>
    </row>
    <row r="1859" spans="2:5" ht="15.75" hidden="1" customHeight="1">
      <c r="B1859" t="str">
        <f>Tuts!B1857</f>
        <v>WURTH WATER OFF 100ML</v>
      </c>
      <c r="C1859" s="13">
        <f>Tuts!E1857</f>
        <v>21</v>
      </c>
      <c r="D1859" s="18">
        <f>Tuts!J1857</f>
        <v>18.585714285714285</v>
      </c>
      <c r="E1859" s="13">
        <f>Tuts!D1857</f>
        <v>13.01</v>
      </c>
    </row>
    <row r="1860" spans="2:5" ht="15.75" hidden="1" customHeight="1">
      <c r="B1860" t="str">
        <f>Tuts!B1858</f>
        <v xml:space="preserve">WURTH W-MAX DECAPADOR DE FIO </v>
      </c>
      <c r="C1860" s="13">
        <f>Tuts!E1858</f>
        <v>17.5</v>
      </c>
      <c r="D1860" s="18">
        <f>Tuts!J1858</f>
        <v>15.700000000000001</v>
      </c>
      <c r="E1860" s="13">
        <f>Tuts!D1858</f>
        <v>10.99</v>
      </c>
    </row>
    <row r="1861" spans="2:5" ht="15.75" hidden="1" customHeight="1">
      <c r="B1861" t="str">
        <f>Tuts!B1859</f>
        <v>WURTH W-MAX DISCO DE SERRA MADEIRA 24D 4''</v>
      </c>
      <c r="C1861" s="13">
        <f>Tuts!E1859</f>
        <v>27</v>
      </c>
      <c r="D1861" s="18">
        <f>Tuts!J1859</f>
        <v>24.942857142857147</v>
      </c>
      <c r="E1861" s="13">
        <f>Tuts!D1859</f>
        <v>17.46</v>
      </c>
    </row>
    <row r="1862" spans="2:5" ht="15.75" hidden="1" customHeight="1">
      <c r="B1862" t="str">
        <f>Tuts!B1860</f>
        <v>WURTH W-MAX DISCO DESBASTE  7''</v>
      </c>
      <c r="C1862" s="13">
        <f>Tuts!E1860</f>
        <v>23</v>
      </c>
      <c r="D1862" s="18">
        <f>Tuts!J1860</f>
        <v>20.814285714285717</v>
      </c>
      <c r="E1862" s="13">
        <f>Tuts!D1860</f>
        <v>14.57</v>
      </c>
    </row>
    <row r="1863" spans="2:5" ht="15.75" hidden="1" customHeight="1">
      <c r="B1863" t="str">
        <f>Tuts!B1861</f>
        <v>WURTH W-MAX DISCO DESBASTE 4''</v>
      </c>
      <c r="C1863" s="13">
        <f>Tuts!E1861</f>
        <v>12</v>
      </c>
      <c r="D1863" s="18">
        <f>Tuts!J1861</f>
        <v>9.5000000000000018</v>
      </c>
      <c r="E1863" s="13">
        <f>Tuts!D1861</f>
        <v>6.65</v>
      </c>
    </row>
    <row r="1864" spans="2:5" ht="15.75" hidden="1" customHeight="1">
      <c r="B1864">
        <f>Tuts!B1862</f>
        <v>0</v>
      </c>
      <c r="C1864" s="13">
        <f>Tuts!E1862</f>
        <v>0</v>
      </c>
      <c r="D1864" s="18">
        <f>Tuts!J1862</f>
        <v>0</v>
      </c>
      <c r="E1864" s="13">
        <f>Tuts!D1862</f>
        <v>0</v>
      </c>
    </row>
    <row r="1865" spans="2:5" ht="15.75" hidden="1" customHeight="1">
      <c r="B1865">
        <f>Tuts!B1863</f>
        <v>0</v>
      </c>
      <c r="C1865" s="13">
        <f>Tuts!E1863</f>
        <v>0</v>
      </c>
      <c r="D1865" s="18">
        <f>Tuts!J1863</f>
        <v>0</v>
      </c>
      <c r="E1865" s="13">
        <f>Tuts!D1863</f>
        <v>0</v>
      </c>
    </row>
    <row r="1866" spans="2:5" ht="15.75" hidden="1" customHeight="1">
      <c r="B1866">
        <f>Tuts!B1864</f>
        <v>0</v>
      </c>
      <c r="C1866" s="13">
        <f>Tuts!E1864</f>
        <v>0</v>
      </c>
      <c r="D1866" s="18">
        <f>Tuts!J1864</f>
        <v>0</v>
      </c>
      <c r="E1866" s="13">
        <f>Tuts!D1864</f>
        <v>0</v>
      </c>
    </row>
    <row r="1867" spans="2:5" ht="15.75" hidden="1" customHeight="1">
      <c r="B1867">
        <f>Tuts!B1865</f>
        <v>0</v>
      </c>
      <c r="C1867" s="13">
        <f>Tuts!E1865</f>
        <v>0</v>
      </c>
      <c r="D1867" s="18">
        <f>Tuts!J1865</f>
        <v>0</v>
      </c>
      <c r="E1867" s="13">
        <f>Tuts!D1865</f>
        <v>0</v>
      </c>
    </row>
    <row r="1868" spans="2:5" ht="15.75" hidden="1" customHeight="1">
      <c r="B1868">
        <f>Tuts!B1866</f>
        <v>0</v>
      </c>
      <c r="C1868" s="13">
        <f>Tuts!E1866</f>
        <v>0</v>
      </c>
      <c r="D1868" s="18">
        <f>Tuts!J1866</f>
        <v>0</v>
      </c>
      <c r="E1868" s="13">
        <f>Tuts!D1866</f>
        <v>0</v>
      </c>
    </row>
    <row r="1869" spans="2:5" ht="15.75" hidden="1" customHeight="1">
      <c r="B1869">
        <f>Tuts!B1867</f>
        <v>0</v>
      </c>
      <c r="C1869" s="13">
        <f>Tuts!E1867</f>
        <v>0</v>
      </c>
      <c r="D1869" s="18">
        <f>Tuts!J1867</f>
        <v>0</v>
      </c>
      <c r="E1869" s="13">
        <f>Tuts!D1867</f>
        <v>0</v>
      </c>
    </row>
    <row r="1870" spans="2:5" ht="15.75" hidden="1" customHeight="1">
      <c r="B1870">
        <f>Tuts!B1868</f>
        <v>0</v>
      </c>
      <c r="C1870" s="13">
        <f>Tuts!E1868</f>
        <v>0</v>
      </c>
      <c r="D1870" s="18">
        <f>Tuts!J1868</f>
        <v>0</v>
      </c>
      <c r="E1870" s="13">
        <f>Tuts!D1868</f>
        <v>0</v>
      </c>
    </row>
    <row r="1871" spans="2:5" ht="15.75" hidden="1" customHeight="1">
      <c r="B1871">
        <f>Tuts!B1869</f>
        <v>0</v>
      </c>
      <c r="C1871" s="13">
        <f>Tuts!E1869</f>
        <v>0</v>
      </c>
      <c r="D1871" s="18">
        <f>Tuts!J1869</f>
        <v>0</v>
      </c>
      <c r="E1871" s="13">
        <f>Tuts!D1869</f>
        <v>0</v>
      </c>
    </row>
    <row r="1872" spans="2:5" ht="15.75" hidden="1" customHeight="1">
      <c r="B1872">
        <f>Tuts!B1870</f>
        <v>0</v>
      </c>
      <c r="C1872" s="13">
        <f>Tuts!E1870</f>
        <v>0</v>
      </c>
      <c r="D1872" s="18">
        <f>Tuts!J1870</f>
        <v>0</v>
      </c>
      <c r="E1872" s="13">
        <f>Tuts!D1870</f>
        <v>0</v>
      </c>
    </row>
    <row r="1873" spans="2:5" ht="15.75" hidden="1" customHeight="1">
      <c r="B1873">
        <f>Tuts!B1871</f>
        <v>0</v>
      </c>
      <c r="C1873" s="13">
        <f>Tuts!E1871</f>
        <v>0</v>
      </c>
      <c r="D1873" s="18">
        <f>Tuts!J1871</f>
        <v>0</v>
      </c>
      <c r="E1873" s="13">
        <f>Tuts!D1871</f>
        <v>0</v>
      </c>
    </row>
    <row r="1874" spans="2:5" ht="15.75" hidden="1" customHeight="1">
      <c r="B1874">
        <f>Tuts!B1872</f>
        <v>0</v>
      </c>
      <c r="C1874" s="13">
        <f>Tuts!E1872</f>
        <v>0</v>
      </c>
      <c r="D1874" s="18">
        <f>Tuts!J1872</f>
        <v>0</v>
      </c>
      <c r="E1874" s="13">
        <f>Tuts!D1872</f>
        <v>0</v>
      </c>
    </row>
    <row r="1875" spans="2:5" ht="15.75" hidden="1" customHeight="1">
      <c r="B1875">
        <f>Tuts!B1873</f>
        <v>0</v>
      </c>
      <c r="C1875" s="13">
        <f>Tuts!E1873</f>
        <v>0</v>
      </c>
      <c r="D1875" s="18">
        <f>Tuts!J1873</f>
        <v>0</v>
      </c>
      <c r="E1875" s="13">
        <f>Tuts!D1873</f>
        <v>0</v>
      </c>
    </row>
    <row r="1876" spans="2:5" ht="15.75" hidden="1" customHeight="1">
      <c r="B1876">
        <f>Tuts!B1874</f>
        <v>0</v>
      </c>
      <c r="C1876" s="13">
        <f>Tuts!E1874</f>
        <v>0</v>
      </c>
      <c r="D1876" s="18">
        <f>Tuts!J1874</f>
        <v>0</v>
      </c>
      <c r="E1876" s="13">
        <f>Tuts!D1874</f>
        <v>0</v>
      </c>
    </row>
    <row r="1877" spans="2:5" ht="15.75" hidden="1" customHeight="1">
      <c r="B1877">
        <f>Tuts!B1875</f>
        <v>0</v>
      </c>
      <c r="C1877" s="13">
        <f>Tuts!E1875</f>
        <v>0</v>
      </c>
      <c r="D1877" s="18">
        <f>Tuts!J1875</f>
        <v>0</v>
      </c>
      <c r="E1877" s="13">
        <f>Tuts!D1875</f>
        <v>0</v>
      </c>
    </row>
    <row r="1878" spans="2:5" ht="15.75" hidden="1" customHeight="1">
      <c r="B1878">
        <f>Tuts!B1876</f>
        <v>0</v>
      </c>
      <c r="C1878" s="13">
        <f>Tuts!E1876</f>
        <v>0</v>
      </c>
      <c r="D1878" s="18">
        <f>Tuts!J1876</f>
        <v>0</v>
      </c>
      <c r="E1878" s="13">
        <f>Tuts!D1876</f>
        <v>0</v>
      </c>
    </row>
    <row r="1879" spans="2:5" ht="15.75" hidden="1" customHeight="1">
      <c r="B1879">
        <f>Tuts!B1877</f>
        <v>0</v>
      </c>
      <c r="C1879" s="13">
        <f>Tuts!E1877</f>
        <v>0</v>
      </c>
      <c r="D1879" s="18">
        <f>Tuts!J1877</f>
        <v>0</v>
      </c>
      <c r="E1879" s="13">
        <f>Tuts!D1877</f>
        <v>0</v>
      </c>
    </row>
    <row r="1880" spans="2:5" ht="15.75" hidden="1" customHeight="1">
      <c r="B1880">
        <f>Tuts!B1878</f>
        <v>0</v>
      </c>
      <c r="C1880" s="13">
        <f>Tuts!E1878</f>
        <v>0</v>
      </c>
      <c r="D1880" s="18">
        <f>Tuts!J1878</f>
        <v>0</v>
      </c>
      <c r="E1880" s="13">
        <f>Tuts!D1878</f>
        <v>0</v>
      </c>
    </row>
    <row r="1881" spans="2:5" ht="15.75" hidden="1" customHeight="1">
      <c r="B1881">
        <f>Tuts!B1879</f>
        <v>0</v>
      </c>
      <c r="C1881" s="13">
        <f>Tuts!E1879</f>
        <v>0</v>
      </c>
      <c r="D1881" s="18">
        <f>Tuts!J1879</f>
        <v>0</v>
      </c>
      <c r="E1881" s="13">
        <f>Tuts!D1879</f>
        <v>0</v>
      </c>
    </row>
    <row r="1882" spans="2:5" ht="15.75" hidden="1" customHeight="1">
      <c r="B1882">
        <f>Tuts!B1880</f>
        <v>0</v>
      </c>
      <c r="C1882" s="13">
        <f>Tuts!E1880</f>
        <v>0</v>
      </c>
      <c r="D1882" s="18">
        <f>Tuts!J1880</f>
        <v>0</v>
      </c>
      <c r="E1882" s="13">
        <f>Tuts!D1880</f>
        <v>0</v>
      </c>
    </row>
    <row r="1883" spans="2:5" ht="15.75" hidden="1" customHeight="1">
      <c r="B1883">
        <f>Tuts!B1881</f>
        <v>0</v>
      </c>
      <c r="C1883" s="13">
        <f>Tuts!E1881</f>
        <v>0</v>
      </c>
      <c r="D1883" s="18">
        <f>Tuts!J1881</f>
        <v>0</v>
      </c>
      <c r="E1883" s="13">
        <f>Tuts!D1881</f>
        <v>0</v>
      </c>
    </row>
    <row r="1884" spans="2:5" ht="15.75" hidden="1" customHeight="1">
      <c r="B1884">
        <f>Tuts!B1882</f>
        <v>0</v>
      </c>
      <c r="C1884" s="13">
        <f>Tuts!E1882</f>
        <v>0</v>
      </c>
      <c r="D1884" s="18">
        <f>Tuts!J1882</f>
        <v>0</v>
      </c>
      <c r="E1884" s="13">
        <f>Tuts!D1882</f>
        <v>0</v>
      </c>
    </row>
    <row r="1885" spans="2:5" ht="15.75" hidden="1" customHeight="1">
      <c r="B1885">
        <f>Tuts!B1883</f>
        <v>0</v>
      </c>
      <c r="C1885" s="13">
        <f>Tuts!E1883</f>
        <v>0</v>
      </c>
      <c r="D1885" s="18">
        <f>Tuts!J1883</f>
        <v>0</v>
      </c>
      <c r="E1885" s="13">
        <f>Tuts!D1883</f>
        <v>0</v>
      </c>
    </row>
    <row r="1886" spans="2:5" ht="15.75" hidden="1" customHeight="1">
      <c r="B1886">
        <f>Tuts!B1884</f>
        <v>0</v>
      </c>
      <c r="C1886" s="13">
        <f>Tuts!E1884</f>
        <v>0</v>
      </c>
      <c r="D1886" s="18">
        <f>Tuts!J1884</f>
        <v>0</v>
      </c>
      <c r="E1886" s="13">
        <f>Tuts!D1884</f>
        <v>0</v>
      </c>
    </row>
    <row r="1887" spans="2:5" ht="15.75" hidden="1" customHeight="1">
      <c r="B1887">
        <f>Tuts!B1885</f>
        <v>0</v>
      </c>
      <c r="C1887" s="13">
        <f>Tuts!E1885</f>
        <v>0</v>
      </c>
      <c r="D1887" s="18">
        <f>Tuts!J1885</f>
        <v>0</v>
      </c>
      <c r="E1887" s="13">
        <f>Tuts!D1885</f>
        <v>0</v>
      </c>
    </row>
    <row r="1888" spans="2:5" ht="15.75" hidden="1" customHeight="1">
      <c r="B1888">
        <f>Tuts!B1886</f>
        <v>0</v>
      </c>
      <c r="C1888" s="13">
        <f>Tuts!E1886</f>
        <v>0</v>
      </c>
      <c r="D1888" s="18">
        <f>Tuts!J1886</f>
        <v>0</v>
      </c>
      <c r="E1888" s="13">
        <f>Tuts!D1886</f>
        <v>0</v>
      </c>
    </row>
    <row r="1889" spans="2:5" ht="15.75" hidden="1" customHeight="1">
      <c r="B1889">
        <f>Tuts!B1887</f>
        <v>0</v>
      </c>
      <c r="C1889" s="13">
        <f>Tuts!E1887</f>
        <v>0</v>
      </c>
      <c r="D1889" s="18">
        <f>Tuts!J1887</f>
        <v>0</v>
      </c>
      <c r="E1889" s="13">
        <f>Tuts!D1887</f>
        <v>0</v>
      </c>
    </row>
    <row r="1890" spans="2:5" ht="15.75" hidden="1" customHeight="1">
      <c r="B1890">
        <f>Tuts!B1888</f>
        <v>0</v>
      </c>
      <c r="C1890" s="13">
        <f>Tuts!E1888</f>
        <v>0</v>
      </c>
      <c r="D1890" s="18">
        <f>Tuts!J1888</f>
        <v>0</v>
      </c>
      <c r="E1890" s="13">
        <f>Tuts!D1888</f>
        <v>0</v>
      </c>
    </row>
    <row r="1891" spans="2:5" ht="15.75" hidden="1" customHeight="1">
      <c r="B1891">
        <f>Tuts!B1889</f>
        <v>0</v>
      </c>
      <c r="C1891" s="13">
        <f>Tuts!E1889</f>
        <v>0</v>
      </c>
      <c r="D1891" s="18">
        <f>Tuts!J1889</f>
        <v>0</v>
      </c>
      <c r="E1891" s="13">
        <f>Tuts!D1889</f>
        <v>0</v>
      </c>
    </row>
    <row r="1892" spans="2:5" ht="15.75" hidden="1" customHeight="1">
      <c r="B1892">
        <f>Tuts!B1890</f>
        <v>0</v>
      </c>
      <c r="C1892" s="13">
        <f>Tuts!E1890</f>
        <v>0</v>
      </c>
      <c r="D1892" s="18">
        <f>Tuts!J1890</f>
        <v>0</v>
      </c>
      <c r="E1892" s="13">
        <f>Tuts!D1890</f>
        <v>0</v>
      </c>
    </row>
    <row r="1893" spans="2:5" ht="15.75" hidden="1" customHeight="1">
      <c r="B1893">
        <f>Tuts!B1891</f>
        <v>0</v>
      </c>
      <c r="C1893" s="13">
        <f>Tuts!E1891</f>
        <v>0</v>
      </c>
      <c r="D1893" s="18">
        <f>Tuts!J1891</f>
        <v>0</v>
      </c>
      <c r="E1893" s="13">
        <f>Tuts!D1891</f>
        <v>0</v>
      </c>
    </row>
    <row r="1894" spans="2:5" ht="15.75" hidden="1" customHeight="1">
      <c r="B1894">
        <f>Tuts!B1892</f>
        <v>0</v>
      </c>
      <c r="C1894" s="13">
        <f>Tuts!E1892</f>
        <v>0</v>
      </c>
      <c r="D1894" s="18">
        <f>Tuts!J1892</f>
        <v>0</v>
      </c>
      <c r="E1894" s="13">
        <f>Tuts!D1892</f>
        <v>0</v>
      </c>
    </row>
    <row r="1895" spans="2:5" ht="15.75" hidden="1" customHeight="1">
      <c r="B1895">
        <f>Tuts!B1893</f>
        <v>0</v>
      </c>
      <c r="C1895" s="13">
        <f>Tuts!E1893</f>
        <v>0</v>
      </c>
      <c r="D1895" s="18">
        <f>Tuts!J1893</f>
        <v>0</v>
      </c>
      <c r="E1895" s="13">
        <f>Tuts!D1893</f>
        <v>0</v>
      </c>
    </row>
    <row r="1896" spans="2:5" ht="15.75" hidden="1" customHeight="1">
      <c r="B1896">
        <f>Tuts!B1894</f>
        <v>0</v>
      </c>
      <c r="C1896" s="13">
        <f>Tuts!E1894</f>
        <v>0</v>
      </c>
      <c r="D1896" s="18">
        <f>Tuts!J1894</f>
        <v>0</v>
      </c>
      <c r="E1896" s="13">
        <f>Tuts!D1894</f>
        <v>0</v>
      </c>
    </row>
    <row r="1897" spans="2:5" ht="15.75" hidden="1" customHeight="1">
      <c r="B1897">
        <f>Tuts!B1895</f>
        <v>0</v>
      </c>
      <c r="C1897" s="13">
        <f>Tuts!E1895</f>
        <v>0</v>
      </c>
      <c r="D1897" s="18">
        <f>Tuts!J1895</f>
        <v>0</v>
      </c>
      <c r="E1897" s="13">
        <f>Tuts!D1895</f>
        <v>0</v>
      </c>
    </row>
    <row r="1898" spans="2:5" ht="15.75" hidden="1" customHeight="1">
      <c r="B1898">
        <f>Tuts!B1896</f>
        <v>0</v>
      </c>
      <c r="C1898" s="13">
        <f>Tuts!E1896</f>
        <v>0</v>
      </c>
      <c r="D1898" s="18">
        <f>Tuts!J1896</f>
        <v>0</v>
      </c>
      <c r="E1898" s="13">
        <f>Tuts!D1896</f>
        <v>0</v>
      </c>
    </row>
    <row r="1899" spans="2:5" ht="15.75" hidden="1" customHeight="1">
      <c r="B1899">
        <f>Tuts!B1897</f>
        <v>0</v>
      </c>
      <c r="C1899" s="13">
        <f>Tuts!E1897</f>
        <v>0</v>
      </c>
      <c r="D1899" s="18">
        <f>Tuts!J1897</f>
        <v>0</v>
      </c>
      <c r="E1899" s="13">
        <f>Tuts!D1897</f>
        <v>0</v>
      </c>
    </row>
    <row r="1900" spans="2:5" ht="15.75" hidden="1" customHeight="1">
      <c r="B1900">
        <f>Tuts!B1898</f>
        <v>0</v>
      </c>
      <c r="C1900" s="13">
        <f>Tuts!E1898</f>
        <v>0</v>
      </c>
      <c r="D1900" s="18">
        <f>Tuts!J1898</f>
        <v>0</v>
      </c>
      <c r="E1900" s="13">
        <f>Tuts!D1898</f>
        <v>0</v>
      </c>
    </row>
    <row r="1901" spans="2:5" ht="15.75" hidden="1" customHeight="1">
      <c r="B1901">
        <f>Tuts!B1899</f>
        <v>0</v>
      </c>
      <c r="C1901" s="13">
        <f>Tuts!E1899</f>
        <v>0</v>
      </c>
      <c r="D1901" s="18">
        <f>Tuts!J1899</f>
        <v>0</v>
      </c>
      <c r="E1901" s="13">
        <f>Tuts!D1899</f>
        <v>0</v>
      </c>
    </row>
    <row r="1902" spans="2:5" ht="15.75" hidden="1" customHeight="1">
      <c r="B1902">
        <f>Tuts!B1900</f>
        <v>0</v>
      </c>
      <c r="C1902" s="13">
        <f>Tuts!E1900</f>
        <v>0</v>
      </c>
      <c r="D1902" s="18">
        <f>Tuts!J1900</f>
        <v>0</v>
      </c>
      <c r="E1902" s="13">
        <f>Tuts!D1900</f>
        <v>0</v>
      </c>
    </row>
    <row r="1903" spans="2:5" ht="15.75" hidden="1" customHeight="1">
      <c r="B1903">
        <f>Tuts!B1901</f>
        <v>0</v>
      </c>
      <c r="C1903" s="13">
        <f>Tuts!E1901</f>
        <v>0</v>
      </c>
      <c r="D1903" s="18">
        <f>Tuts!J1901</f>
        <v>0</v>
      </c>
      <c r="E1903" s="13">
        <f>Tuts!D1901</f>
        <v>0</v>
      </c>
    </row>
    <row r="1904" spans="2:5" ht="15.75" hidden="1" customHeight="1">
      <c r="B1904">
        <f>Tuts!B1902</f>
        <v>0</v>
      </c>
      <c r="C1904" s="13">
        <f>Tuts!E1902</f>
        <v>0</v>
      </c>
      <c r="D1904" s="18">
        <f>Tuts!J1902</f>
        <v>0</v>
      </c>
      <c r="E1904" s="13">
        <f>Tuts!D1902</f>
        <v>0</v>
      </c>
    </row>
    <row r="1905" spans="2:5" ht="15.75" hidden="1" customHeight="1">
      <c r="B1905">
        <f>Tuts!B1903</f>
        <v>0</v>
      </c>
      <c r="C1905" s="13">
        <f>Tuts!E1903</f>
        <v>0</v>
      </c>
      <c r="D1905" s="18">
        <f>Tuts!J1903</f>
        <v>0</v>
      </c>
      <c r="E1905" s="13">
        <f>Tuts!D1903</f>
        <v>0</v>
      </c>
    </row>
    <row r="1906" spans="2:5" ht="15.75" hidden="1" customHeight="1">
      <c r="B1906">
        <f>Tuts!B1904</f>
        <v>0</v>
      </c>
      <c r="C1906" s="13">
        <f>Tuts!E1904</f>
        <v>0</v>
      </c>
      <c r="D1906" s="18">
        <f>Tuts!J1904</f>
        <v>0</v>
      </c>
      <c r="E1906" s="13">
        <f>Tuts!D1904</f>
        <v>0</v>
      </c>
    </row>
    <row r="1907" spans="2:5" ht="15.75" hidden="1" customHeight="1">
      <c r="B1907">
        <f>Tuts!B1905</f>
        <v>0</v>
      </c>
      <c r="C1907" s="13">
        <f>Tuts!E1905</f>
        <v>0</v>
      </c>
      <c r="D1907" s="18">
        <f>Tuts!J1905</f>
        <v>0</v>
      </c>
      <c r="E1907" s="13">
        <f>Tuts!D1905</f>
        <v>0</v>
      </c>
    </row>
    <row r="1908" spans="2:5" ht="15.75" hidden="1" customHeight="1">
      <c r="B1908">
        <f>Tuts!B1906</f>
        <v>0</v>
      </c>
      <c r="C1908" s="13">
        <f>Tuts!E1906</f>
        <v>0</v>
      </c>
      <c r="D1908" s="18">
        <f>Tuts!J1906</f>
        <v>0</v>
      </c>
      <c r="E1908" s="13">
        <f>Tuts!D1906</f>
        <v>0</v>
      </c>
    </row>
    <row r="1909" spans="2:5" ht="15.75" hidden="1" customHeight="1">
      <c r="B1909">
        <f>Tuts!B1907</f>
        <v>0</v>
      </c>
      <c r="C1909" s="13">
        <f>Tuts!E1907</f>
        <v>0</v>
      </c>
      <c r="D1909" s="18">
        <f>Tuts!J1907</f>
        <v>0</v>
      </c>
      <c r="E1909" s="13">
        <f>Tuts!D1907</f>
        <v>0</v>
      </c>
    </row>
    <row r="1910" spans="2:5" ht="15.75" hidden="1" customHeight="1">
      <c r="B1910">
        <f>Tuts!B1908</f>
        <v>0</v>
      </c>
      <c r="C1910" s="13">
        <f>Tuts!E1908</f>
        <v>0</v>
      </c>
      <c r="D1910" s="18">
        <f>Tuts!J1908</f>
        <v>0</v>
      </c>
      <c r="E1910" s="13">
        <f>Tuts!D1908</f>
        <v>0</v>
      </c>
    </row>
    <row r="1911" spans="2:5" ht="15.75" hidden="1" customHeight="1">
      <c r="B1911">
        <f>Tuts!B1909</f>
        <v>0</v>
      </c>
      <c r="C1911" s="13">
        <f>Tuts!E1909</f>
        <v>0</v>
      </c>
      <c r="D1911" s="18">
        <f>Tuts!J1909</f>
        <v>0</v>
      </c>
      <c r="E1911" s="13">
        <f>Tuts!D1909</f>
        <v>0</v>
      </c>
    </row>
    <row r="1912" spans="2:5" ht="15.75" hidden="1" customHeight="1">
      <c r="B1912">
        <f>Tuts!B1910</f>
        <v>0</v>
      </c>
      <c r="C1912" s="13">
        <f>Tuts!E1910</f>
        <v>0</v>
      </c>
      <c r="D1912" s="18">
        <f>Tuts!J1910</f>
        <v>0</v>
      </c>
      <c r="E1912" s="13">
        <f>Tuts!D1910</f>
        <v>0</v>
      </c>
    </row>
    <row r="1913" spans="2:5" ht="15.75" hidden="1" customHeight="1">
      <c r="B1913">
        <f>Tuts!B1911</f>
        <v>0</v>
      </c>
      <c r="C1913" s="13">
        <f>Tuts!E1911</f>
        <v>0</v>
      </c>
      <c r="D1913" s="18">
        <f>Tuts!J1911</f>
        <v>0</v>
      </c>
      <c r="E1913" s="13">
        <f>Tuts!D1911</f>
        <v>0</v>
      </c>
    </row>
    <row r="1914" spans="2:5" ht="15.75" hidden="1" customHeight="1">
      <c r="B1914">
        <f>Tuts!B1912</f>
        <v>0</v>
      </c>
      <c r="C1914" s="13">
        <f>Tuts!E1912</f>
        <v>0</v>
      </c>
      <c r="D1914" s="18">
        <f>Tuts!J1912</f>
        <v>0</v>
      </c>
      <c r="E1914" s="13">
        <f>Tuts!D1912</f>
        <v>0</v>
      </c>
    </row>
    <row r="1915" spans="2:5" ht="15.75" hidden="1" customHeight="1">
      <c r="B1915">
        <f>Tuts!B1913</f>
        <v>0</v>
      </c>
      <c r="C1915" s="13">
        <f>Tuts!E1913</f>
        <v>0</v>
      </c>
      <c r="D1915" s="18">
        <f>Tuts!J1913</f>
        <v>0</v>
      </c>
      <c r="E1915" s="13">
        <f>Tuts!D1913</f>
        <v>0</v>
      </c>
    </row>
    <row r="1916" spans="2:5" ht="15.75" hidden="1" customHeight="1">
      <c r="B1916">
        <f>Tuts!B1914</f>
        <v>0</v>
      </c>
      <c r="C1916" s="13">
        <f>Tuts!E1914</f>
        <v>0</v>
      </c>
      <c r="D1916" s="18">
        <f>Tuts!J1914</f>
        <v>0</v>
      </c>
      <c r="E1916" s="13">
        <f>Tuts!D1914</f>
        <v>0</v>
      </c>
    </row>
    <row r="1917" spans="2:5" ht="15.75" hidden="1" customHeight="1">
      <c r="B1917">
        <f>Tuts!B1915</f>
        <v>0</v>
      </c>
      <c r="C1917" s="13">
        <f>Tuts!E1915</f>
        <v>0</v>
      </c>
      <c r="D1917" s="18">
        <f>Tuts!J1915</f>
        <v>0</v>
      </c>
      <c r="E1917" s="13">
        <f>Tuts!D1915</f>
        <v>0</v>
      </c>
    </row>
    <row r="1918" spans="2:5" ht="15.75" hidden="1" customHeight="1">
      <c r="B1918">
        <f>Tuts!B1916</f>
        <v>0</v>
      </c>
      <c r="C1918" s="13">
        <f>Tuts!E1916</f>
        <v>0</v>
      </c>
      <c r="D1918" s="18">
        <f>Tuts!J1916</f>
        <v>0</v>
      </c>
      <c r="E1918" s="13">
        <f>Tuts!D1916</f>
        <v>0</v>
      </c>
    </row>
    <row r="1919" spans="2:5" ht="15.75" hidden="1" customHeight="1">
      <c r="B1919">
        <f>Tuts!B1917</f>
        <v>0</v>
      </c>
      <c r="C1919" s="13">
        <f>Tuts!E1917</f>
        <v>0</v>
      </c>
      <c r="D1919" s="18">
        <f>Tuts!J1917</f>
        <v>0</v>
      </c>
      <c r="E1919" s="13">
        <f>Tuts!D1917</f>
        <v>0</v>
      </c>
    </row>
    <row r="1920" spans="2:5" ht="15.75" hidden="1" customHeight="1">
      <c r="B1920">
        <f>Tuts!B1918</f>
        <v>0</v>
      </c>
      <c r="C1920" s="13">
        <f>Tuts!E1918</f>
        <v>0</v>
      </c>
      <c r="D1920" s="18">
        <f>Tuts!J1918</f>
        <v>0</v>
      </c>
      <c r="E1920" s="13">
        <f>Tuts!D1918</f>
        <v>0</v>
      </c>
    </row>
    <row r="1921" spans="2:5" ht="15.75" hidden="1" customHeight="1">
      <c r="B1921">
        <f>Tuts!B1919</f>
        <v>0</v>
      </c>
      <c r="C1921" s="13">
        <f>Tuts!E1919</f>
        <v>0</v>
      </c>
      <c r="D1921" s="18">
        <f>Tuts!J1919</f>
        <v>0</v>
      </c>
      <c r="E1921" s="13">
        <f>Tuts!D1919</f>
        <v>0</v>
      </c>
    </row>
    <row r="1922" spans="2:5" ht="15.75" hidden="1" customHeight="1">
      <c r="B1922">
        <f>Tuts!B1920</f>
        <v>0</v>
      </c>
      <c r="C1922" s="13">
        <f>Tuts!E1920</f>
        <v>0</v>
      </c>
      <c r="D1922" s="18">
        <f>Tuts!J1920</f>
        <v>0</v>
      </c>
      <c r="E1922" s="13">
        <f>Tuts!D1920</f>
        <v>0</v>
      </c>
    </row>
    <row r="1923" spans="2:5" ht="15.75" hidden="1" customHeight="1">
      <c r="B1923">
        <f>Tuts!B1921</f>
        <v>0</v>
      </c>
      <c r="C1923" s="13">
        <f>Tuts!E1921</f>
        <v>0</v>
      </c>
      <c r="D1923" s="18">
        <f>Tuts!J1921</f>
        <v>0</v>
      </c>
      <c r="E1923" s="13">
        <f>Tuts!D1921</f>
        <v>0</v>
      </c>
    </row>
    <row r="1924" spans="2:5" ht="15.75" hidden="1" customHeight="1">
      <c r="B1924">
        <f>Tuts!B1922</f>
        <v>0</v>
      </c>
      <c r="C1924" s="13">
        <f>Tuts!E1922</f>
        <v>0</v>
      </c>
      <c r="D1924" s="18">
        <f>Tuts!J1922</f>
        <v>0</v>
      </c>
      <c r="E1924" s="13">
        <f>Tuts!D1922</f>
        <v>0</v>
      </c>
    </row>
    <row r="1925" spans="2:5" ht="15.75" hidden="1" customHeight="1">
      <c r="B1925">
        <f>Tuts!B1923</f>
        <v>0</v>
      </c>
      <c r="C1925" s="13">
        <f>Tuts!E1923</f>
        <v>0</v>
      </c>
      <c r="D1925" s="18">
        <f>Tuts!J1923</f>
        <v>0</v>
      </c>
      <c r="E1925" s="13">
        <f>Tuts!D1923</f>
        <v>0</v>
      </c>
    </row>
    <row r="1926" spans="2:5" ht="15.75" hidden="1" customHeight="1">
      <c r="B1926">
        <f>Tuts!B1924</f>
        <v>0</v>
      </c>
      <c r="C1926" s="13">
        <f>Tuts!E1924</f>
        <v>0</v>
      </c>
      <c r="D1926" s="18">
        <f>Tuts!J1924</f>
        <v>0</v>
      </c>
      <c r="E1926" s="13">
        <f>Tuts!D1924</f>
        <v>0</v>
      </c>
    </row>
    <row r="1927" spans="2:5" ht="15.75" hidden="1" customHeight="1">
      <c r="B1927">
        <f>Tuts!B1925</f>
        <v>0</v>
      </c>
      <c r="C1927" s="13">
        <f>Tuts!E1925</f>
        <v>0</v>
      </c>
      <c r="D1927" s="18">
        <f>Tuts!J1925</f>
        <v>0</v>
      </c>
      <c r="E1927" s="13">
        <f>Tuts!D1925</f>
        <v>0</v>
      </c>
    </row>
    <row r="1928" spans="2:5" ht="15.75" hidden="1" customHeight="1">
      <c r="B1928">
        <f>Tuts!B1926</f>
        <v>0</v>
      </c>
      <c r="C1928" s="13">
        <f>Tuts!E1926</f>
        <v>0</v>
      </c>
      <c r="D1928" s="18">
        <f>Tuts!J1926</f>
        <v>0</v>
      </c>
      <c r="E1928" s="13">
        <f>Tuts!D1926</f>
        <v>0</v>
      </c>
    </row>
    <row r="1929" spans="2:5" ht="15.75" hidden="1" customHeight="1">
      <c r="B1929">
        <f>Tuts!B1927</f>
        <v>0</v>
      </c>
      <c r="C1929" s="13">
        <f>Tuts!E1927</f>
        <v>0</v>
      </c>
      <c r="D1929" s="18">
        <f>Tuts!J1927</f>
        <v>0</v>
      </c>
      <c r="E1929" s="13">
        <f>Tuts!D1927</f>
        <v>0</v>
      </c>
    </row>
    <row r="1930" spans="2:5" ht="15.75" hidden="1" customHeight="1">
      <c r="B1930">
        <f>Tuts!B1928</f>
        <v>0</v>
      </c>
      <c r="C1930" s="13">
        <f>Tuts!E1928</f>
        <v>0</v>
      </c>
      <c r="D1930" s="18">
        <f>Tuts!J1928</f>
        <v>0</v>
      </c>
      <c r="E1930" s="13">
        <f>Tuts!D1928</f>
        <v>0</v>
      </c>
    </row>
    <row r="1931" spans="2:5" ht="15.75" hidden="1" customHeight="1">
      <c r="B1931">
        <f>Tuts!B1929</f>
        <v>0</v>
      </c>
      <c r="C1931" s="13">
        <f>Tuts!E1929</f>
        <v>0</v>
      </c>
      <c r="D1931" s="18">
        <f>Tuts!J1929</f>
        <v>0</v>
      </c>
      <c r="E1931" s="13">
        <f>Tuts!D1929</f>
        <v>0</v>
      </c>
    </row>
    <row r="1932" spans="2:5" ht="15.75" hidden="1" customHeight="1">
      <c r="B1932">
        <f>Tuts!B1930</f>
        <v>0</v>
      </c>
      <c r="C1932" s="13">
        <f>Tuts!E1930</f>
        <v>0</v>
      </c>
      <c r="D1932" s="18">
        <f>Tuts!J1930</f>
        <v>0</v>
      </c>
      <c r="E1932" s="13">
        <f>Tuts!D1930</f>
        <v>0</v>
      </c>
    </row>
    <row r="1933" spans="2:5" ht="15.75" hidden="1" customHeight="1">
      <c r="B1933">
        <f>Tuts!B1931</f>
        <v>0</v>
      </c>
      <c r="C1933" s="13">
        <f>Tuts!E1931</f>
        <v>0</v>
      </c>
      <c r="D1933" s="18">
        <f>Tuts!J1931</f>
        <v>0</v>
      </c>
      <c r="E1933" s="13">
        <f>Tuts!D1931</f>
        <v>0</v>
      </c>
    </row>
    <row r="1934" spans="2:5" ht="15.75" hidden="1" customHeight="1">
      <c r="B1934">
        <f>Tuts!B1932</f>
        <v>0</v>
      </c>
      <c r="C1934" s="13">
        <f>Tuts!E1932</f>
        <v>0</v>
      </c>
      <c r="D1934" s="18">
        <f>Tuts!J1932</f>
        <v>0</v>
      </c>
      <c r="E1934" s="13">
        <f>Tuts!D1932</f>
        <v>0</v>
      </c>
    </row>
    <row r="1935" spans="2:5" ht="15.75" hidden="1" customHeight="1">
      <c r="B1935">
        <f>Tuts!B1933</f>
        <v>0</v>
      </c>
      <c r="C1935" s="13">
        <f>Tuts!E1933</f>
        <v>0</v>
      </c>
      <c r="D1935" s="18">
        <f>Tuts!J1933</f>
        <v>0</v>
      </c>
      <c r="E1935" s="13">
        <f>Tuts!D1933</f>
        <v>0</v>
      </c>
    </row>
    <row r="1936" spans="2:5" ht="15.75" hidden="1" customHeight="1">
      <c r="B1936">
        <f>Tuts!B1934</f>
        <v>0</v>
      </c>
      <c r="C1936" s="13">
        <f>Tuts!E1934</f>
        <v>0</v>
      </c>
      <c r="D1936" s="18">
        <f>Tuts!J1934</f>
        <v>0</v>
      </c>
      <c r="E1936" s="13">
        <f>Tuts!D1934</f>
        <v>0</v>
      </c>
    </row>
    <row r="1937" spans="2:5" ht="15.75" hidden="1" customHeight="1">
      <c r="B1937">
        <f>Tuts!B1935</f>
        <v>0</v>
      </c>
      <c r="C1937" s="13">
        <f>Tuts!E1935</f>
        <v>0</v>
      </c>
      <c r="D1937" s="18">
        <f>Tuts!J1935</f>
        <v>0</v>
      </c>
      <c r="E1937" s="13">
        <f>Tuts!D1935</f>
        <v>0</v>
      </c>
    </row>
    <row r="1938" spans="2:5" ht="15.75" hidden="1" customHeight="1">
      <c r="B1938">
        <f>Tuts!B1936</f>
        <v>0</v>
      </c>
      <c r="C1938" s="13">
        <f>Tuts!E1936</f>
        <v>0</v>
      </c>
      <c r="D1938" s="18">
        <f>Tuts!J1936</f>
        <v>0</v>
      </c>
      <c r="E1938" s="13">
        <f>Tuts!D1936</f>
        <v>0</v>
      </c>
    </row>
    <row r="1939" spans="2:5" ht="15.75" hidden="1" customHeight="1">
      <c r="B1939">
        <f>Tuts!B1937</f>
        <v>0</v>
      </c>
      <c r="C1939" s="13">
        <f>Tuts!E1937</f>
        <v>0</v>
      </c>
      <c r="D1939" s="18">
        <f>Tuts!J1937</f>
        <v>0</v>
      </c>
      <c r="E1939" s="13">
        <f>Tuts!D1937</f>
        <v>0</v>
      </c>
    </row>
    <row r="1940" spans="2:5" ht="15.75" hidden="1" customHeight="1">
      <c r="B1940">
        <f>Tuts!B1938</f>
        <v>0</v>
      </c>
      <c r="C1940" s="13">
        <f>Tuts!E1938</f>
        <v>0</v>
      </c>
      <c r="D1940" s="18">
        <f>Tuts!J1938</f>
        <v>0</v>
      </c>
      <c r="E1940" s="13">
        <f>Tuts!D1938</f>
        <v>0</v>
      </c>
    </row>
    <row r="1941" spans="2:5" ht="15.75" hidden="1" customHeight="1">
      <c r="B1941">
        <f>Tuts!B1939</f>
        <v>0</v>
      </c>
      <c r="C1941" s="13">
        <f>Tuts!E1939</f>
        <v>0</v>
      </c>
      <c r="D1941" s="18">
        <f>Tuts!J1939</f>
        <v>0</v>
      </c>
      <c r="E1941" s="13">
        <f>Tuts!D1939</f>
        <v>0</v>
      </c>
    </row>
    <row r="1942" spans="2:5" ht="15.75" hidden="1" customHeight="1">
      <c r="B1942">
        <f>Tuts!B1940</f>
        <v>0</v>
      </c>
      <c r="C1942" s="13">
        <f>Tuts!E1940</f>
        <v>0</v>
      </c>
      <c r="D1942" s="18">
        <f>Tuts!J1940</f>
        <v>0</v>
      </c>
      <c r="E1942" s="13">
        <f>Tuts!D1940</f>
        <v>0</v>
      </c>
    </row>
    <row r="1943" spans="2:5" ht="15.75" hidden="1" customHeight="1">
      <c r="B1943">
        <f>Tuts!B1941</f>
        <v>0</v>
      </c>
      <c r="C1943" s="13">
        <f>Tuts!E1941</f>
        <v>0</v>
      </c>
      <c r="D1943" s="18">
        <f>Tuts!J1941</f>
        <v>0</v>
      </c>
      <c r="E1943" s="13">
        <f>Tuts!D1941</f>
        <v>0</v>
      </c>
    </row>
    <row r="1944" spans="2:5" ht="15.75" hidden="1" customHeight="1">
      <c r="B1944">
        <f>Tuts!B1942</f>
        <v>0</v>
      </c>
      <c r="C1944" s="13">
        <f>Tuts!E1942</f>
        <v>0</v>
      </c>
      <c r="D1944" s="18">
        <f>Tuts!J1942</f>
        <v>0</v>
      </c>
      <c r="E1944" s="13">
        <f>Tuts!D1942</f>
        <v>0</v>
      </c>
    </row>
    <row r="1945" spans="2:5" ht="15.75" hidden="1" customHeight="1">
      <c r="B1945">
        <f>Tuts!B1943</f>
        <v>0</v>
      </c>
      <c r="C1945" s="13">
        <f>Tuts!E1943</f>
        <v>0</v>
      </c>
      <c r="D1945" s="18">
        <f>Tuts!J1943</f>
        <v>0</v>
      </c>
      <c r="E1945" s="13">
        <f>Tuts!D1943</f>
        <v>0</v>
      </c>
    </row>
    <row r="1946" spans="2:5" ht="15.75" hidden="1" customHeight="1">
      <c r="B1946">
        <f>Tuts!B1944</f>
        <v>0</v>
      </c>
      <c r="C1946" s="13">
        <f>Tuts!E1944</f>
        <v>0</v>
      </c>
      <c r="D1946" s="18">
        <f>Tuts!J1944</f>
        <v>0</v>
      </c>
      <c r="E1946" s="13">
        <f>Tuts!D1944</f>
        <v>0</v>
      </c>
    </row>
    <row r="1947" spans="2:5" ht="15.75" hidden="1" customHeight="1">
      <c r="B1947">
        <f>Tuts!B1945</f>
        <v>0</v>
      </c>
      <c r="C1947" s="13">
        <f>Tuts!E1945</f>
        <v>0</v>
      </c>
      <c r="D1947" s="18">
        <f>Tuts!J1945</f>
        <v>0</v>
      </c>
      <c r="E1947" s="13">
        <f>Tuts!D1945</f>
        <v>0</v>
      </c>
    </row>
    <row r="1948" spans="2:5" ht="15.75" hidden="1" customHeight="1">
      <c r="B1948">
        <f>Tuts!B1946</f>
        <v>0</v>
      </c>
      <c r="C1948" s="13">
        <f>Tuts!E1946</f>
        <v>0</v>
      </c>
      <c r="D1948" s="18">
        <f>Tuts!J1946</f>
        <v>0</v>
      </c>
      <c r="E1948" s="13">
        <f>Tuts!D1946</f>
        <v>0</v>
      </c>
    </row>
    <row r="1949" spans="2:5" ht="15.75" hidden="1" customHeight="1">
      <c r="B1949">
        <f>Tuts!B1947</f>
        <v>0</v>
      </c>
      <c r="C1949" s="13">
        <f>Tuts!E1947</f>
        <v>0</v>
      </c>
      <c r="D1949" s="18">
        <f>Tuts!J1947</f>
        <v>0</v>
      </c>
      <c r="E1949" s="13">
        <f>Tuts!D1947</f>
        <v>0</v>
      </c>
    </row>
    <row r="1950" spans="2:5" ht="15.75" hidden="1" customHeight="1">
      <c r="B1950">
        <f>Tuts!B1948</f>
        <v>0</v>
      </c>
      <c r="C1950" s="13">
        <f>Tuts!E1948</f>
        <v>0</v>
      </c>
      <c r="D1950" s="18">
        <f>Tuts!J1948</f>
        <v>0</v>
      </c>
      <c r="E1950" s="13">
        <f>Tuts!D1948</f>
        <v>0</v>
      </c>
    </row>
    <row r="1951" spans="2:5" ht="15.75" hidden="1" customHeight="1">
      <c r="B1951">
        <f>Tuts!B1949</f>
        <v>0</v>
      </c>
      <c r="C1951" s="13">
        <f>Tuts!E1949</f>
        <v>0</v>
      </c>
      <c r="D1951" s="18">
        <f>Tuts!J1949</f>
        <v>0</v>
      </c>
      <c r="E1951" s="13">
        <f>Tuts!D1949</f>
        <v>0</v>
      </c>
    </row>
    <row r="1952" spans="2:5" ht="15.75" hidden="1" customHeight="1">
      <c r="B1952">
        <f>Tuts!B1950</f>
        <v>0</v>
      </c>
      <c r="C1952" s="13">
        <f>Tuts!E1950</f>
        <v>0</v>
      </c>
      <c r="D1952" s="18">
        <f>Tuts!J1950</f>
        <v>0</v>
      </c>
      <c r="E1952" s="13">
        <f>Tuts!D1950</f>
        <v>0</v>
      </c>
    </row>
    <row r="1953" spans="2:5" ht="15.75" hidden="1" customHeight="1">
      <c r="B1953">
        <f>Tuts!B1951</f>
        <v>0</v>
      </c>
      <c r="C1953" s="13">
        <f>Tuts!E1951</f>
        <v>0</v>
      </c>
      <c r="D1953" s="18">
        <f>Tuts!J1951</f>
        <v>0</v>
      </c>
      <c r="E1953" s="13">
        <f>Tuts!D1951</f>
        <v>0</v>
      </c>
    </row>
    <row r="1954" spans="2:5" ht="15.75" hidden="1" customHeight="1">
      <c r="B1954">
        <f>Tuts!B1952</f>
        <v>0</v>
      </c>
      <c r="C1954" s="13">
        <f>Tuts!E1952</f>
        <v>0</v>
      </c>
      <c r="D1954" s="18">
        <f>Tuts!J1952</f>
        <v>0</v>
      </c>
      <c r="E1954" s="13">
        <f>Tuts!D1952</f>
        <v>0</v>
      </c>
    </row>
    <row r="1955" spans="2:5" ht="15.75" hidden="1" customHeight="1">
      <c r="B1955">
        <f>Tuts!B1953</f>
        <v>0</v>
      </c>
      <c r="C1955" s="13">
        <f>Tuts!E1953</f>
        <v>0</v>
      </c>
      <c r="D1955" s="18">
        <f>Tuts!J1953</f>
        <v>0</v>
      </c>
      <c r="E1955" s="13">
        <f>Tuts!D1953</f>
        <v>0</v>
      </c>
    </row>
    <row r="1956" spans="2:5" ht="15.75" hidden="1" customHeight="1">
      <c r="B1956">
        <f>Tuts!B1954</f>
        <v>0</v>
      </c>
      <c r="C1956" s="13">
        <f>Tuts!E1954</f>
        <v>0</v>
      </c>
      <c r="D1956" s="18">
        <f>Tuts!J1954</f>
        <v>0</v>
      </c>
      <c r="E1956" s="13">
        <f>Tuts!D1954</f>
        <v>0</v>
      </c>
    </row>
    <row r="1957" spans="2:5" ht="15.75" hidden="1" customHeight="1">
      <c r="B1957">
        <f>Tuts!B1955</f>
        <v>0</v>
      </c>
      <c r="C1957" s="13">
        <f>Tuts!E1955</f>
        <v>0</v>
      </c>
      <c r="D1957" s="18">
        <f>Tuts!J1955</f>
        <v>0</v>
      </c>
      <c r="E1957" s="13">
        <f>Tuts!D1955</f>
        <v>0</v>
      </c>
    </row>
    <row r="1958" spans="2:5" ht="15.75" hidden="1" customHeight="1">
      <c r="B1958">
        <f>Tuts!B1956</f>
        <v>0</v>
      </c>
      <c r="C1958" s="13">
        <f>Tuts!E1956</f>
        <v>0</v>
      </c>
      <c r="D1958" s="18">
        <f>Tuts!J1956</f>
        <v>0</v>
      </c>
      <c r="E1958" s="13">
        <f>Tuts!D1956</f>
        <v>0</v>
      </c>
    </row>
    <row r="1959" spans="2:5" ht="15.75" hidden="1" customHeight="1">
      <c r="B1959">
        <f>Tuts!B1957</f>
        <v>0</v>
      </c>
      <c r="C1959" s="13">
        <f>Tuts!E1957</f>
        <v>0</v>
      </c>
      <c r="D1959" s="18">
        <f>Tuts!J1957</f>
        <v>0</v>
      </c>
      <c r="E1959" s="13">
        <f>Tuts!D1957</f>
        <v>0</v>
      </c>
    </row>
    <row r="1960" spans="2:5" ht="15.75" hidden="1" customHeight="1">
      <c r="B1960">
        <f>Tuts!B1958</f>
        <v>0</v>
      </c>
      <c r="C1960" s="13">
        <f>Tuts!E1958</f>
        <v>0</v>
      </c>
      <c r="D1960" s="18">
        <f>Tuts!J1958</f>
        <v>0</v>
      </c>
      <c r="E1960" s="13">
        <f>Tuts!D1958</f>
        <v>0</v>
      </c>
    </row>
    <row r="1961" spans="2:5" ht="15.75" hidden="1" customHeight="1">
      <c r="B1961">
        <f>Tuts!B1959</f>
        <v>0</v>
      </c>
      <c r="C1961" s="13">
        <f>Tuts!E1959</f>
        <v>0</v>
      </c>
      <c r="D1961" s="18">
        <f>Tuts!J1959</f>
        <v>0</v>
      </c>
      <c r="E1961" s="13">
        <f>Tuts!D1959</f>
        <v>0</v>
      </c>
    </row>
    <row r="1962" spans="2:5" ht="15.75" hidden="1" customHeight="1">
      <c r="B1962">
        <f>Tuts!B1960</f>
        <v>0</v>
      </c>
      <c r="C1962" s="13">
        <f>Tuts!E1960</f>
        <v>0</v>
      </c>
      <c r="D1962" s="18">
        <f>Tuts!J1960</f>
        <v>0</v>
      </c>
      <c r="E1962" s="13">
        <f>Tuts!D1960</f>
        <v>0</v>
      </c>
    </row>
    <row r="1963" spans="2:5" ht="15.75" hidden="1" customHeight="1">
      <c r="B1963">
        <f>Tuts!B1961</f>
        <v>0</v>
      </c>
      <c r="C1963" s="13">
        <f>Tuts!E1961</f>
        <v>0</v>
      </c>
      <c r="D1963" s="18">
        <f>Tuts!J1961</f>
        <v>0</v>
      </c>
      <c r="E1963" s="13">
        <f>Tuts!D1961</f>
        <v>0</v>
      </c>
    </row>
    <row r="1964" spans="2:5" ht="15.75" hidden="1" customHeight="1">
      <c r="B1964">
        <f>Tuts!B1962</f>
        <v>0</v>
      </c>
      <c r="C1964" s="13">
        <f>Tuts!E1962</f>
        <v>0</v>
      </c>
      <c r="D1964" s="18">
        <f>Tuts!J1962</f>
        <v>0</v>
      </c>
      <c r="E1964" s="13">
        <f>Tuts!D1962</f>
        <v>0</v>
      </c>
    </row>
    <row r="1965" spans="2:5" ht="15.75" hidden="1" customHeight="1">
      <c r="B1965">
        <f>Tuts!B1963</f>
        <v>0</v>
      </c>
      <c r="C1965" s="13">
        <f>Tuts!E1963</f>
        <v>0</v>
      </c>
      <c r="D1965" s="18">
        <f>Tuts!J1963</f>
        <v>0</v>
      </c>
      <c r="E1965" s="13">
        <f>Tuts!D1963</f>
        <v>0</v>
      </c>
    </row>
    <row r="1966" spans="2:5" ht="15.75" hidden="1" customHeight="1">
      <c r="B1966">
        <f>Tuts!B1964</f>
        <v>0</v>
      </c>
      <c r="C1966" s="13">
        <f>Tuts!E1964</f>
        <v>0</v>
      </c>
      <c r="D1966" s="18">
        <f>Tuts!J1964</f>
        <v>0</v>
      </c>
      <c r="E1966" s="13">
        <f>Tuts!D1964</f>
        <v>0</v>
      </c>
    </row>
    <row r="1967" spans="2:5" ht="15.75" hidden="1" customHeight="1">
      <c r="B1967">
        <f>Tuts!B1965</f>
        <v>0</v>
      </c>
      <c r="C1967" s="13">
        <f>Tuts!E1965</f>
        <v>0</v>
      </c>
      <c r="D1967" s="18">
        <f>Tuts!J1965</f>
        <v>0</v>
      </c>
      <c r="E1967" s="13">
        <f>Tuts!D1965</f>
        <v>0</v>
      </c>
    </row>
    <row r="1968" spans="2:5" ht="15.75" hidden="1" customHeight="1">
      <c r="B1968">
        <f>Tuts!B1966</f>
        <v>0</v>
      </c>
      <c r="C1968" s="13">
        <f>Tuts!E1966</f>
        <v>0</v>
      </c>
      <c r="D1968" s="18">
        <f>Tuts!J1966</f>
        <v>0</v>
      </c>
      <c r="E1968" s="13">
        <f>Tuts!D1966</f>
        <v>0</v>
      </c>
    </row>
    <row r="1969" spans="2:5" ht="15.75" hidden="1" customHeight="1">
      <c r="B1969">
        <f>Tuts!B1967</f>
        <v>0</v>
      </c>
      <c r="C1969" s="13">
        <f>Tuts!E1967</f>
        <v>0</v>
      </c>
      <c r="D1969" s="18">
        <f>Tuts!J1967</f>
        <v>0</v>
      </c>
      <c r="E1969" s="13">
        <f>Tuts!D1967</f>
        <v>0</v>
      </c>
    </row>
    <row r="1970" spans="2:5" ht="15.75" hidden="1" customHeight="1">
      <c r="B1970">
        <f>Tuts!B1968</f>
        <v>0</v>
      </c>
      <c r="C1970" s="13">
        <f>Tuts!E1968</f>
        <v>0</v>
      </c>
      <c r="D1970" s="18">
        <f>Tuts!J1968</f>
        <v>0</v>
      </c>
      <c r="E1970" s="13">
        <f>Tuts!D1968</f>
        <v>0</v>
      </c>
    </row>
    <row r="1971" spans="2:5" ht="15.75" hidden="1" customHeight="1">
      <c r="B1971">
        <f>Tuts!B1969</f>
        <v>0</v>
      </c>
      <c r="C1971" s="13">
        <f>Tuts!E1969</f>
        <v>0</v>
      </c>
      <c r="D1971" s="18">
        <f>Tuts!J1969</f>
        <v>0</v>
      </c>
      <c r="E1971" s="13">
        <f>Tuts!D1969</f>
        <v>0</v>
      </c>
    </row>
    <row r="1972" spans="2:5" ht="15.75" hidden="1" customHeight="1">
      <c r="B1972">
        <f>Tuts!B1970</f>
        <v>0</v>
      </c>
      <c r="C1972" s="13">
        <f>Tuts!E1970</f>
        <v>0</v>
      </c>
      <c r="D1972" s="18">
        <f>Tuts!J1970</f>
        <v>0</v>
      </c>
      <c r="E1972" s="13">
        <f>Tuts!D1970</f>
        <v>0</v>
      </c>
    </row>
    <row r="1973" spans="2:5" ht="15.75" hidden="1" customHeight="1">
      <c r="B1973">
        <f>Tuts!B1971</f>
        <v>0</v>
      </c>
      <c r="C1973" s="13">
        <f>Tuts!E1971</f>
        <v>0</v>
      </c>
      <c r="D1973" s="18">
        <f>Tuts!J1971</f>
        <v>0</v>
      </c>
      <c r="E1973" s="13">
        <f>Tuts!D1971</f>
        <v>0</v>
      </c>
    </row>
    <row r="1974" spans="2:5" ht="15.75" hidden="1" customHeight="1">
      <c r="B1974">
        <f>Tuts!B1972</f>
        <v>0</v>
      </c>
      <c r="C1974" s="13">
        <f>Tuts!E1972</f>
        <v>0</v>
      </c>
      <c r="D1974" s="18">
        <f>Tuts!J1972</f>
        <v>0</v>
      </c>
      <c r="E1974" s="13">
        <f>Tuts!D1972</f>
        <v>0</v>
      </c>
    </row>
    <row r="1975" spans="2:5" ht="15.75" hidden="1" customHeight="1">
      <c r="B1975">
        <f>Tuts!B1973</f>
        <v>0</v>
      </c>
      <c r="C1975" s="13">
        <f>Tuts!E1973</f>
        <v>0</v>
      </c>
      <c r="D1975" s="18">
        <f>Tuts!J1973</f>
        <v>0</v>
      </c>
      <c r="E1975" s="13">
        <f>Tuts!D1973</f>
        <v>0</v>
      </c>
    </row>
    <row r="1976" spans="2:5" ht="15.75" hidden="1" customHeight="1">
      <c r="B1976">
        <f>Tuts!B1974</f>
        <v>0</v>
      </c>
      <c r="C1976" s="13">
        <f>Tuts!E1974</f>
        <v>0</v>
      </c>
      <c r="D1976" s="18">
        <f>Tuts!J1974</f>
        <v>0</v>
      </c>
      <c r="E1976" s="13">
        <f>Tuts!D1974</f>
        <v>0</v>
      </c>
    </row>
    <row r="1977" spans="2:5" ht="15.75" hidden="1" customHeight="1">
      <c r="B1977">
        <f>Tuts!B1975</f>
        <v>0</v>
      </c>
      <c r="C1977" s="13">
        <f>Tuts!E1975</f>
        <v>0</v>
      </c>
      <c r="D1977" s="18">
        <f>Tuts!J1975</f>
        <v>0</v>
      </c>
      <c r="E1977" s="13">
        <f>Tuts!D1975</f>
        <v>0</v>
      </c>
    </row>
    <row r="1978" spans="2:5" ht="15.75" hidden="1" customHeight="1">
      <c r="B1978">
        <f>Tuts!B1976</f>
        <v>0</v>
      </c>
      <c r="C1978" s="13">
        <f>Tuts!E1976</f>
        <v>0</v>
      </c>
      <c r="D1978" s="18">
        <f>Tuts!J1976</f>
        <v>0</v>
      </c>
      <c r="E1978" s="13">
        <f>Tuts!D1976</f>
        <v>0</v>
      </c>
    </row>
    <row r="1979" spans="2:5" ht="15.75" hidden="1" customHeight="1">
      <c r="B1979">
        <f>Tuts!B1977</f>
        <v>0</v>
      </c>
      <c r="C1979" s="13">
        <f>Tuts!E1977</f>
        <v>0</v>
      </c>
      <c r="D1979" s="18">
        <f>Tuts!J1977</f>
        <v>0</v>
      </c>
      <c r="E1979" s="13">
        <f>Tuts!D1977</f>
        <v>0</v>
      </c>
    </row>
    <row r="1980" spans="2:5" ht="15.75" hidden="1" customHeight="1">
      <c r="B1980">
        <f>Tuts!B1978</f>
        <v>0</v>
      </c>
      <c r="C1980" s="13">
        <f>Tuts!E1978</f>
        <v>0</v>
      </c>
      <c r="D1980" s="18">
        <f>Tuts!J1978</f>
        <v>0</v>
      </c>
      <c r="E1980" s="13">
        <f>Tuts!D1978</f>
        <v>0</v>
      </c>
    </row>
    <row r="1981" spans="2:5" ht="15.75" hidden="1" customHeight="1">
      <c r="B1981">
        <f>Tuts!B1979</f>
        <v>0</v>
      </c>
      <c r="C1981" s="13">
        <f>Tuts!E1979</f>
        <v>0</v>
      </c>
      <c r="D1981" s="18">
        <f>Tuts!J1979</f>
        <v>0</v>
      </c>
      <c r="E1981" s="13">
        <f>Tuts!D1979</f>
        <v>0</v>
      </c>
    </row>
    <row r="1982" spans="2:5" ht="15.75" hidden="1" customHeight="1">
      <c r="B1982">
        <f>Tuts!B1980</f>
        <v>0</v>
      </c>
      <c r="C1982" s="13">
        <f>Tuts!E1980</f>
        <v>0</v>
      </c>
      <c r="D1982" s="18">
        <f>Tuts!J1980</f>
        <v>0</v>
      </c>
      <c r="E1982" s="13">
        <f>Tuts!D1980</f>
        <v>0</v>
      </c>
    </row>
    <row r="1983" spans="2:5" ht="15.75" hidden="1" customHeight="1">
      <c r="B1983">
        <f>Tuts!B1981</f>
        <v>0</v>
      </c>
      <c r="C1983" s="13">
        <f>Tuts!E1981</f>
        <v>0</v>
      </c>
      <c r="D1983" s="18">
        <f>Tuts!J1981</f>
        <v>0</v>
      </c>
      <c r="E1983" s="13">
        <f>Tuts!D1981</f>
        <v>0</v>
      </c>
    </row>
    <row r="1984" spans="2:5" ht="15.75" hidden="1" customHeight="1">
      <c r="B1984">
        <f>Tuts!B1982</f>
        <v>0</v>
      </c>
      <c r="C1984" s="13">
        <f>Tuts!E1982</f>
        <v>0</v>
      </c>
      <c r="D1984" s="18">
        <f>Tuts!J1982</f>
        <v>0</v>
      </c>
      <c r="E1984" s="13">
        <f>Tuts!D1982</f>
        <v>0</v>
      </c>
    </row>
    <row r="1985" spans="2:5" ht="15.75" hidden="1" customHeight="1">
      <c r="B1985">
        <f>Tuts!B1983</f>
        <v>0</v>
      </c>
      <c r="C1985" s="13">
        <f>Tuts!E1983</f>
        <v>0</v>
      </c>
      <c r="D1985" s="18">
        <f>Tuts!J1983</f>
        <v>0</v>
      </c>
      <c r="E1985" s="13">
        <f>Tuts!D1983</f>
        <v>0</v>
      </c>
    </row>
    <row r="1986" spans="2:5" ht="15.75" hidden="1" customHeight="1">
      <c r="B1986">
        <f>Tuts!B1984</f>
        <v>0</v>
      </c>
      <c r="C1986" s="13">
        <f>Tuts!E1984</f>
        <v>0</v>
      </c>
      <c r="D1986" s="18">
        <f>Tuts!J1984</f>
        <v>0</v>
      </c>
      <c r="E1986" s="13">
        <f>Tuts!D1984</f>
        <v>0</v>
      </c>
    </row>
    <row r="1987" spans="2:5" ht="15.75" hidden="1" customHeight="1">
      <c r="B1987">
        <f>Tuts!B1985</f>
        <v>0</v>
      </c>
      <c r="C1987" s="13">
        <f>Tuts!E1985</f>
        <v>0</v>
      </c>
      <c r="D1987" s="18">
        <f>Tuts!J1985</f>
        <v>0</v>
      </c>
      <c r="E1987" s="13">
        <f>Tuts!D1985</f>
        <v>0</v>
      </c>
    </row>
    <row r="1988" spans="2:5" ht="15.75" hidden="1" customHeight="1">
      <c r="B1988">
        <f>Tuts!B1986</f>
        <v>0</v>
      </c>
      <c r="C1988" s="13">
        <f>Tuts!E1986</f>
        <v>0</v>
      </c>
      <c r="D1988" s="18">
        <f>Tuts!J1986</f>
        <v>0</v>
      </c>
      <c r="E1988" s="13">
        <f>Tuts!D1986</f>
        <v>0</v>
      </c>
    </row>
    <row r="1989" spans="2:5" ht="15.75" hidden="1" customHeight="1">
      <c r="B1989">
        <f>Tuts!B1987</f>
        <v>0</v>
      </c>
      <c r="C1989" s="13">
        <f>Tuts!E1987</f>
        <v>0</v>
      </c>
      <c r="D1989" s="18">
        <f>Tuts!J1987</f>
        <v>0</v>
      </c>
      <c r="E1989" s="13">
        <f>Tuts!D1987</f>
        <v>0</v>
      </c>
    </row>
    <row r="1990" spans="2:5" ht="15.75" hidden="1" customHeight="1">
      <c r="B1990">
        <f>Tuts!B1988</f>
        <v>0</v>
      </c>
      <c r="C1990" s="13">
        <f>Tuts!E1988</f>
        <v>0</v>
      </c>
      <c r="D1990" s="18">
        <f>Tuts!J1988</f>
        <v>0</v>
      </c>
      <c r="E1990" s="13">
        <f>Tuts!D1988</f>
        <v>0</v>
      </c>
    </row>
    <row r="1991" spans="2:5" ht="15.75" hidden="1" customHeight="1">
      <c r="B1991">
        <f>Tuts!B1989</f>
        <v>0</v>
      </c>
      <c r="C1991" s="13">
        <f>Tuts!E1989</f>
        <v>0</v>
      </c>
      <c r="D1991" s="18">
        <f>Tuts!J1989</f>
        <v>0</v>
      </c>
      <c r="E1991" s="13">
        <f>Tuts!D1989</f>
        <v>0</v>
      </c>
    </row>
    <row r="1992" spans="2:5" ht="15.75" hidden="1" customHeight="1">
      <c r="B1992">
        <f>Tuts!B1990</f>
        <v>0</v>
      </c>
      <c r="C1992" s="13">
        <f>Tuts!E1990</f>
        <v>0</v>
      </c>
      <c r="D1992" s="18">
        <f>Tuts!J1990</f>
        <v>0</v>
      </c>
      <c r="E1992" s="13">
        <f>Tuts!D1990</f>
        <v>0</v>
      </c>
    </row>
    <row r="1993" spans="2:5" ht="15.75" hidden="1" customHeight="1">
      <c r="B1993" t="e">
        <f>Tuts!#REF!</f>
        <v>#REF!</v>
      </c>
      <c r="C1993" s="13" t="e">
        <f>Tuts!#REF!</f>
        <v>#REF!</v>
      </c>
      <c r="D1993" s="18" t="e">
        <f>Tuts!#REF!</f>
        <v>#REF!</v>
      </c>
      <c r="E1993" s="13" t="e">
        <f>Tuts!#REF!</f>
        <v>#REF!</v>
      </c>
    </row>
    <row r="1994" spans="2:5" ht="15.75" hidden="1" customHeight="1">
      <c r="B1994">
        <f>Tuts!B1991</f>
        <v>0</v>
      </c>
      <c r="C1994" s="13">
        <f>Tuts!E1991</f>
        <v>0</v>
      </c>
      <c r="D1994" s="18">
        <f>Tuts!J1991</f>
        <v>0</v>
      </c>
      <c r="E1994" s="13">
        <f>Tuts!D1991</f>
        <v>0</v>
      </c>
    </row>
    <row r="1995" spans="2:5" ht="15.75" hidden="1" customHeight="1">
      <c r="B1995">
        <f>Tuts!B1992</f>
        <v>0</v>
      </c>
      <c r="C1995" s="13">
        <f>Tuts!E1992</f>
        <v>0</v>
      </c>
      <c r="D1995" s="18">
        <f>Tuts!J1992</f>
        <v>1697.1428571428573</v>
      </c>
      <c r="E1995" s="13">
        <f>Tuts!D1992</f>
        <v>1188</v>
      </c>
    </row>
    <row r="1996" spans="2:5" ht="15.75" hidden="1" customHeight="1">
      <c r="B1996">
        <f>Tuts!B1993</f>
        <v>0</v>
      </c>
      <c r="C1996" s="13">
        <f>Tuts!E1993</f>
        <v>0</v>
      </c>
      <c r="D1996" s="18">
        <f>Tuts!J1993</f>
        <v>421.42857142857144</v>
      </c>
      <c r="E1996" s="13">
        <f>Tuts!D1993</f>
        <v>295</v>
      </c>
    </row>
    <row r="1997" spans="2:5" ht="15.75" hidden="1" customHeight="1">
      <c r="B1997">
        <f>Tuts!B1994</f>
        <v>0</v>
      </c>
      <c r="C1997" s="13">
        <f>Tuts!E1994</f>
        <v>0</v>
      </c>
      <c r="D1997" s="18">
        <f>Tuts!J1994</f>
        <v>102.85714285714286</v>
      </c>
      <c r="E1997" s="13">
        <f>Tuts!D1994</f>
        <v>72</v>
      </c>
    </row>
    <row r="1998" spans="2:5" ht="15.75" hidden="1" customHeight="1">
      <c r="B1998">
        <f>Tuts!B1995</f>
        <v>0</v>
      </c>
      <c r="C1998" s="13">
        <f>Tuts!E1995</f>
        <v>0</v>
      </c>
      <c r="D1998" s="18">
        <f>Tuts!J1995</f>
        <v>0</v>
      </c>
      <c r="E1998" s="13">
        <f>Tuts!D1995</f>
        <v>0</v>
      </c>
    </row>
    <row r="1999" spans="2:5" ht="15.75" hidden="1" customHeight="1">
      <c r="B1999">
        <f>Tuts!B1996</f>
        <v>0</v>
      </c>
      <c r="C1999" s="13">
        <f>Tuts!E1996</f>
        <v>0</v>
      </c>
      <c r="D1999" s="18">
        <f>Tuts!J1996</f>
        <v>0</v>
      </c>
      <c r="E1999" s="13">
        <f>Tuts!D1996</f>
        <v>0</v>
      </c>
    </row>
    <row r="2000" spans="2:5" ht="15.75" hidden="1" customHeight="1">
      <c r="B2000">
        <f>Tuts!B1997</f>
        <v>0</v>
      </c>
      <c r="C2000" s="13">
        <f>Tuts!E1997</f>
        <v>0</v>
      </c>
      <c r="D2000" s="18">
        <f>Tuts!J1997</f>
        <v>0</v>
      </c>
      <c r="E2000" s="13">
        <f>Tuts!D1997</f>
        <v>0</v>
      </c>
    </row>
    <row r="2001" spans="2:5" ht="15.75" hidden="1" customHeight="1">
      <c r="B2001">
        <f>Tuts!B1998</f>
        <v>0</v>
      </c>
      <c r="C2001" s="13">
        <f>Tuts!E1998</f>
        <v>0</v>
      </c>
      <c r="D2001" s="18">
        <f>Tuts!J1998</f>
        <v>0</v>
      </c>
      <c r="E2001" s="13">
        <f>Tuts!D1998</f>
        <v>0</v>
      </c>
    </row>
    <row r="2002" spans="2:5" ht="15.75" hidden="1" customHeight="1">
      <c r="B2002">
        <f>Tuts!B1999</f>
        <v>0</v>
      </c>
      <c r="C2002" s="13">
        <f>Tuts!E1999</f>
        <v>0</v>
      </c>
      <c r="D2002" s="18">
        <f>Tuts!J1999</f>
        <v>0</v>
      </c>
      <c r="E2002" s="13">
        <f>Tuts!D1999</f>
        <v>0</v>
      </c>
    </row>
    <row r="2003" spans="2:5" ht="15.75" hidden="1" customHeight="1">
      <c r="B2003">
        <f>Tuts!B2000</f>
        <v>0</v>
      </c>
      <c r="C2003" s="13">
        <f>Tuts!E2000</f>
        <v>0</v>
      </c>
      <c r="D2003" s="18">
        <f>Tuts!J2000</f>
        <v>0</v>
      </c>
      <c r="E2003" s="13">
        <f>Tuts!D2000</f>
        <v>0</v>
      </c>
    </row>
    <row r="2004" spans="2:5" ht="15.75" hidden="1" customHeight="1">
      <c r="B2004">
        <f>Tuts!B2001</f>
        <v>0</v>
      </c>
      <c r="C2004" s="13">
        <f>Tuts!E2001</f>
        <v>0</v>
      </c>
      <c r="D2004" s="18">
        <f>Tuts!J2001</f>
        <v>0</v>
      </c>
      <c r="E2004" s="13">
        <f>Tuts!D2001</f>
        <v>0</v>
      </c>
    </row>
    <row r="2005" spans="2:5" ht="15.75" hidden="1" customHeight="1">
      <c r="B2005">
        <f>Tuts!B2002</f>
        <v>0</v>
      </c>
      <c r="C2005" s="13">
        <f>Tuts!E2002</f>
        <v>0</v>
      </c>
      <c r="D2005" s="18">
        <f>Tuts!J2002</f>
        <v>0</v>
      </c>
      <c r="E2005" s="13">
        <f>Tuts!D2002</f>
        <v>0</v>
      </c>
    </row>
    <row r="2006" spans="2:5" ht="15.75" hidden="1" customHeight="1">
      <c r="B2006">
        <f>Tuts!B2003</f>
        <v>0</v>
      </c>
      <c r="C2006" s="13">
        <f>Tuts!E2003</f>
        <v>0</v>
      </c>
      <c r="D2006" s="18">
        <f>Tuts!J2003</f>
        <v>0</v>
      </c>
      <c r="E2006" s="13">
        <f>Tuts!D2003</f>
        <v>0</v>
      </c>
    </row>
    <row r="2007" spans="2:5" ht="15.75" hidden="1" customHeight="1">
      <c r="B2007">
        <f>Tuts!B2004</f>
        <v>0</v>
      </c>
      <c r="C2007" s="13">
        <f>Tuts!E2004</f>
        <v>0</v>
      </c>
      <c r="D2007" s="18">
        <f>Tuts!J2004</f>
        <v>0</v>
      </c>
      <c r="E2007" s="13">
        <f>Tuts!D2004</f>
        <v>0</v>
      </c>
    </row>
    <row r="2008" spans="2:5" ht="15.75" hidden="1" customHeight="1">
      <c r="B2008">
        <f>Tuts!B2005</f>
        <v>0</v>
      </c>
      <c r="C2008" s="13">
        <f>Tuts!E2005</f>
        <v>0</v>
      </c>
      <c r="D2008" s="18">
        <f>Tuts!J2005</f>
        <v>0</v>
      </c>
      <c r="E2008" s="13">
        <f>Tuts!D2005</f>
        <v>0</v>
      </c>
    </row>
    <row r="2009" spans="2:5" ht="15.75" hidden="1" customHeight="1">
      <c r="B2009">
        <f>Tuts!B2006</f>
        <v>0</v>
      </c>
      <c r="C2009" s="13">
        <f>Tuts!E2006</f>
        <v>0</v>
      </c>
      <c r="D2009" s="18">
        <f>Tuts!J2006</f>
        <v>0</v>
      </c>
      <c r="E2009" s="13">
        <f>Tuts!D2006</f>
        <v>0</v>
      </c>
    </row>
    <row r="2010" spans="2:5" ht="15.75" hidden="1" customHeight="1">
      <c r="B2010">
        <f>Tuts!B2007</f>
        <v>0</v>
      </c>
      <c r="C2010" s="13">
        <f>Tuts!E2007</f>
        <v>0</v>
      </c>
      <c r="D2010" s="18">
        <f>Tuts!J2007</f>
        <v>0</v>
      </c>
      <c r="E2010" s="13">
        <f>Tuts!D2007</f>
        <v>0</v>
      </c>
    </row>
    <row r="2011" spans="2:5" ht="15.75" hidden="1" customHeight="1">
      <c r="B2011">
        <f>Tuts!B2008</f>
        <v>0</v>
      </c>
      <c r="C2011" s="13">
        <f>Tuts!E2008</f>
        <v>0</v>
      </c>
      <c r="D2011" s="18">
        <f>Tuts!J2008</f>
        <v>0</v>
      </c>
      <c r="E2011" s="13">
        <f>Tuts!D2008</f>
        <v>0</v>
      </c>
    </row>
    <row r="2012" spans="2:5" ht="15.75" hidden="1" customHeight="1">
      <c r="B2012">
        <f>Tuts!B2009</f>
        <v>0</v>
      </c>
      <c r="C2012" s="13">
        <f>Tuts!E2009</f>
        <v>0</v>
      </c>
      <c r="D2012" s="18">
        <f>Tuts!J2009</f>
        <v>0</v>
      </c>
      <c r="E2012" s="13">
        <f>Tuts!D2009</f>
        <v>0</v>
      </c>
    </row>
    <row r="2013" spans="2:5" ht="15.75" hidden="1" customHeight="1">
      <c r="B2013">
        <f>Tuts!B2010</f>
        <v>0</v>
      </c>
      <c r="C2013" s="13">
        <f>Tuts!E2010</f>
        <v>0</v>
      </c>
      <c r="D2013" s="18">
        <f>Tuts!J2010</f>
        <v>0</v>
      </c>
      <c r="E2013" s="13">
        <f>Tuts!D2010</f>
        <v>0</v>
      </c>
    </row>
    <row r="2014" spans="2:5" ht="15.75" hidden="1" customHeight="1">
      <c r="B2014">
        <f>Tuts!B2011</f>
        <v>0</v>
      </c>
      <c r="C2014" s="13">
        <f>Tuts!E2011</f>
        <v>0</v>
      </c>
      <c r="D2014" s="18">
        <f>Tuts!J2011</f>
        <v>0</v>
      </c>
      <c r="E2014" s="13">
        <f>Tuts!D2011</f>
        <v>0</v>
      </c>
    </row>
    <row r="2015" spans="2:5" ht="15.75" hidden="1" customHeight="1">
      <c r="B2015">
        <f>Tuts!B2012</f>
        <v>0</v>
      </c>
      <c r="C2015" s="13">
        <f>Tuts!E2012</f>
        <v>0</v>
      </c>
      <c r="D2015" s="18">
        <f>Tuts!J2012</f>
        <v>0</v>
      </c>
      <c r="E2015" s="13">
        <f>Tuts!D2012</f>
        <v>0</v>
      </c>
    </row>
    <row r="2016" spans="2:5" ht="15.75" hidden="1" customHeight="1">
      <c r="B2016">
        <f>Tuts!B2013</f>
        <v>0</v>
      </c>
      <c r="C2016" s="13">
        <f>Tuts!E2013</f>
        <v>0</v>
      </c>
      <c r="D2016" s="18">
        <f>Tuts!J2013</f>
        <v>0</v>
      </c>
      <c r="E2016" s="13">
        <f>Tuts!D2013</f>
        <v>0</v>
      </c>
    </row>
    <row r="2017" spans="2:5" ht="15.75" hidden="1" customHeight="1">
      <c r="B2017">
        <f>Tuts!B2014</f>
        <v>0</v>
      </c>
      <c r="C2017" s="13">
        <f>Tuts!E2014</f>
        <v>0</v>
      </c>
      <c r="D2017" s="18">
        <f>Tuts!J2014</f>
        <v>0</v>
      </c>
      <c r="E2017" s="13">
        <f>Tuts!D2014</f>
        <v>0</v>
      </c>
    </row>
    <row r="2018" spans="2:5" ht="15.75" hidden="1" customHeight="1">
      <c r="B2018">
        <f>Tuts!B2015</f>
        <v>0</v>
      </c>
      <c r="C2018" s="13">
        <f>Tuts!E2015</f>
        <v>0</v>
      </c>
      <c r="D2018" s="18">
        <f>Tuts!J2015</f>
        <v>0</v>
      </c>
      <c r="E2018" s="13">
        <f>Tuts!D2015</f>
        <v>0</v>
      </c>
    </row>
    <row r="2019" spans="2:5" ht="15.75" hidden="1" customHeight="1">
      <c r="B2019">
        <f>Tuts!B2016</f>
        <v>0</v>
      </c>
      <c r="C2019" s="13">
        <f>Tuts!E2016</f>
        <v>0</v>
      </c>
      <c r="D2019" s="18">
        <f>Tuts!J2016</f>
        <v>0</v>
      </c>
      <c r="E2019" s="13">
        <f>Tuts!D2016</f>
        <v>0</v>
      </c>
    </row>
    <row r="2020" spans="2:5" ht="15.75" hidden="1" customHeight="1">
      <c r="B2020">
        <f>Tuts!B2017</f>
        <v>0</v>
      </c>
      <c r="C2020" s="13">
        <f>Tuts!E2017</f>
        <v>0</v>
      </c>
      <c r="D2020" s="18">
        <f>Tuts!J2017</f>
        <v>0</v>
      </c>
      <c r="E2020" s="13">
        <f>Tuts!D2017</f>
        <v>0</v>
      </c>
    </row>
    <row r="2021" spans="2:5" ht="15.75" hidden="1" customHeight="1">
      <c r="B2021">
        <f>Tuts!B2018</f>
        <v>0</v>
      </c>
      <c r="C2021" s="13">
        <f>Tuts!E2018</f>
        <v>0</v>
      </c>
      <c r="D2021" s="18">
        <f>Tuts!J2018</f>
        <v>0</v>
      </c>
      <c r="E2021" s="13">
        <f>Tuts!D2018</f>
        <v>0</v>
      </c>
    </row>
    <row r="2022" spans="2:5" ht="15.75" hidden="1" customHeight="1">
      <c r="B2022">
        <f>Tuts!B2019</f>
        <v>0</v>
      </c>
      <c r="C2022" s="13">
        <f>Tuts!E2019</f>
        <v>0</v>
      </c>
      <c r="D2022" s="18">
        <f>Tuts!J2019</f>
        <v>0</v>
      </c>
      <c r="E2022" s="13">
        <f>Tuts!D2019</f>
        <v>0</v>
      </c>
    </row>
    <row r="2023" spans="2:5" ht="15.75" hidden="1" customHeight="1">
      <c r="B2023">
        <f>Tuts!B2020</f>
        <v>0</v>
      </c>
      <c r="C2023" s="13">
        <f>Tuts!E2020</f>
        <v>0</v>
      </c>
      <c r="D2023" s="18">
        <f>Tuts!J2020</f>
        <v>0</v>
      </c>
      <c r="E2023" s="13">
        <f>Tuts!D2020</f>
        <v>0</v>
      </c>
    </row>
    <row r="2024" spans="2:5" ht="15.75" hidden="1" customHeight="1">
      <c r="B2024">
        <f>Tuts!B2021</f>
        <v>0</v>
      </c>
      <c r="C2024" s="13">
        <f>Tuts!E2021</f>
        <v>0</v>
      </c>
      <c r="D2024" s="18">
        <f>Tuts!J2021</f>
        <v>0</v>
      </c>
      <c r="E2024" s="13">
        <f>Tuts!D2021</f>
        <v>0</v>
      </c>
    </row>
    <row r="2025" spans="2:5" ht="15.75" hidden="1" customHeight="1">
      <c r="B2025">
        <f>Tuts!B2022</f>
        <v>0</v>
      </c>
      <c r="C2025" s="13">
        <f>Tuts!E2022</f>
        <v>0</v>
      </c>
      <c r="D2025" s="18">
        <f>Tuts!J2022</f>
        <v>0</v>
      </c>
      <c r="E2025" s="13">
        <f>Tuts!D2022</f>
        <v>0</v>
      </c>
    </row>
    <row r="2026" spans="2:5" ht="15.75" hidden="1" customHeight="1">
      <c r="B2026">
        <f>Tuts!B2023</f>
        <v>0</v>
      </c>
      <c r="C2026" s="13">
        <f>Tuts!E2023</f>
        <v>0</v>
      </c>
      <c r="D2026" s="18">
        <f>Tuts!J2023</f>
        <v>0</v>
      </c>
      <c r="E2026" s="13">
        <f>Tuts!D2023</f>
        <v>0</v>
      </c>
    </row>
    <row r="2027" spans="2:5" ht="15.75" hidden="1" customHeight="1">
      <c r="B2027">
        <f>Tuts!B2024</f>
        <v>0</v>
      </c>
      <c r="C2027" s="13">
        <f>Tuts!E2024</f>
        <v>0</v>
      </c>
      <c r="D2027" s="18">
        <f>Tuts!J2024</f>
        <v>0</v>
      </c>
      <c r="E2027" s="13">
        <f>Tuts!D2024</f>
        <v>0</v>
      </c>
    </row>
    <row r="2028" spans="2:5" ht="15.75" hidden="1" customHeight="1">
      <c r="B2028">
        <f>Tuts!B2025</f>
        <v>0</v>
      </c>
      <c r="C2028" s="13">
        <f>Tuts!E2025</f>
        <v>0</v>
      </c>
      <c r="D2028" s="18">
        <f>Tuts!J2025</f>
        <v>0</v>
      </c>
      <c r="E2028" s="13">
        <f>Tuts!D2025</f>
        <v>0</v>
      </c>
    </row>
    <row r="2029" spans="2:5" ht="15.75" hidden="1" customHeight="1">
      <c r="B2029">
        <f>Tuts!B2026</f>
        <v>0</v>
      </c>
      <c r="C2029" s="13">
        <f>Tuts!E2026</f>
        <v>0</v>
      </c>
      <c r="D2029" s="18">
        <f>Tuts!J2026</f>
        <v>0</v>
      </c>
      <c r="E2029" s="13">
        <f>Tuts!D2026</f>
        <v>0</v>
      </c>
    </row>
    <row r="2030" spans="2:5" ht="15.75" hidden="1" customHeight="1">
      <c r="B2030">
        <f>Tuts!B2027</f>
        <v>0</v>
      </c>
      <c r="C2030" s="13">
        <f>Tuts!E2027</f>
        <v>0</v>
      </c>
      <c r="D2030" s="18">
        <f>Tuts!J2027</f>
        <v>0</v>
      </c>
      <c r="E2030" s="13">
        <f>Tuts!D2027</f>
        <v>0</v>
      </c>
    </row>
    <row r="2031" spans="2:5" ht="15.75" hidden="1" customHeight="1">
      <c r="B2031">
        <f>Tuts!B2028</f>
        <v>0</v>
      </c>
      <c r="C2031" s="13">
        <f>Tuts!E2028</f>
        <v>0</v>
      </c>
      <c r="D2031" s="18">
        <f>Tuts!J2028</f>
        <v>0</v>
      </c>
      <c r="E2031" s="13">
        <f>Tuts!D2028</f>
        <v>0</v>
      </c>
    </row>
    <row r="2032" spans="2:5" ht="15.75" hidden="1" customHeight="1">
      <c r="B2032">
        <f>Tuts!B2029</f>
        <v>0</v>
      </c>
      <c r="C2032" s="13">
        <f>Tuts!E2029</f>
        <v>0</v>
      </c>
      <c r="D2032" s="18">
        <f>Tuts!J2029</f>
        <v>0</v>
      </c>
      <c r="E2032" s="13">
        <f>Tuts!D2029</f>
        <v>0</v>
      </c>
    </row>
    <row r="2033" spans="2:5" ht="15.75" hidden="1" customHeight="1">
      <c r="B2033">
        <f>Tuts!B2030</f>
        <v>0</v>
      </c>
      <c r="C2033" s="13">
        <f>Tuts!E2030</f>
        <v>0</v>
      </c>
      <c r="D2033" s="18">
        <f>Tuts!J2030</f>
        <v>0</v>
      </c>
      <c r="E2033" s="13">
        <f>Tuts!D2030</f>
        <v>0</v>
      </c>
    </row>
    <row r="2034" spans="2:5" ht="15.75" hidden="1" customHeight="1">
      <c r="B2034">
        <f>Tuts!B2031</f>
        <v>0</v>
      </c>
      <c r="C2034" s="13">
        <f>Tuts!E2031</f>
        <v>0</v>
      </c>
      <c r="D2034" s="18">
        <f>Tuts!J2031</f>
        <v>0</v>
      </c>
      <c r="E2034" s="13">
        <f>Tuts!D2031</f>
        <v>0</v>
      </c>
    </row>
    <row r="2035" spans="2:5" ht="15.75" hidden="1" customHeight="1">
      <c r="B2035">
        <f>Tuts!B2032</f>
        <v>0</v>
      </c>
      <c r="C2035" s="13">
        <f>Tuts!E2032</f>
        <v>0</v>
      </c>
      <c r="D2035" s="18">
        <f>Tuts!J2032</f>
        <v>0</v>
      </c>
      <c r="E2035" s="13">
        <f>Tuts!D2032</f>
        <v>0</v>
      </c>
    </row>
    <row r="2036" spans="2:5" ht="15.75" hidden="1" customHeight="1">
      <c r="B2036">
        <f>Tuts!B2033</f>
        <v>0</v>
      </c>
      <c r="C2036" s="13">
        <f>Tuts!E2033</f>
        <v>0</v>
      </c>
      <c r="D2036" s="18">
        <f>Tuts!J2033</f>
        <v>0</v>
      </c>
      <c r="E2036" s="13">
        <f>Tuts!D2033</f>
        <v>0</v>
      </c>
    </row>
    <row r="2037" spans="2:5" ht="15.75" hidden="1" customHeight="1">
      <c r="B2037">
        <f>Tuts!B2034</f>
        <v>0</v>
      </c>
      <c r="C2037" s="13">
        <f>Tuts!E2034</f>
        <v>0</v>
      </c>
      <c r="D2037" s="18">
        <f>Tuts!J2034</f>
        <v>0</v>
      </c>
      <c r="E2037" s="13">
        <f>Tuts!D2034</f>
        <v>0</v>
      </c>
    </row>
    <row r="2038" spans="2:5" ht="15.75" hidden="1" customHeight="1">
      <c r="B2038">
        <f>Tuts!B2035</f>
        <v>0</v>
      </c>
      <c r="C2038" s="13">
        <f>Tuts!E2035</f>
        <v>0</v>
      </c>
      <c r="D2038" s="18">
        <f>Tuts!J2035</f>
        <v>0</v>
      </c>
      <c r="E2038" s="13">
        <f>Tuts!D2035</f>
        <v>0</v>
      </c>
    </row>
    <row r="2039" spans="2:5" ht="15.75" hidden="1" customHeight="1">
      <c r="B2039">
        <f>Tuts!B2036</f>
        <v>0</v>
      </c>
      <c r="C2039" s="13">
        <f>Tuts!E2036</f>
        <v>0</v>
      </c>
      <c r="D2039" s="18">
        <f>Tuts!J2036</f>
        <v>0</v>
      </c>
      <c r="E2039" s="13">
        <f>Tuts!D2036</f>
        <v>0</v>
      </c>
    </row>
    <row r="2040" spans="2:5" ht="15.75" hidden="1" customHeight="1">
      <c r="B2040">
        <f>Tuts!B2037</f>
        <v>0</v>
      </c>
      <c r="C2040" s="13">
        <f>Tuts!E2037</f>
        <v>0</v>
      </c>
      <c r="D2040" s="18">
        <f>Tuts!J2037</f>
        <v>0</v>
      </c>
      <c r="E2040" s="13">
        <f>Tuts!D2037</f>
        <v>0</v>
      </c>
    </row>
    <row r="2041" spans="2:5" ht="15.75" hidden="1" customHeight="1">
      <c r="B2041">
        <f>Tuts!B2038</f>
        <v>0</v>
      </c>
      <c r="C2041" s="13">
        <f>Tuts!E2038</f>
        <v>0</v>
      </c>
      <c r="D2041" s="18">
        <f>Tuts!J2038</f>
        <v>0</v>
      </c>
      <c r="E2041" s="13">
        <f>Tuts!D2038</f>
        <v>0</v>
      </c>
    </row>
    <row r="2042" spans="2:5" ht="15.75" hidden="1" customHeight="1">
      <c r="B2042">
        <f>Tuts!B2039</f>
        <v>0</v>
      </c>
      <c r="C2042" s="13">
        <f>Tuts!E2039</f>
        <v>0</v>
      </c>
      <c r="D2042" s="18">
        <f>Tuts!J2039</f>
        <v>0</v>
      </c>
      <c r="E2042" s="13">
        <f>Tuts!D2039</f>
        <v>0</v>
      </c>
    </row>
    <row r="2043" spans="2:5" ht="15.75" hidden="1" customHeight="1">
      <c r="B2043">
        <f>Tuts!B2040</f>
        <v>0</v>
      </c>
      <c r="C2043" s="13">
        <f>Tuts!E2040</f>
        <v>0</v>
      </c>
      <c r="D2043" s="18">
        <f>Tuts!J2040</f>
        <v>0</v>
      </c>
      <c r="E2043" s="13">
        <f>Tuts!D2040</f>
        <v>0</v>
      </c>
    </row>
    <row r="2044" spans="2:5" ht="15.75" hidden="1" customHeight="1">
      <c r="B2044">
        <f>Tuts!B2041</f>
        <v>0</v>
      </c>
      <c r="C2044" s="13">
        <f>Tuts!E2041</f>
        <v>0</v>
      </c>
      <c r="D2044" s="18">
        <f>Tuts!J2041</f>
        <v>0</v>
      </c>
      <c r="E2044" s="13">
        <f>Tuts!D2041</f>
        <v>0</v>
      </c>
    </row>
    <row r="2045" spans="2:5" ht="15.75" hidden="1" customHeight="1">
      <c r="B2045">
        <f>Tuts!B2042</f>
        <v>0</v>
      </c>
      <c r="C2045" s="13">
        <f>Tuts!E2042</f>
        <v>0</v>
      </c>
      <c r="D2045" s="18">
        <f>Tuts!J2042</f>
        <v>0</v>
      </c>
      <c r="E2045" s="13">
        <f>Tuts!D2042</f>
        <v>0</v>
      </c>
    </row>
    <row r="2046" spans="2:5" ht="15.75" hidden="1" customHeight="1">
      <c r="B2046">
        <f>Tuts!B2043</f>
        <v>0</v>
      </c>
      <c r="C2046" s="13">
        <f>Tuts!E2043</f>
        <v>0</v>
      </c>
      <c r="D2046" s="18">
        <f>Tuts!J2043</f>
        <v>0</v>
      </c>
      <c r="E2046" s="13">
        <f>Tuts!D2043</f>
        <v>0</v>
      </c>
    </row>
    <row r="2047" spans="2:5" ht="15.75" hidden="1" customHeight="1">
      <c r="B2047">
        <f>Tuts!B2044</f>
        <v>0</v>
      </c>
      <c r="C2047" s="13">
        <f>Tuts!E2044</f>
        <v>0</v>
      </c>
      <c r="D2047" s="18">
        <f>Tuts!J2044</f>
        <v>0</v>
      </c>
      <c r="E2047" s="13">
        <f>Tuts!D2044</f>
        <v>0</v>
      </c>
    </row>
    <row r="2048" spans="2:5" ht="15.75" hidden="1" customHeight="1">
      <c r="B2048">
        <f>Tuts!B2045</f>
        <v>0</v>
      </c>
      <c r="C2048" s="13">
        <f>Tuts!E2045</f>
        <v>0</v>
      </c>
      <c r="D2048" s="18">
        <f>Tuts!J2045</f>
        <v>0</v>
      </c>
      <c r="E2048" s="13">
        <f>Tuts!D2045</f>
        <v>0</v>
      </c>
    </row>
    <row r="2049" spans="2:5" ht="15.75" hidden="1" customHeight="1">
      <c r="B2049">
        <f>Tuts!B2046</f>
        <v>0</v>
      </c>
      <c r="C2049" s="13">
        <f>Tuts!E2046</f>
        <v>0</v>
      </c>
      <c r="D2049" s="18">
        <f>Tuts!J2046</f>
        <v>0</v>
      </c>
      <c r="E2049" s="13">
        <f>Tuts!D2046</f>
        <v>0</v>
      </c>
    </row>
    <row r="2050" spans="2:5" ht="15.75" hidden="1" customHeight="1">
      <c r="B2050">
        <f>Tuts!B2047</f>
        <v>0</v>
      </c>
      <c r="C2050" s="13">
        <f>Tuts!E2047</f>
        <v>0</v>
      </c>
      <c r="D2050" s="18">
        <f>Tuts!J2047</f>
        <v>0</v>
      </c>
      <c r="E2050" s="13">
        <f>Tuts!D2047</f>
        <v>0</v>
      </c>
    </row>
    <row r="2051" spans="2:5" ht="15.75" hidden="1" customHeight="1">
      <c r="B2051">
        <f>Tuts!B2048</f>
        <v>0</v>
      </c>
      <c r="C2051" s="13">
        <f>Tuts!E2048</f>
        <v>0</v>
      </c>
      <c r="D2051" s="18">
        <f>Tuts!J2048</f>
        <v>0</v>
      </c>
      <c r="E2051" s="13">
        <f>Tuts!D2048</f>
        <v>0</v>
      </c>
    </row>
    <row r="2052" spans="2:5" ht="15.75" hidden="1" customHeight="1">
      <c r="B2052">
        <f>Tuts!B2049</f>
        <v>0</v>
      </c>
      <c r="C2052" s="13">
        <f>Tuts!E2049</f>
        <v>0</v>
      </c>
      <c r="D2052" s="18">
        <f>Tuts!J2049</f>
        <v>0</v>
      </c>
      <c r="E2052" s="13">
        <f>Tuts!D2049</f>
        <v>0</v>
      </c>
    </row>
    <row r="2053" spans="2:5" ht="15.75" hidden="1" customHeight="1">
      <c r="B2053">
        <f>Tuts!B2050</f>
        <v>0</v>
      </c>
      <c r="C2053" s="13">
        <f>Tuts!E2050</f>
        <v>0</v>
      </c>
      <c r="D2053" s="18">
        <f>Tuts!J2050</f>
        <v>0</v>
      </c>
      <c r="E2053" s="13">
        <f>Tuts!D2050</f>
        <v>0</v>
      </c>
    </row>
    <row r="2054" spans="2:5" ht="15.75" hidden="1" customHeight="1">
      <c r="B2054">
        <f>Tuts!B2051</f>
        <v>0</v>
      </c>
      <c r="C2054" s="13">
        <f>Tuts!E2051</f>
        <v>0</v>
      </c>
      <c r="D2054" s="18">
        <f>Tuts!J2051</f>
        <v>0</v>
      </c>
      <c r="E2054" s="13">
        <f>Tuts!D2051</f>
        <v>0</v>
      </c>
    </row>
    <row r="2055" spans="2:5" ht="15.75" hidden="1" customHeight="1">
      <c r="B2055">
        <f>Tuts!B2052</f>
        <v>0</v>
      </c>
      <c r="C2055" s="13">
        <f>Tuts!E2052</f>
        <v>0</v>
      </c>
      <c r="D2055" s="18">
        <f>Tuts!J2052</f>
        <v>0</v>
      </c>
      <c r="E2055" s="13">
        <f>Tuts!D2052</f>
        <v>0</v>
      </c>
    </row>
    <row r="2056" spans="2:5" ht="15.75" hidden="1" customHeight="1">
      <c r="B2056">
        <f>Tuts!B2053</f>
        <v>0</v>
      </c>
      <c r="C2056" s="13">
        <f>Tuts!E2053</f>
        <v>0</v>
      </c>
      <c r="D2056" s="18">
        <f>Tuts!J2053</f>
        <v>0</v>
      </c>
      <c r="E2056" s="13">
        <f>Tuts!D2053</f>
        <v>0</v>
      </c>
    </row>
    <row r="2057" spans="2:5" ht="15.75" hidden="1" customHeight="1">
      <c r="B2057">
        <f>Tuts!B2054</f>
        <v>0</v>
      </c>
      <c r="C2057" s="13">
        <f>Tuts!E2054</f>
        <v>0</v>
      </c>
      <c r="D2057" s="18">
        <f>Tuts!J2054</f>
        <v>0</v>
      </c>
      <c r="E2057" s="13">
        <f>Tuts!D2054</f>
        <v>0</v>
      </c>
    </row>
    <row r="2058" spans="2:5" ht="15.75" hidden="1" customHeight="1">
      <c r="B2058">
        <f>Tuts!B2055</f>
        <v>0</v>
      </c>
      <c r="C2058" s="13">
        <f>Tuts!E2055</f>
        <v>0</v>
      </c>
      <c r="D2058" s="18">
        <f>Tuts!J2055</f>
        <v>0</v>
      </c>
      <c r="E2058" s="13">
        <f>Tuts!D2055</f>
        <v>0</v>
      </c>
    </row>
    <row r="2059" spans="2:5" ht="15.75" hidden="1" customHeight="1">
      <c r="B2059">
        <f>Tuts!B2056</f>
        <v>0</v>
      </c>
      <c r="C2059" s="13">
        <f>Tuts!E2056</f>
        <v>0</v>
      </c>
      <c r="D2059" s="18">
        <f>Tuts!J2056</f>
        <v>0</v>
      </c>
      <c r="E2059" s="13">
        <f>Tuts!D2056</f>
        <v>0</v>
      </c>
    </row>
    <row r="2060" spans="2:5" ht="15.75" hidden="1" customHeight="1">
      <c r="B2060">
        <f>Tuts!B2057</f>
        <v>0</v>
      </c>
      <c r="C2060" s="13">
        <f>Tuts!E2057</f>
        <v>0</v>
      </c>
      <c r="D2060" s="18">
        <f>Tuts!J2057</f>
        <v>0</v>
      </c>
      <c r="E2060" s="13">
        <f>Tuts!D2057</f>
        <v>0</v>
      </c>
    </row>
    <row r="2061" spans="2:5" ht="15.75" hidden="1" customHeight="1">
      <c r="B2061">
        <f>Tuts!B2058</f>
        <v>0</v>
      </c>
      <c r="C2061" s="13">
        <f>Tuts!E2058</f>
        <v>0</v>
      </c>
      <c r="D2061" s="18">
        <f>Tuts!J2058</f>
        <v>0</v>
      </c>
      <c r="E2061" s="13">
        <f>Tuts!D2058</f>
        <v>0</v>
      </c>
    </row>
    <row r="2062" spans="2:5" ht="15.75" hidden="1" customHeight="1">
      <c r="B2062">
        <f>Tuts!B2059</f>
        <v>0</v>
      </c>
      <c r="C2062" s="13">
        <f>Tuts!E2059</f>
        <v>0</v>
      </c>
      <c r="D2062" s="18">
        <f>Tuts!J2059</f>
        <v>0</v>
      </c>
      <c r="E2062" s="13">
        <f>Tuts!D2059</f>
        <v>0</v>
      </c>
    </row>
    <row r="2063" spans="2:5" ht="15.75" hidden="1" customHeight="1">
      <c r="B2063">
        <f>Tuts!B2060</f>
        <v>0</v>
      </c>
      <c r="C2063" s="13">
        <f>Tuts!E2060</f>
        <v>0</v>
      </c>
      <c r="D2063" s="18">
        <f>Tuts!J2060</f>
        <v>0</v>
      </c>
      <c r="E2063" s="13">
        <f>Tuts!D2060</f>
        <v>0</v>
      </c>
    </row>
    <row r="2064" spans="2:5" ht="15.75" hidden="1" customHeight="1">
      <c r="B2064">
        <f>Tuts!B2061</f>
        <v>0</v>
      </c>
      <c r="C2064" s="13">
        <f>Tuts!E2061</f>
        <v>0</v>
      </c>
      <c r="D2064" s="18">
        <f>Tuts!J2061</f>
        <v>0</v>
      </c>
      <c r="E2064" s="13">
        <f>Tuts!D2061</f>
        <v>0</v>
      </c>
    </row>
    <row r="2065" spans="2:5" ht="15.75" hidden="1" customHeight="1">
      <c r="B2065">
        <f>Tuts!B2062</f>
        <v>0</v>
      </c>
      <c r="C2065" s="13">
        <f>Tuts!E2062</f>
        <v>0</v>
      </c>
      <c r="D2065" s="18">
        <f>Tuts!J2062</f>
        <v>0</v>
      </c>
      <c r="E2065" s="13">
        <f>Tuts!D2062</f>
        <v>0</v>
      </c>
    </row>
    <row r="2066" spans="2:5" ht="15.75" hidden="1" customHeight="1">
      <c r="B2066">
        <f>Tuts!B2063</f>
        <v>0</v>
      </c>
      <c r="C2066" s="13">
        <f>Tuts!E2063</f>
        <v>0</v>
      </c>
      <c r="D2066" s="18">
        <f>Tuts!J2063</f>
        <v>0</v>
      </c>
      <c r="E2066" s="13">
        <f>Tuts!D2063</f>
        <v>0</v>
      </c>
    </row>
    <row r="2067" spans="2:5" ht="15.75" hidden="1" customHeight="1">
      <c r="B2067">
        <f>Tuts!B2064</f>
        <v>0</v>
      </c>
      <c r="C2067" s="13">
        <f>Tuts!E2064</f>
        <v>0</v>
      </c>
      <c r="D2067" s="18">
        <f>Tuts!J2064</f>
        <v>0</v>
      </c>
      <c r="E2067" s="13">
        <f>Tuts!D2064</f>
        <v>0</v>
      </c>
    </row>
    <row r="2068" spans="2:5" ht="15.75" hidden="1" customHeight="1">
      <c r="B2068">
        <f>Tuts!B2065</f>
        <v>0</v>
      </c>
      <c r="C2068" s="13">
        <f>Tuts!E2065</f>
        <v>0</v>
      </c>
      <c r="D2068" s="18">
        <f>Tuts!J2065</f>
        <v>0</v>
      </c>
      <c r="E2068" s="13">
        <f>Tuts!D2065</f>
        <v>0</v>
      </c>
    </row>
    <row r="2069" spans="2:5" ht="15.75" hidden="1" customHeight="1">
      <c r="B2069">
        <f>Tuts!B2066</f>
        <v>0</v>
      </c>
      <c r="C2069" s="13">
        <f>Tuts!E2066</f>
        <v>0</v>
      </c>
      <c r="D2069" s="18">
        <f>Tuts!J2066</f>
        <v>0</v>
      </c>
      <c r="E2069" s="13">
        <f>Tuts!D2066</f>
        <v>0</v>
      </c>
    </row>
    <row r="2070" spans="2:5" ht="15.75" hidden="1" customHeight="1">
      <c r="B2070">
        <f>Tuts!B2067</f>
        <v>0</v>
      </c>
      <c r="C2070" s="13">
        <f>Tuts!E2067</f>
        <v>0</v>
      </c>
      <c r="D2070" s="18">
        <f>Tuts!J2067</f>
        <v>0</v>
      </c>
      <c r="E2070" s="13">
        <f>Tuts!D2067</f>
        <v>0</v>
      </c>
    </row>
    <row r="2071" spans="2:5" ht="15.75" hidden="1" customHeight="1">
      <c r="B2071">
        <f>Tuts!B2068</f>
        <v>0</v>
      </c>
      <c r="C2071" s="13">
        <f>Tuts!E2068</f>
        <v>0</v>
      </c>
      <c r="D2071" s="18">
        <f>Tuts!J2068</f>
        <v>0</v>
      </c>
      <c r="E2071" s="13">
        <f>Tuts!D2068</f>
        <v>0</v>
      </c>
    </row>
    <row r="2072" spans="2:5" ht="15.75" hidden="1" customHeight="1">
      <c r="B2072">
        <f>Tuts!B2069</f>
        <v>0</v>
      </c>
      <c r="C2072" s="13">
        <f>Tuts!E2069</f>
        <v>0</v>
      </c>
      <c r="D2072" s="18">
        <f>Tuts!J2069</f>
        <v>0</v>
      </c>
      <c r="E2072" s="13">
        <f>Tuts!D2069</f>
        <v>0</v>
      </c>
    </row>
    <row r="2073" spans="2:5" ht="15.75" hidden="1" customHeight="1">
      <c r="B2073">
        <f>Tuts!B2070</f>
        <v>0</v>
      </c>
      <c r="C2073" s="13">
        <f>Tuts!E2070</f>
        <v>0</v>
      </c>
      <c r="D2073" s="18">
        <f>Tuts!J2070</f>
        <v>0</v>
      </c>
      <c r="E2073" s="13">
        <f>Tuts!D2070</f>
        <v>0</v>
      </c>
    </row>
    <row r="2074" spans="2:5" ht="15.75" hidden="1" customHeight="1">
      <c r="B2074">
        <f>Tuts!B2071</f>
        <v>0</v>
      </c>
      <c r="C2074" s="13">
        <f>Tuts!E2071</f>
        <v>0</v>
      </c>
      <c r="D2074" s="18">
        <f>Tuts!J2071</f>
        <v>0</v>
      </c>
      <c r="E2074" s="13">
        <f>Tuts!D2071</f>
        <v>0</v>
      </c>
    </row>
    <row r="2075" spans="2:5" ht="15.75" hidden="1" customHeight="1">
      <c r="B2075">
        <f>Tuts!B2072</f>
        <v>0</v>
      </c>
      <c r="C2075" s="13">
        <f>Tuts!E2072</f>
        <v>0</v>
      </c>
      <c r="D2075" s="18">
        <f>Tuts!J2072</f>
        <v>0</v>
      </c>
      <c r="E2075" s="13">
        <f>Tuts!D2072</f>
        <v>0</v>
      </c>
    </row>
    <row r="2076" spans="2:5" ht="15.75" hidden="1" customHeight="1">
      <c r="B2076">
        <f>Tuts!B2073</f>
        <v>0</v>
      </c>
      <c r="C2076" s="13">
        <f>Tuts!E2073</f>
        <v>0</v>
      </c>
      <c r="D2076" s="18">
        <f>Tuts!J2073</f>
        <v>0</v>
      </c>
      <c r="E2076" s="13">
        <f>Tuts!D2073</f>
        <v>0</v>
      </c>
    </row>
    <row r="2077" spans="2:5" ht="15.75" hidden="1" customHeight="1">
      <c r="B2077">
        <f>Tuts!B2074</f>
        <v>0</v>
      </c>
      <c r="C2077" s="13">
        <f>Tuts!E2074</f>
        <v>0</v>
      </c>
      <c r="D2077" s="18">
        <f>Tuts!J2074</f>
        <v>0</v>
      </c>
      <c r="E2077" s="13">
        <f>Tuts!D2074</f>
        <v>0</v>
      </c>
    </row>
    <row r="2078" spans="2:5" ht="15.75" hidden="1" customHeight="1">
      <c r="B2078">
        <f>Tuts!B2075</f>
        <v>0</v>
      </c>
      <c r="C2078" s="13">
        <f>Tuts!E2075</f>
        <v>0</v>
      </c>
      <c r="D2078" s="18">
        <f>Tuts!J2075</f>
        <v>0</v>
      </c>
      <c r="E2078" s="13">
        <f>Tuts!D2075</f>
        <v>0</v>
      </c>
    </row>
    <row r="2079" spans="2:5" ht="15.75" hidden="1" customHeight="1">
      <c r="B2079">
        <f>Tuts!B2076</f>
        <v>0</v>
      </c>
      <c r="C2079" s="13">
        <f>Tuts!E2076</f>
        <v>0</v>
      </c>
      <c r="D2079" s="18">
        <f>Tuts!J2076</f>
        <v>0</v>
      </c>
      <c r="E2079" s="13">
        <f>Tuts!D2076</f>
        <v>0</v>
      </c>
    </row>
    <row r="2080" spans="2:5" ht="15.75" hidden="1" customHeight="1">
      <c r="B2080">
        <f>Tuts!B2077</f>
        <v>0</v>
      </c>
      <c r="C2080" s="13">
        <f>Tuts!E2077</f>
        <v>0</v>
      </c>
      <c r="D2080" s="18">
        <f>Tuts!J2077</f>
        <v>0</v>
      </c>
      <c r="E2080" s="13">
        <f>Tuts!D2077</f>
        <v>0</v>
      </c>
    </row>
    <row r="2081" spans="2:5" ht="15.75" hidden="1" customHeight="1">
      <c r="B2081">
        <f>Tuts!B2078</f>
        <v>0</v>
      </c>
      <c r="C2081" s="13">
        <f>Tuts!E2078</f>
        <v>0</v>
      </c>
      <c r="D2081" s="18">
        <f>Tuts!J2078</f>
        <v>0</v>
      </c>
      <c r="E2081" s="13">
        <f>Tuts!D2078</f>
        <v>0</v>
      </c>
    </row>
    <row r="2082" spans="2:5" ht="15.75" hidden="1" customHeight="1">
      <c r="B2082">
        <f>Tuts!B2079</f>
        <v>0</v>
      </c>
      <c r="C2082" s="13">
        <f>Tuts!E2079</f>
        <v>0</v>
      </c>
      <c r="D2082" s="18">
        <f>Tuts!J2079</f>
        <v>0</v>
      </c>
      <c r="E2082" s="13">
        <f>Tuts!D2079</f>
        <v>0</v>
      </c>
    </row>
    <row r="2083" spans="2:5" ht="15.75" hidden="1" customHeight="1">
      <c r="B2083">
        <f>Tuts!B2080</f>
        <v>0</v>
      </c>
      <c r="C2083" s="13">
        <f>Tuts!E2080</f>
        <v>0</v>
      </c>
      <c r="D2083" s="18">
        <f>Tuts!J2080</f>
        <v>0</v>
      </c>
      <c r="E2083" s="13">
        <f>Tuts!D2080</f>
        <v>0</v>
      </c>
    </row>
    <row r="2084" spans="2:5" ht="15.75" hidden="1" customHeight="1">
      <c r="B2084">
        <f>Tuts!B2081</f>
        <v>0</v>
      </c>
      <c r="C2084" s="13">
        <f>Tuts!E2081</f>
        <v>0</v>
      </c>
      <c r="D2084" s="18">
        <f>Tuts!J2081</f>
        <v>0</v>
      </c>
      <c r="E2084" s="13">
        <f>Tuts!D2081</f>
        <v>0</v>
      </c>
    </row>
    <row r="2085" spans="2:5" ht="15.75" hidden="1" customHeight="1">
      <c r="B2085">
        <f>Tuts!B2082</f>
        <v>0</v>
      </c>
      <c r="C2085" s="13">
        <f>Tuts!E2082</f>
        <v>0</v>
      </c>
      <c r="D2085" s="18">
        <f>Tuts!J2082</f>
        <v>0</v>
      </c>
      <c r="E2085" s="13">
        <f>Tuts!D2082</f>
        <v>0</v>
      </c>
    </row>
    <row r="2086" spans="2:5" ht="15.75" hidden="1" customHeight="1">
      <c r="B2086">
        <f>Tuts!B2083</f>
        <v>0</v>
      </c>
      <c r="C2086" s="13">
        <f>Tuts!E2083</f>
        <v>0</v>
      </c>
      <c r="D2086" s="18">
        <f>Tuts!J2083</f>
        <v>0</v>
      </c>
      <c r="E2086" s="13">
        <f>Tuts!D2083</f>
        <v>0</v>
      </c>
    </row>
    <row r="2087" spans="2:5" ht="15.75" hidden="1" customHeight="1">
      <c r="B2087">
        <f>Tuts!B2084</f>
        <v>0</v>
      </c>
      <c r="C2087" s="13">
        <f>Tuts!E2084</f>
        <v>0</v>
      </c>
      <c r="D2087" s="18">
        <f>Tuts!J2084</f>
        <v>0</v>
      </c>
      <c r="E2087" s="13">
        <f>Tuts!D2084</f>
        <v>0</v>
      </c>
    </row>
    <row r="2088" spans="2:5" ht="15.75" hidden="1" customHeight="1">
      <c r="B2088">
        <f>Tuts!B2085</f>
        <v>0</v>
      </c>
      <c r="C2088" s="13">
        <f>Tuts!E2085</f>
        <v>0</v>
      </c>
      <c r="D2088" s="18">
        <f>Tuts!J2085</f>
        <v>0</v>
      </c>
      <c r="E2088" s="13">
        <f>Tuts!D2085</f>
        <v>0</v>
      </c>
    </row>
    <row r="2089" spans="2:5" ht="15.75" hidden="1" customHeight="1">
      <c r="B2089">
        <f>Tuts!B2086</f>
        <v>0</v>
      </c>
      <c r="C2089" s="13">
        <f>Tuts!E2086</f>
        <v>0</v>
      </c>
      <c r="D2089" s="18">
        <f>Tuts!J2086</f>
        <v>0</v>
      </c>
      <c r="E2089" s="13">
        <f>Tuts!D2086</f>
        <v>0</v>
      </c>
    </row>
    <row r="2090" spans="2:5" ht="15.75" hidden="1" customHeight="1">
      <c r="B2090">
        <f>Tuts!B2087</f>
        <v>0</v>
      </c>
      <c r="C2090" s="13">
        <f>Tuts!E2087</f>
        <v>0</v>
      </c>
      <c r="D2090" s="18">
        <f>Tuts!J2087</f>
        <v>0</v>
      </c>
      <c r="E2090" s="13">
        <f>Tuts!D2087</f>
        <v>0</v>
      </c>
    </row>
    <row r="2091" spans="2:5" ht="15.75" hidden="1" customHeight="1">
      <c r="B2091">
        <f>Tuts!B2088</f>
        <v>0</v>
      </c>
      <c r="C2091" s="13">
        <f>Tuts!E2088</f>
        <v>0</v>
      </c>
      <c r="D2091" s="18">
        <f>Tuts!J2088</f>
        <v>0</v>
      </c>
      <c r="E2091" s="13">
        <f>Tuts!D2088</f>
        <v>0</v>
      </c>
    </row>
    <row r="2092" spans="2:5" ht="15.75" hidden="1" customHeight="1">
      <c r="B2092">
        <f>Tuts!B2089</f>
        <v>0</v>
      </c>
      <c r="C2092" s="13">
        <f>Tuts!E2089</f>
        <v>0</v>
      </c>
      <c r="D2092" s="18">
        <f>Tuts!J2089</f>
        <v>0</v>
      </c>
      <c r="E2092" s="13">
        <f>Tuts!D2089</f>
        <v>0</v>
      </c>
    </row>
    <row r="2093" spans="2:5" ht="15.75" hidden="1" customHeight="1">
      <c r="B2093">
        <f>Tuts!B2090</f>
        <v>0</v>
      </c>
      <c r="C2093" s="13">
        <f>Tuts!E2090</f>
        <v>0</v>
      </c>
      <c r="D2093" s="18">
        <f>Tuts!J2090</f>
        <v>0</v>
      </c>
      <c r="E2093" s="13">
        <f>Tuts!D2090</f>
        <v>0</v>
      </c>
    </row>
    <row r="2094" spans="2:5" ht="15.75" hidden="1" customHeight="1">
      <c r="B2094">
        <f>Tuts!B2091</f>
        <v>0</v>
      </c>
      <c r="C2094" s="13">
        <f>Tuts!E2091</f>
        <v>0</v>
      </c>
      <c r="D2094" s="18">
        <f>Tuts!J2091</f>
        <v>0</v>
      </c>
      <c r="E2094" s="13">
        <f>Tuts!D2091</f>
        <v>0</v>
      </c>
    </row>
    <row r="2095" spans="2:5" ht="15.75" hidden="1" customHeight="1">
      <c r="B2095">
        <f>Tuts!B2092</f>
        <v>0</v>
      </c>
      <c r="C2095" s="13">
        <f>Tuts!E2092</f>
        <v>0</v>
      </c>
      <c r="D2095" s="18">
        <f>Tuts!J2092</f>
        <v>0</v>
      </c>
      <c r="E2095" s="13">
        <f>Tuts!D2092</f>
        <v>0</v>
      </c>
    </row>
    <row r="2096" spans="2:5" ht="15.75" hidden="1" customHeight="1">
      <c r="B2096">
        <f>Tuts!B2093</f>
        <v>0</v>
      </c>
      <c r="C2096" s="13">
        <f>Tuts!E2093</f>
        <v>0</v>
      </c>
      <c r="D2096" s="18">
        <f>Tuts!J2093</f>
        <v>0</v>
      </c>
      <c r="E2096" s="13">
        <f>Tuts!D2093</f>
        <v>0</v>
      </c>
    </row>
    <row r="2097" spans="2:5" ht="15.75" hidden="1" customHeight="1">
      <c r="B2097">
        <f>Tuts!B2094</f>
        <v>0</v>
      </c>
      <c r="C2097" s="13">
        <f>Tuts!E2094</f>
        <v>0</v>
      </c>
      <c r="D2097" s="18">
        <f>Tuts!J2094</f>
        <v>0</v>
      </c>
      <c r="E2097" s="13">
        <f>Tuts!D2094</f>
        <v>0</v>
      </c>
    </row>
    <row r="2098" spans="2:5" ht="15.75" hidden="1" customHeight="1">
      <c r="B2098">
        <f>Tuts!B2095</f>
        <v>0</v>
      </c>
      <c r="C2098" s="13">
        <f>Tuts!E2095</f>
        <v>0</v>
      </c>
      <c r="D2098" s="18">
        <f>Tuts!J2095</f>
        <v>0</v>
      </c>
      <c r="E2098" s="13">
        <f>Tuts!D2095</f>
        <v>0</v>
      </c>
    </row>
    <row r="2099" spans="2:5" ht="15.75" hidden="1" customHeight="1">
      <c r="B2099">
        <f>Tuts!B2096</f>
        <v>0</v>
      </c>
      <c r="C2099" s="13">
        <f>Tuts!E2096</f>
        <v>0</v>
      </c>
      <c r="D2099" s="18">
        <f>Tuts!J2096</f>
        <v>0</v>
      </c>
      <c r="E2099" s="13">
        <f>Tuts!D2096</f>
        <v>0</v>
      </c>
    </row>
    <row r="2100" spans="2:5" ht="15.75" hidden="1" customHeight="1">
      <c r="B2100">
        <f>Tuts!B2097</f>
        <v>0</v>
      </c>
      <c r="C2100" s="13">
        <f>Tuts!E2097</f>
        <v>0</v>
      </c>
      <c r="D2100" s="18">
        <f>Tuts!J2097</f>
        <v>0</v>
      </c>
      <c r="E2100" s="13">
        <f>Tuts!D2097</f>
        <v>0</v>
      </c>
    </row>
    <row r="2101" spans="2:5" ht="15.75" hidden="1" customHeight="1">
      <c r="B2101">
        <f>Tuts!B2098</f>
        <v>0</v>
      </c>
      <c r="C2101" s="13">
        <f>Tuts!E2098</f>
        <v>0</v>
      </c>
      <c r="D2101" s="18">
        <f>Tuts!J2098</f>
        <v>0</v>
      </c>
      <c r="E2101" s="13">
        <f>Tuts!D2098</f>
        <v>0</v>
      </c>
    </row>
    <row r="2102" spans="2:5" ht="15.75" hidden="1" customHeight="1">
      <c r="B2102">
        <f>Tuts!B2099</f>
        <v>0</v>
      </c>
      <c r="C2102" s="13">
        <f>Tuts!E2099</f>
        <v>0</v>
      </c>
      <c r="D2102" s="18">
        <f>Tuts!J2099</f>
        <v>0</v>
      </c>
      <c r="E2102" s="13">
        <f>Tuts!D2099</f>
        <v>0</v>
      </c>
    </row>
    <row r="2103" spans="2:5" ht="15.75" hidden="1" customHeight="1">
      <c r="B2103">
        <f>Tuts!B2100</f>
        <v>0</v>
      </c>
      <c r="C2103" s="13">
        <f>Tuts!E2100</f>
        <v>0</v>
      </c>
      <c r="D2103" s="18">
        <f>Tuts!J2100</f>
        <v>0</v>
      </c>
      <c r="E2103" s="13">
        <f>Tuts!D2100</f>
        <v>0</v>
      </c>
    </row>
    <row r="2104" spans="2:5" ht="15.75" hidden="1" customHeight="1">
      <c r="B2104">
        <f>Tuts!B2101</f>
        <v>0</v>
      </c>
      <c r="C2104" s="13">
        <f>Tuts!E2101</f>
        <v>0</v>
      </c>
      <c r="D2104" s="18">
        <f>Tuts!J2101</f>
        <v>0</v>
      </c>
      <c r="E2104" s="13">
        <f>Tuts!D2101</f>
        <v>0</v>
      </c>
    </row>
    <row r="2105" spans="2:5" ht="15.75" hidden="1" customHeight="1">
      <c r="B2105">
        <f>Tuts!B2102</f>
        <v>0</v>
      </c>
      <c r="C2105" s="13">
        <f>Tuts!E2102</f>
        <v>0</v>
      </c>
      <c r="D2105" s="18">
        <f>Tuts!J2102</f>
        <v>0</v>
      </c>
      <c r="E2105" s="13">
        <f>Tuts!D2102</f>
        <v>0</v>
      </c>
    </row>
    <row r="2106" spans="2:5" ht="15.75" hidden="1" customHeight="1">
      <c r="B2106">
        <f>Tuts!B2103</f>
        <v>0</v>
      </c>
      <c r="C2106" s="13">
        <f>Tuts!E2103</f>
        <v>0</v>
      </c>
      <c r="D2106" s="18">
        <f>Tuts!J2103</f>
        <v>0</v>
      </c>
      <c r="E2106" s="13">
        <f>Tuts!D2103</f>
        <v>0</v>
      </c>
    </row>
    <row r="2107" spans="2:5" ht="15.75" hidden="1" customHeight="1">
      <c r="B2107">
        <f>Tuts!B2104</f>
        <v>0</v>
      </c>
      <c r="C2107" s="13">
        <f>Tuts!E2104</f>
        <v>0</v>
      </c>
      <c r="D2107" s="18">
        <f>Tuts!J2104</f>
        <v>0</v>
      </c>
      <c r="E2107" s="13">
        <f>Tuts!D2104</f>
        <v>0</v>
      </c>
    </row>
    <row r="2108" spans="2:5" ht="15.75" hidden="1" customHeight="1">
      <c r="B2108">
        <f>Tuts!B2105</f>
        <v>0</v>
      </c>
      <c r="C2108" s="13">
        <f>Tuts!E2105</f>
        <v>0</v>
      </c>
      <c r="D2108" s="18">
        <f>Tuts!J2105</f>
        <v>0</v>
      </c>
      <c r="E2108" s="13">
        <f>Tuts!D2105</f>
        <v>0</v>
      </c>
    </row>
    <row r="2109" spans="2:5" ht="15.75" hidden="1" customHeight="1">
      <c r="B2109">
        <f>Tuts!B2106</f>
        <v>0</v>
      </c>
      <c r="C2109" s="13">
        <f>Tuts!E2106</f>
        <v>0</v>
      </c>
      <c r="D2109" s="18">
        <f>Tuts!J2106</f>
        <v>0</v>
      </c>
      <c r="E2109" s="13">
        <f>Tuts!D2106</f>
        <v>0</v>
      </c>
    </row>
    <row r="2110" spans="2:5" ht="15.75" hidden="1" customHeight="1">
      <c r="B2110">
        <f>Tuts!B2107</f>
        <v>0</v>
      </c>
      <c r="C2110" s="13">
        <f>Tuts!E2107</f>
        <v>0</v>
      </c>
      <c r="D2110" s="18">
        <f>Tuts!J2107</f>
        <v>0</v>
      </c>
      <c r="E2110" s="13">
        <f>Tuts!D2107</f>
        <v>0</v>
      </c>
    </row>
    <row r="2111" spans="2:5" ht="15.75" hidden="1" customHeight="1">
      <c r="B2111">
        <f>Tuts!B2108</f>
        <v>0</v>
      </c>
      <c r="C2111" s="13">
        <f>Tuts!E2108</f>
        <v>0</v>
      </c>
      <c r="D2111" s="18">
        <f>Tuts!J2108</f>
        <v>0</v>
      </c>
      <c r="E2111" s="13">
        <f>Tuts!D2108</f>
        <v>0</v>
      </c>
    </row>
    <row r="2112" spans="2:5" ht="15.75" hidden="1" customHeight="1">
      <c r="B2112">
        <f>Tuts!B2109</f>
        <v>0</v>
      </c>
      <c r="C2112" s="13">
        <f>Tuts!E2109</f>
        <v>0</v>
      </c>
      <c r="D2112" s="18">
        <f>Tuts!J2109</f>
        <v>0</v>
      </c>
      <c r="E2112" s="13">
        <f>Tuts!D2109</f>
        <v>0</v>
      </c>
    </row>
    <row r="2113" spans="2:5" ht="15.75" hidden="1" customHeight="1">
      <c r="B2113">
        <f>Tuts!B2110</f>
        <v>0</v>
      </c>
      <c r="C2113" s="13">
        <f>Tuts!E2110</f>
        <v>0</v>
      </c>
      <c r="D2113" s="18">
        <f>Tuts!J2110</f>
        <v>0</v>
      </c>
      <c r="E2113" s="13">
        <f>Tuts!D2110</f>
        <v>0</v>
      </c>
    </row>
    <row r="2114" spans="2:5" ht="15.75" hidden="1" customHeight="1">
      <c r="B2114">
        <f>Tuts!B2111</f>
        <v>0</v>
      </c>
      <c r="C2114" s="13">
        <f>Tuts!E2111</f>
        <v>0</v>
      </c>
      <c r="D2114" s="18">
        <f>Tuts!J2111</f>
        <v>0</v>
      </c>
      <c r="E2114" s="13">
        <f>Tuts!D2111</f>
        <v>0</v>
      </c>
    </row>
    <row r="2115" spans="2:5" ht="15.75" hidden="1" customHeight="1">
      <c r="B2115">
        <f>Tuts!B2112</f>
        <v>0</v>
      </c>
      <c r="C2115" s="13">
        <f>Tuts!E2112</f>
        <v>0</v>
      </c>
      <c r="D2115" s="18">
        <f>Tuts!J2112</f>
        <v>0</v>
      </c>
      <c r="E2115" s="13">
        <f>Tuts!D2112</f>
        <v>0</v>
      </c>
    </row>
    <row r="2116" spans="2:5" ht="15.75" hidden="1" customHeight="1">
      <c r="B2116">
        <f>Tuts!B2113</f>
        <v>0</v>
      </c>
      <c r="C2116" s="13">
        <f>Tuts!E2113</f>
        <v>0</v>
      </c>
      <c r="D2116" s="18">
        <f>Tuts!J2113</f>
        <v>0</v>
      </c>
      <c r="E2116" s="13">
        <f>Tuts!D2113</f>
        <v>0</v>
      </c>
    </row>
    <row r="2117" spans="2:5" ht="15.75" hidden="1" customHeight="1">
      <c r="B2117">
        <f>Tuts!B2114</f>
        <v>0</v>
      </c>
      <c r="C2117" s="13">
        <f>Tuts!E2114</f>
        <v>0</v>
      </c>
      <c r="D2117" s="18">
        <f>Tuts!J2114</f>
        <v>0</v>
      </c>
      <c r="E2117" s="13">
        <f>Tuts!D2114</f>
        <v>0</v>
      </c>
    </row>
    <row r="2118" spans="2:5" ht="15.75" hidden="1" customHeight="1">
      <c r="B2118">
        <f>Tuts!B2115</f>
        <v>0</v>
      </c>
      <c r="C2118" s="13">
        <f>Tuts!E2115</f>
        <v>0</v>
      </c>
      <c r="D2118" s="18">
        <f>Tuts!J2115</f>
        <v>0</v>
      </c>
      <c r="E2118" s="13">
        <f>Tuts!D2115</f>
        <v>0</v>
      </c>
    </row>
    <row r="2119" spans="2:5" ht="15.75" hidden="1" customHeight="1">
      <c r="B2119">
        <f>Tuts!B2116</f>
        <v>0</v>
      </c>
      <c r="C2119" s="13">
        <f>Tuts!E2116</f>
        <v>0</v>
      </c>
      <c r="D2119" s="18">
        <f>Tuts!J2116</f>
        <v>0</v>
      </c>
      <c r="E2119" s="13">
        <f>Tuts!D2116</f>
        <v>0</v>
      </c>
    </row>
    <row r="2120" spans="2:5" ht="15.75" hidden="1" customHeight="1">
      <c r="B2120">
        <f>Tuts!B2117</f>
        <v>0</v>
      </c>
      <c r="C2120" s="13">
        <f>Tuts!E2117</f>
        <v>0</v>
      </c>
      <c r="D2120" s="18">
        <f>Tuts!J2117</f>
        <v>0</v>
      </c>
      <c r="E2120" s="13">
        <f>Tuts!D2117</f>
        <v>0</v>
      </c>
    </row>
    <row r="2121" spans="2:5" ht="15.75" hidden="1" customHeight="1">
      <c r="B2121">
        <f>Tuts!B2118</f>
        <v>0</v>
      </c>
      <c r="C2121" s="13">
        <f>Tuts!E2118</f>
        <v>0</v>
      </c>
      <c r="D2121" s="18">
        <f>Tuts!J2118</f>
        <v>0</v>
      </c>
      <c r="E2121" s="13">
        <f>Tuts!D2118</f>
        <v>0</v>
      </c>
    </row>
    <row r="2122" spans="2:5" ht="15.75" hidden="1" customHeight="1">
      <c r="B2122">
        <f>Tuts!B2119</f>
        <v>0</v>
      </c>
      <c r="C2122" s="13">
        <f>Tuts!E2119</f>
        <v>0</v>
      </c>
      <c r="D2122" s="18">
        <f>Tuts!J2119</f>
        <v>0</v>
      </c>
      <c r="E2122" s="13">
        <f>Tuts!D2119</f>
        <v>0</v>
      </c>
    </row>
    <row r="2123" spans="2:5" ht="15.75" hidden="1" customHeight="1">
      <c r="B2123">
        <f>Tuts!B2120</f>
        <v>0</v>
      </c>
      <c r="C2123" s="13">
        <f>Tuts!E2120</f>
        <v>0</v>
      </c>
      <c r="D2123" s="18">
        <f>Tuts!J2120</f>
        <v>0</v>
      </c>
      <c r="E2123" s="13">
        <f>Tuts!D2120</f>
        <v>0</v>
      </c>
    </row>
    <row r="2124" spans="2:5" ht="15.75" hidden="1" customHeight="1">
      <c r="B2124">
        <f>Tuts!B2121</f>
        <v>0</v>
      </c>
      <c r="C2124" s="13">
        <f>Tuts!E2121</f>
        <v>0</v>
      </c>
      <c r="D2124" s="18">
        <f>Tuts!J2121</f>
        <v>0</v>
      </c>
      <c r="E2124" s="13">
        <f>Tuts!D2121</f>
        <v>0</v>
      </c>
    </row>
    <row r="2125" spans="2:5" ht="15.75" hidden="1" customHeight="1">
      <c r="B2125">
        <f>Tuts!B2122</f>
        <v>0</v>
      </c>
      <c r="C2125" s="13">
        <f>Tuts!E2122</f>
        <v>0</v>
      </c>
      <c r="D2125" s="18">
        <f>Tuts!J2122</f>
        <v>0</v>
      </c>
      <c r="E2125" s="13">
        <f>Tuts!D2122</f>
        <v>0</v>
      </c>
    </row>
    <row r="2126" spans="2:5" ht="15.75" hidden="1" customHeight="1">
      <c r="B2126">
        <f>Tuts!B2123</f>
        <v>0</v>
      </c>
      <c r="C2126" s="13">
        <f>Tuts!E2123</f>
        <v>0</v>
      </c>
      <c r="D2126" s="18">
        <f>Tuts!J2123</f>
        <v>0</v>
      </c>
      <c r="E2126" s="13">
        <f>Tuts!D2123</f>
        <v>0</v>
      </c>
    </row>
    <row r="2127" spans="2:5" ht="15.75" hidden="1" customHeight="1">
      <c r="B2127">
        <f>Tuts!B2124</f>
        <v>0</v>
      </c>
      <c r="C2127" s="13">
        <f>Tuts!E2124</f>
        <v>0</v>
      </c>
      <c r="D2127" s="18">
        <f>Tuts!J2124</f>
        <v>0</v>
      </c>
      <c r="E2127" s="13">
        <f>Tuts!D2124</f>
        <v>0</v>
      </c>
    </row>
    <row r="2128" spans="2:5" ht="15.75" hidden="1" customHeight="1">
      <c r="B2128">
        <f>Tuts!B2125</f>
        <v>0</v>
      </c>
      <c r="C2128" s="13">
        <f>Tuts!E2125</f>
        <v>0</v>
      </c>
      <c r="D2128" s="18">
        <f>Tuts!J2125</f>
        <v>0</v>
      </c>
      <c r="E2128" s="13">
        <f>Tuts!D2125</f>
        <v>0</v>
      </c>
    </row>
    <row r="2129" spans="2:5" ht="15.75" hidden="1" customHeight="1">
      <c r="B2129">
        <f>Tuts!B2126</f>
        <v>0</v>
      </c>
      <c r="C2129" s="13">
        <f>Tuts!E2126</f>
        <v>0</v>
      </c>
      <c r="D2129" s="18">
        <f>Tuts!J2126</f>
        <v>0</v>
      </c>
      <c r="E2129" s="13">
        <f>Tuts!D2126</f>
        <v>0</v>
      </c>
    </row>
    <row r="2130" spans="2:5" ht="15.75" hidden="1" customHeight="1">
      <c r="B2130">
        <f>Tuts!B2127</f>
        <v>0</v>
      </c>
      <c r="C2130" s="13">
        <f>Tuts!E2127</f>
        <v>0</v>
      </c>
      <c r="D2130" s="18">
        <f>Tuts!J2127</f>
        <v>0</v>
      </c>
      <c r="E2130" s="13">
        <f>Tuts!D2127</f>
        <v>0</v>
      </c>
    </row>
    <row r="2131" spans="2:5" ht="15.75" hidden="1" customHeight="1">
      <c r="B2131">
        <f>Tuts!B2128</f>
        <v>0</v>
      </c>
      <c r="C2131" s="13">
        <f>Tuts!E2128</f>
        <v>0</v>
      </c>
      <c r="D2131" s="18">
        <f>Tuts!J2128</f>
        <v>0</v>
      </c>
      <c r="E2131" s="13">
        <f>Tuts!D2128</f>
        <v>0</v>
      </c>
    </row>
    <row r="2132" spans="2:5" ht="15.75" hidden="1" customHeight="1">
      <c r="B2132">
        <f>Tuts!B2129</f>
        <v>0</v>
      </c>
      <c r="C2132" s="13">
        <f>Tuts!E2129</f>
        <v>0</v>
      </c>
      <c r="D2132" s="18">
        <f>Tuts!J2129</f>
        <v>0</v>
      </c>
      <c r="E2132" s="13">
        <f>Tuts!D2129</f>
        <v>0</v>
      </c>
    </row>
    <row r="2133" spans="2:5" ht="15.75" hidden="1" customHeight="1">
      <c r="B2133">
        <f>Tuts!B2130</f>
        <v>0</v>
      </c>
      <c r="C2133" s="13">
        <f>Tuts!E2130</f>
        <v>0</v>
      </c>
      <c r="D2133" s="18">
        <f>Tuts!J2130</f>
        <v>0</v>
      </c>
      <c r="E2133" s="13">
        <f>Tuts!D2130</f>
        <v>0</v>
      </c>
    </row>
    <row r="2134" spans="2:5" ht="15.75" hidden="1" customHeight="1">
      <c r="B2134">
        <f>Tuts!B2131</f>
        <v>0</v>
      </c>
      <c r="C2134" s="13">
        <f>Tuts!E2131</f>
        <v>0</v>
      </c>
      <c r="D2134" s="18">
        <f>Tuts!J2131</f>
        <v>0</v>
      </c>
      <c r="E2134" s="13">
        <f>Tuts!D2131</f>
        <v>0</v>
      </c>
    </row>
    <row r="2135" spans="2:5" ht="15.75" hidden="1" customHeight="1">
      <c r="B2135">
        <f>Tuts!B2132</f>
        <v>0</v>
      </c>
      <c r="C2135" s="13">
        <f>Tuts!E2132</f>
        <v>0</v>
      </c>
      <c r="D2135" s="18">
        <f>Tuts!J2132</f>
        <v>0</v>
      </c>
      <c r="E2135" s="13">
        <f>Tuts!D2132</f>
        <v>0</v>
      </c>
    </row>
    <row r="2136" spans="2:5" ht="15.75" hidden="1" customHeight="1">
      <c r="B2136">
        <f>Tuts!B2133</f>
        <v>0</v>
      </c>
      <c r="C2136" s="13">
        <f>Tuts!E2133</f>
        <v>0</v>
      </c>
      <c r="D2136" s="18">
        <f>Tuts!J2133</f>
        <v>0</v>
      </c>
      <c r="E2136" s="13">
        <f>Tuts!D2133</f>
        <v>0</v>
      </c>
    </row>
    <row r="2137" spans="2:5" ht="15.75" hidden="1" customHeight="1">
      <c r="B2137">
        <f>Tuts!B2134</f>
        <v>0</v>
      </c>
      <c r="C2137" s="13">
        <f>Tuts!E2134</f>
        <v>0</v>
      </c>
      <c r="D2137" s="18">
        <f>Tuts!J2134</f>
        <v>0</v>
      </c>
      <c r="E2137" s="13">
        <f>Tuts!D2134</f>
        <v>0</v>
      </c>
    </row>
    <row r="2138" spans="2:5" ht="15.75" hidden="1" customHeight="1">
      <c r="B2138">
        <f>Tuts!B2135</f>
        <v>0</v>
      </c>
      <c r="C2138" s="13">
        <f>Tuts!E2135</f>
        <v>0</v>
      </c>
      <c r="D2138" s="18">
        <f>Tuts!J2135</f>
        <v>0</v>
      </c>
      <c r="E2138" s="13">
        <f>Tuts!D2135</f>
        <v>0</v>
      </c>
    </row>
    <row r="2139" spans="2:5" ht="15.75" hidden="1" customHeight="1">
      <c r="B2139">
        <f>Tuts!B2136</f>
        <v>0</v>
      </c>
      <c r="C2139" s="13">
        <f>Tuts!E2136</f>
        <v>0</v>
      </c>
      <c r="D2139" s="18">
        <f>Tuts!J2136</f>
        <v>0</v>
      </c>
      <c r="E2139" s="13">
        <f>Tuts!D2136</f>
        <v>0</v>
      </c>
    </row>
    <row r="2140" spans="2:5" ht="15.75" hidden="1" customHeight="1">
      <c r="B2140">
        <f>Tuts!B2137</f>
        <v>0</v>
      </c>
      <c r="C2140" s="13">
        <f>Tuts!E2137</f>
        <v>0</v>
      </c>
      <c r="D2140" s="18">
        <f>Tuts!J2137</f>
        <v>0</v>
      </c>
      <c r="E2140" s="13">
        <f>Tuts!D2137</f>
        <v>0</v>
      </c>
    </row>
    <row r="2141" spans="2:5" ht="15.75" hidden="1" customHeight="1">
      <c r="B2141">
        <f>Tuts!B2138</f>
        <v>0</v>
      </c>
      <c r="C2141" s="13">
        <f>Tuts!E2138</f>
        <v>0</v>
      </c>
      <c r="D2141" s="18">
        <f>Tuts!J2138</f>
        <v>0</v>
      </c>
      <c r="E2141" s="13">
        <f>Tuts!D2138</f>
        <v>0</v>
      </c>
    </row>
    <row r="2142" spans="2:5" ht="15.75" hidden="1" customHeight="1">
      <c r="B2142">
        <f>Tuts!B2139</f>
        <v>0</v>
      </c>
      <c r="C2142" s="13">
        <f>Tuts!E2139</f>
        <v>0</v>
      </c>
      <c r="D2142" s="18">
        <f>Tuts!J2139</f>
        <v>0</v>
      </c>
      <c r="E2142" s="13">
        <f>Tuts!D2139</f>
        <v>0</v>
      </c>
    </row>
    <row r="2143" spans="2:5" ht="15.75" hidden="1" customHeight="1">
      <c r="B2143">
        <f>Tuts!B2140</f>
        <v>0</v>
      </c>
      <c r="C2143" s="13">
        <f>Tuts!E2140</f>
        <v>0</v>
      </c>
      <c r="D2143" s="18">
        <f>Tuts!J2140</f>
        <v>0</v>
      </c>
      <c r="E2143" s="13">
        <f>Tuts!D2140</f>
        <v>0</v>
      </c>
    </row>
    <row r="2144" spans="2:5" ht="15.75" hidden="1" customHeight="1">
      <c r="B2144">
        <f>Tuts!B2141</f>
        <v>0</v>
      </c>
      <c r="C2144" s="13">
        <f>Tuts!E2141</f>
        <v>0</v>
      </c>
      <c r="D2144" s="18">
        <f>Tuts!J2141</f>
        <v>0</v>
      </c>
      <c r="E2144" s="13">
        <f>Tuts!D2141</f>
        <v>0</v>
      </c>
    </row>
    <row r="2145" spans="2:5" ht="15.75" hidden="1" customHeight="1">
      <c r="B2145">
        <f>Tuts!B2142</f>
        <v>0</v>
      </c>
      <c r="C2145" s="13">
        <f>Tuts!E2142</f>
        <v>0</v>
      </c>
      <c r="D2145" s="18">
        <f>Tuts!J2142</f>
        <v>0</v>
      </c>
      <c r="E2145" s="13">
        <f>Tuts!D2142</f>
        <v>0</v>
      </c>
    </row>
    <row r="2146" spans="2:5" ht="15.75" hidden="1" customHeight="1">
      <c r="B2146">
        <f>Tuts!B2143</f>
        <v>0</v>
      </c>
      <c r="C2146" s="13">
        <f>Tuts!E2143</f>
        <v>0</v>
      </c>
      <c r="D2146" s="18">
        <f>Tuts!J2143</f>
        <v>0</v>
      </c>
      <c r="E2146" s="13">
        <f>Tuts!D2143</f>
        <v>0</v>
      </c>
    </row>
    <row r="2147" spans="2:5" ht="15.75" hidden="1" customHeight="1">
      <c r="B2147">
        <f>Tuts!B2144</f>
        <v>0</v>
      </c>
      <c r="C2147" s="13">
        <f>Tuts!E2144</f>
        <v>0</v>
      </c>
      <c r="D2147" s="18">
        <f>Tuts!J2144</f>
        <v>0</v>
      </c>
      <c r="E2147" s="13">
        <f>Tuts!D2144</f>
        <v>0</v>
      </c>
    </row>
    <row r="2148" spans="2:5" ht="15.75" hidden="1" customHeight="1">
      <c r="B2148">
        <f>Tuts!B2145</f>
        <v>0</v>
      </c>
      <c r="C2148" s="13">
        <f>Tuts!E2145</f>
        <v>0</v>
      </c>
      <c r="D2148" s="18">
        <f>Tuts!J2145</f>
        <v>0</v>
      </c>
      <c r="E2148" s="13">
        <f>Tuts!D2145</f>
        <v>0</v>
      </c>
    </row>
    <row r="2149" spans="2:5" ht="15.75" hidden="1" customHeight="1">
      <c r="B2149">
        <f>Tuts!B2146</f>
        <v>0</v>
      </c>
      <c r="C2149" s="13">
        <f>Tuts!E2146</f>
        <v>0</v>
      </c>
      <c r="D2149" s="18">
        <f>Tuts!J2146</f>
        <v>0</v>
      </c>
      <c r="E2149" s="13">
        <f>Tuts!D2146</f>
        <v>0</v>
      </c>
    </row>
    <row r="2150" spans="2:5" ht="15.75" hidden="1" customHeight="1">
      <c r="B2150">
        <f>Tuts!B2147</f>
        <v>0</v>
      </c>
      <c r="C2150" s="13">
        <f>Tuts!E2147</f>
        <v>0</v>
      </c>
      <c r="D2150" s="18">
        <f>Tuts!J2147</f>
        <v>0</v>
      </c>
      <c r="E2150" s="13">
        <f>Tuts!D2147</f>
        <v>0</v>
      </c>
    </row>
    <row r="2151" spans="2:5" ht="15.75" hidden="1" customHeight="1">
      <c r="B2151">
        <f>Tuts!B2148</f>
        <v>0</v>
      </c>
      <c r="C2151" s="13">
        <f>Tuts!E2148</f>
        <v>0</v>
      </c>
      <c r="D2151" s="18">
        <f>Tuts!J2148</f>
        <v>0</v>
      </c>
      <c r="E2151" s="13">
        <f>Tuts!D2148</f>
        <v>0</v>
      </c>
    </row>
    <row r="2152" spans="2:5" ht="15.75" hidden="1" customHeight="1">
      <c r="B2152">
        <f>Tuts!B2149</f>
        <v>0</v>
      </c>
      <c r="C2152" s="13">
        <f>Tuts!E2149</f>
        <v>0</v>
      </c>
      <c r="D2152" s="18">
        <f>Tuts!J2149</f>
        <v>0</v>
      </c>
      <c r="E2152" s="13">
        <f>Tuts!D2149</f>
        <v>0</v>
      </c>
    </row>
    <row r="2153" spans="2:5" ht="15.75" hidden="1" customHeight="1">
      <c r="B2153">
        <f>Tuts!B2150</f>
        <v>0</v>
      </c>
      <c r="C2153" s="13">
        <f>Tuts!E2150</f>
        <v>0</v>
      </c>
      <c r="D2153" s="18">
        <f>Tuts!J2150</f>
        <v>0</v>
      </c>
      <c r="E2153" s="13">
        <f>Tuts!D2150</f>
        <v>0</v>
      </c>
    </row>
    <row r="2154" spans="2:5" ht="15.75" hidden="1" customHeight="1">
      <c r="B2154">
        <f>Tuts!B2151</f>
        <v>0</v>
      </c>
      <c r="C2154" s="13">
        <f>Tuts!E2151</f>
        <v>0</v>
      </c>
      <c r="D2154" s="18">
        <f>Tuts!J2151</f>
        <v>0</v>
      </c>
      <c r="E2154" s="13">
        <f>Tuts!D2151</f>
        <v>0</v>
      </c>
    </row>
    <row r="2155" spans="2:5" ht="15.75" hidden="1" customHeight="1">
      <c r="B2155">
        <f>Tuts!B2152</f>
        <v>0</v>
      </c>
      <c r="C2155" s="13">
        <f>Tuts!E2152</f>
        <v>0</v>
      </c>
      <c r="D2155" s="18">
        <f>Tuts!J2152</f>
        <v>0</v>
      </c>
      <c r="E2155" s="13">
        <f>Tuts!D2152</f>
        <v>0</v>
      </c>
    </row>
    <row r="2156" spans="2:5" ht="15.75" hidden="1" customHeight="1">
      <c r="B2156">
        <f>Tuts!B2153</f>
        <v>0</v>
      </c>
      <c r="C2156" s="13">
        <f>Tuts!E2153</f>
        <v>0</v>
      </c>
      <c r="D2156" s="18">
        <f>Tuts!J2153</f>
        <v>0</v>
      </c>
      <c r="E2156" s="13">
        <f>Tuts!D2153</f>
        <v>0</v>
      </c>
    </row>
    <row r="2157" spans="2:5" ht="15.75" hidden="1" customHeight="1">
      <c r="B2157">
        <f>Tuts!B2154</f>
        <v>0</v>
      </c>
      <c r="C2157" s="13">
        <f>Tuts!E2154</f>
        <v>0</v>
      </c>
      <c r="D2157" s="18">
        <f>Tuts!J2154</f>
        <v>0</v>
      </c>
      <c r="E2157" s="13">
        <f>Tuts!D2154</f>
        <v>0</v>
      </c>
    </row>
    <row r="2158" spans="2:5" ht="15.75" hidden="1" customHeight="1">
      <c r="B2158">
        <f>Tuts!B2155</f>
        <v>0</v>
      </c>
      <c r="C2158" s="13">
        <f>Tuts!E2155</f>
        <v>0</v>
      </c>
      <c r="D2158" s="18">
        <f>Tuts!J2155</f>
        <v>0</v>
      </c>
      <c r="E2158" s="13">
        <f>Tuts!D2155</f>
        <v>0</v>
      </c>
    </row>
    <row r="2159" spans="2:5" ht="15.75" hidden="1" customHeight="1">
      <c r="B2159">
        <f>Tuts!B2156</f>
        <v>0</v>
      </c>
      <c r="C2159" s="13">
        <f>Tuts!E2156</f>
        <v>0</v>
      </c>
      <c r="D2159" s="18">
        <f>Tuts!J2156</f>
        <v>0</v>
      </c>
      <c r="E2159" s="13">
        <f>Tuts!D2156</f>
        <v>0</v>
      </c>
    </row>
    <row r="2160" spans="2:5" ht="15.75" hidden="1" customHeight="1">
      <c r="B2160">
        <f>Tuts!B2157</f>
        <v>0</v>
      </c>
      <c r="C2160" s="13">
        <f>Tuts!E2157</f>
        <v>0</v>
      </c>
      <c r="D2160" s="18">
        <f>Tuts!J2157</f>
        <v>0</v>
      </c>
      <c r="E2160" s="13">
        <f>Tuts!D2157</f>
        <v>0</v>
      </c>
    </row>
    <row r="2161" spans="2:5" ht="15.75" hidden="1" customHeight="1">
      <c r="B2161">
        <f>Tuts!B2158</f>
        <v>0</v>
      </c>
      <c r="C2161" s="13">
        <f>Tuts!E2158</f>
        <v>0</v>
      </c>
      <c r="D2161" s="18">
        <f>Tuts!J2158</f>
        <v>0</v>
      </c>
      <c r="E2161" s="13">
        <f>Tuts!D2158</f>
        <v>0</v>
      </c>
    </row>
    <row r="2162" spans="2:5" ht="15.75" hidden="1" customHeight="1">
      <c r="B2162">
        <f>Tuts!B2159</f>
        <v>0</v>
      </c>
      <c r="C2162" s="13">
        <f>Tuts!E2159</f>
        <v>0</v>
      </c>
      <c r="D2162" s="18">
        <f>Tuts!J2159</f>
        <v>0</v>
      </c>
      <c r="E2162" s="13">
        <f>Tuts!D2159</f>
        <v>0</v>
      </c>
    </row>
    <row r="2163" spans="2:5" ht="15.75" hidden="1" customHeight="1">
      <c r="B2163">
        <f>Tuts!B2160</f>
        <v>0</v>
      </c>
      <c r="C2163" s="13">
        <f>Tuts!E2160</f>
        <v>0</v>
      </c>
      <c r="D2163" s="18">
        <f>Tuts!J2160</f>
        <v>0</v>
      </c>
      <c r="E2163" s="13">
        <f>Tuts!D2160</f>
        <v>0</v>
      </c>
    </row>
    <row r="2164" spans="2:5" ht="15.75" hidden="1" customHeight="1">
      <c r="B2164">
        <f>Tuts!B2161</f>
        <v>0</v>
      </c>
      <c r="C2164" s="13">
        <f>Tuts!E2161</f>
        <v>0</v>
      </c>
      <c r="D2164" s="18">
        <f>Tuts!J2161</f>
        <v>0</v>
      </c>
      <c r="E2164" s="13">
        <f>Tuts!D2161</f>
        <v>0</v>
      </c>
    </row>
    <row r="2165" spans="2:5" ht="15.75" hidden="1" customHeight="1">
      <c r="B2165">
        <f>Tuts!B2162</f>
        <v>0</v>
      </c>
      <c r="C2165" s="13">
        <f>Tuts!E2162</f>
        <v>0</v>
      </c>
      <c r="D2165" s="18">
        <f>Tuts!J2162</f>
        <v>0</v>
      </c>
      <c r="E2165" s="13">
        <f>Tuts!D2162</f>
        <v>0</v>
      </c>
    </row>
    <row r="2166" spans="2:5" ht="15.75" hidden="1" customHeight="1">
      <c r="B2166">
        <f>Tuts!B2163</f>
        <v>0</v>
      </c>
      <c r="C2166" s="13">
        <f>Tuts!E2163</f>
        <v>0</v>
      </c>
      <c r="D2166" s="18">
        <f>Tuts!J2163</f>
        <v>0</v>
      </c>
      <c r="E2166" s="13">
        <f>Tuts!D2163</f>
        <v>0</v>
      </c>
    </row>
    <row r="2167" spans="2:5" ht="15.75" hidden="1" customHeight="1">
      <c r="B2167">
        <f>Tuts!B2164</f>
        <v>0</v>
      </c>
      <c r="C2167" s="13">
        <f>Tuts!E2164</f>
        <v>0</v>
      </c>
      <c r="D2167" s="18">
        <f>Tuts!J2164</f>
        <v>0</v>
      </c>
      <c r="E2167" s="13">
        <f>Tuts!D2164</f>
        <v>0</v>
      </c>
    </row>
    <row r="2168" spans="2:5" ht="15.75" hidden="1" customHeight="1">
      <c r="B2168">
        <f>Tuts!B2165</f>
        <v>0</v>
      </c>
      <c r="C2168" s="13">
        <f>Tuts!E2165</f>
        <v>0</v>
      </c>
      <c r="D2168" s="18">
        <f>Tuts!J2165</f>
        <v>0</v>
      </c>
      <c r="E2168" s="13">
        <f>Tuts!D2165</f>
        <v>0</v>
      </c>
    </row>
    <row r="2169" spans="2:5" ht="15.75" hidden="1" customHeight="1">
      <c r="B2169">
        <f>Tuts!B2166</f>
        <v>0</v>
      </c>
      <c r="C2169" s="13">
        <f>Tuts!E2166</f>
        <v>0</v>
      </c>
      <c r="D2169" s="18">
        <f>Tuts!J2166</f>
        <v>0</v>
      </c>
      <c r="E2169" s="13">
        <f>Tuts!D2166</f>
        <v>0</v>
      </c>
    </row>
    <row r="2170" spans="2:5" ht="15.75" hidden="1" customHeight="1">
      <c r="B2170">
        <f>Tuts!B2167</f>
        <v>0</v>
      </c>
      <c r="C2170" s="13">
        <f>Tuts!E2167</f>
        <v>0</v>
      </c>
      <c r="D2170" s="18">
        <f>Tuts!J2167</f>
        <v>0</v>
      </c>
      <c r="E2170" s="13">
        <f>Tuts!D2167</f>
        <v>0</v>
      </c>
    </row>
    <row r="2171" spans="2:5" ht="15.75" hidden="1" customHeight="1">
      <c r="B2171">
        <f>Tuts!B2168</f>
        <v>0</v>
      </c>
      <c r="C2171" s="13">
        <f>Tuts!E2168</f>
        <v>0</v>
      </c>
      <c r="D2171" s="18">
        <f>Tuts!J2168</f>
        <v>0</v>
      </c>
      <c r="E2171" s="13">
        <f>Tuts!D2168</f>
        <v>0</v>
      </c>
    </row>
    <row r="2172" spans="2:5" ht="15.75" hidden="1" customHeight="1">
      <c r="B2172">
        <f>Tuts!B2169</f>
        <v>0</v>
      </c>
      <c r="C2172" s="13">
        <f>Tuts!E2169</f>
        <v>0</v>
      </c>
      <c r="D2172" s="18">
        <f>Tuts!J2169</f>
        <v>0</v>
      </c>
      <c r="E2172" s="13">
        <f>Tuts!D2169</f>
        <v>0</v>
      </c>
    </row>
    <row r="2173" spans="2:5" ht="15.75" hidden="1" customHeight="1">
      <c r="B2173">
        <f>Tuts!B2170</f>
        <v>0</v>
      </c>
      <c r="C2173" s="13">
        <f>Tuts!E2170</f>
        <v>0</v>
      </c>
      <c r="D2173" s="18">
        <f>Tuts!J2170</f>
        <v>0</v>
      </c>
      <c r="E2173" s="13">
        <f>Tuts!D2170</f>
        <v>0</v>
      </c>
    </row>
    <row r="2174" spans="2:5" ht="15.75" hidden="1" customHeight="1">
      <c r="B2174">
        <f>Tuts!B2171</f>
        <v>0</v>
      </c>
      <c r="C2174" s="13">
        <f>Tuts!E2171</f>
        <v>0</v>
      </c>
      <c r="D2174" s="18">
        <f>Tuts!J2171</f>
        <v>0</v>
      </c>
      <c r="E2174" s="13">
        <f>Tuts!D2171</f>
        <v>0</v>
      </c>
    </row>
    <row r="2175" spans="2:5" ht="15.75" hidden="1" customHeight="1">
      <c r="B2175">
        <f>Tuts!B2172</f>
        <v>0</v>
      </c>
      <c r="C2175" s="13">
        <f>Tuts!E2172</f>
        <v>0</v>
      </c>
      <c r="D2175" s="18">
        <f>Tuts!J2172</f>
        <v>0</v>
      </c>
      <c r="E2175" s="13">
        <f>Tuts!D2172</f>
        <v>0</v>
      </c>
    </row>
    <row r="2176" spans="2:5" ht="15.75" hidden="1" customHeight="1">
      <c r="B2176">
        <f>Tuts!B2173</f>
        <v>0</v>
      </c>
      <c r="C2176" s="13">
        <f>Tuts!E2173</f>
        <v>0</v>
      </c>
      <c r="D2176" s="18">
        <f>Tuts!J2173</f>
        <v>0</v>
      </c>
      <c r="E2176" s="13">
        <f>Tuts!D2173</f>
        <v>0</v>
      </c>
    </row>
    <row r="2177" spans="2:5" ht="15.75" hidden="1" customHeight="1">
      <c r="B2177">
        <f>Tuts!B2174</f>
        <v>0</v>
      </c>
      <c r="C2177" s="13">
        <f>Tuts!E2174</f>
        <v>0</v>
      </c>
      <c r="D2177" s="18">
        <f>Tuts!J2174</f>
        <v>0</v>
      </c>
      <c r="E2177" s="13">
        <f>Tuts!D2174</f>
        <v>0</v>
      </c>
    </row>
    <row r="2178" spans="2:5" ht="15.75" hidden="1" customHeight="1">
      <c r="B2178">
        <f>Tuts!B2175</f>
        <v>0</v>
      </c>
      <c r="C2178" s="13">
        <f>Tuts!E2175</f>
        <v>0</v>
      </c>
      <c r="D2178" s="18">
        <f>Tuts!J2175</f>
        <v>0</v>
      </c>
      <c r="E2178" s="13">
        <f>Tuts!D2175</f>
        <v>0</v>
      </c>
    </row>
    <row r="2179" spans="2:5" ht="15.75" hidden="1" customHeight="1">
      <c r="B2179">
        <f>Tuts!B2176</f>
        <v>0</v>
      </c>
      <c r="C2179" s="13">
        <f>Tuts!E2176</f>
        <v>0</v>
      </c>
      <c r="D2179" s="18">
        <f>Tuts!J2176</f>
        <v>0</v>
      </c>
      <c r="E2179" s="13">
        <f>Tuts!D2176</f>
        <v>0</v>
      </c>
    </row>
    <row r="2180" spans="2:5" ht="15.75" hidden="1" customHeight="1">
      <c r="B2180">
        <f>Tuts!B2177</f>
        <v>0</v>
      </c>
      <c r="C2180" s="13">
        <f>Tuts!E2177</f>
        <v>0</v>
      </c>
      <c r="D2180" s="18">
        <f>Tuts!J2177</f>
        <v>0</v>
      </c>
      <c r="E2180" s="13">
        <f>Tuts!D2177</f>
        <v>0</v>
      </c>
    </row>
    <row r="2181" spans="2:5" ht="15.75" hidden="1" customHeight="1">
      <c r="B2181">
        <f>Tuts!B2178</f>
        <v>0</v>
      </c>
      <c r="C2181" s="13">
        <f>Tuts!E2178</f>
        <v>0</v>
      </c>
      <c r="D2181" s="18">
        <f>Tuts!J2178</f>
        <v>0</v>
      </c>
      <c r="E2181" s="13">
        <f>Tuts!D2178</f>
        <v>0</v>
      </c>
    </row>
    <row r="2182" spans="2:5" ht="15.75" hidden="1" customHeight="1">
      <c r="B2182">
        <f>Tuts!B2179</f>
        <v>0</v>
      </c>
      <c r="C2182" s="13">
        <f>Tuts!E2179</f>
        <v>0</v>
      </c>
      <c r="D2182" s="18">
        <f>Tuts!J2179</f>
        <v>0</v>
      </c>
      <c r="E2182" s="13">
        <f>Tuts!D2179</f>
        <v>0</v>
      </c>
    </row>
    <row r="2183" spans="2:5" ht="15.75" hidden="1" customHeight="1">
      <c r="B2183">
        <f>Tuts!B2180</f>
        <v>0</v>
      </c>
      <c r="C2183" s="13">
        <f>Tuts!E2180</f>
        <v>0</v>
      </c>
      <c r="D2183" s="18">
        <f>Tuts!J2180</f>
        <v>0</v>
      </c>
      <c r="E2183" s="13">
        <f>Tuts!D2180</f>
        <v>0</v>
      </c>
    </row>
    <row r="2184" spans="2:5" ht="15.75" hidden="1" customHeight="1">
      <c r="B2184">
        <f>Tuts!B2181</f>
        <v>0</v>
      </c>
      <c r="C2184" s="13">
        <f>Tuts!E2181</f>
        <v>0</v>
      </c>
      <c r="D2184" s="18">
        <f>Tuts!J2181</f>
        <v>0</v>
      </c>
      <c r="E2184" s="13">
        <f>Tuts!D2181</f>
        <v>0</v>
      </c>
    </row>
    <row r="2185" spans="2:5" ht="15.75" hidden="1" customHeight="1">
      <c r="B2185">
        <f>Tuts!B2182</f>
        <v>0</v>
      </c>
      <c r="C2185" s="13">
        <f>Tuts!E2182</f>
        <v>0</v>
      </c>
      <c r="D2185" s="18">
        <f>Tuts!J2182</f>
        <v>0</v>
      </c>
      <c r="E2185" s="13">
        <f>Tuts!D2182</f>
        <v>0</v>
      </c>
    </row>
    <row r="2186" spans="2:5" ht="15.75" hidden="1" customHeight="1">
      <c r="B2186">
        <f>Tuts!B2183</f>
        <v>0</v>
      </c>
      <c r="C2186" s="13">
        <f>Tuts!E2183</f>
        <v>0</v>
      </c>
      <c r="D2186" s="18">
        <f>Tuts!J2183</f>
        <v>0</v>
      </c>
      <c r="E2186" s="13">
        <f>Tuts!D2183</f>
        <v>0</v>
      </c>
    </row>
    <row r="2187" spans="2:5" ht="15.75" hidden="1" customHeight="1">
      <c r="B2187">
        <f>Tuts!B2184</f>
        <v>0</v>
      </c>
      <c r="C2187" s="13">
        <f>Tuts!E2184</f>
        <v>0</v>
      </c>
      <c r="D2187" s="18">
        <f>Tuts!J2184</f>
        <v>0</v>
      </c>
      <c r="E2187" s="13">
        <f>Tuts!D2184</f>
        <v>0</v>
      </c>
    </row>
    <row r="2188" spans="2:5" ht="15.75" hidden="1" customHeight="1">
      <c r="B2188">
        <f>Tuts!B2185</f>
        <v>0</v>
      </c>
      <c r="C2188" s="13">
        <f>Tuts!E2185</f>
        <v>0</v>
      </c>
      <c r="D2188" s="18">
        <f>Tuts!J2185</f>
        <v>0</v>
      </c>
      <c r="E2188" s="13">
        <f>Tuts!D2185</f>
        <v>0</v>
      </c>
    </row>
    <row r="2189" spans="2:5" ht="15.75" hidden="1" customHeight="1">
      <c r="B2189">
        <f>Tuts!B2186</f>
        <v>0</v>
      </c>
      <c r="C2189" s="13">
        <f>Tuts!E2186</f>
        <v>0</v>
      </c>
      <c r="D2189" s="18">
        <f>Tuts!J2186</f>
        <v>0</v>
      </c>
      <c r="E2189" s="13">
        <f>Tuts!D2186</f>
        <v>0</v>
      </c>
    </row>
    <row r="2190" spans="2:5" ht="15.75" hidden="1" customHeight="1">
      <c r="B2190">
        <f>Tuts!B2187</f>
        <v>0</v>
      </c>
      <c r="C2190" s="13">
        <f>Tuts!E2187</f>
        <v>0</v>
      </c>
      <c r="D2190" s="18">
        <f>Tuts!J2187</f>
        <v>0</v>
      </c>
      <c r="E2190" s="13">
        <f>Tuts!D2187</f>
        <v>0</v>
      </c>
    </row>
    <row r="2191" spans="2:5" ht="15.75" hidden="1" customHeight="1">
      <c r="B2191">
        <f>Tuts!B2188</f>
        <v>0</v>
      </c>
      <c r="C2191" s="13">
        <f>Tuts!E2188</f>
        <v>0</v>
      </c>
      <c r="D2191" s="18">
        <f>Tuts!J2188</f>
        <v>0</v>
      </c>
      <c r="E2191" s="13">
        <f>Tuts!D2188</f>
        <v>0</v>
      </c>
    </row>
    <row r="2192" spans="2:5" ht="15.75" hidden="1" customHeight="1">
      <c r="B2192">
        <f>Tuts!B2189</f>
        <v>0</v>
      </c>
      <c r="C2192" s="13">
        <f>Tuts!E2189</f>
        <v>0</v>
      </c>
      <c r="D2192" s="18">
        <f>Tuts!J2189</f>
        <v>0</v>
      </c>
      <c r="E2192" s="13">
        <f>Tuts!D2189</f>
        <v>0</v>
      </c>
    </row>
    <row r="2193" spans="2:5" ht="15.75" hidden="1" customHeight="1">
      <c r="B2193">
        <f>Tuts!B2190</f>
        <v>0</v>
      </c>
      <c r="C2193" s="13">
        <f>Tuts!E2190</f>
        <v>0</v>
      </c>
      <c r="D2193" s="18">
        <f>Tuts!J2190</f>
        <v>0</v>
      </c>
      <c r="E2193" s="13">
        <f>Tuts!D2190</f>
        <v>0</v>
      </c>
    </row>
    <row r="2194" spans="2:5" ht="15.75" hidden="1" customHeight="1">
      <c r="B2194">
        <f>Tuts!B2191</f>
        <v>0</v>
      </c>
      <c r="C2194" s="13">
        <f>Tuts!E2191</f>
        <v>0</v>
      </c>
      <c r="D2194" s="18">
        <f>Tuts!J2191</f>
        <v>0</v>
      </c>
      <c r="E2194" s="13">
        <f>Tuts!D2191</f>
        <v>0</v>
      </c>
    </row>
    <row r="2195" spans="2:5" ht="15.75" hidden="1" customHeight="1">
      <c r="B2195">
        <f>Tuts!B2192</f>
        <v>0</v>
      </c>
      <c r="C2195" s="13">
        <f>Tuts!E2192</f>
        <v>0</v>
      </c>
      <c r="D2195" s="18">
        <f>Tuts!J2192</f>
        <v>0</v>
      </c>
      <c r="E2195" s="13">
        <f>Tuts!D2192</f>
        <v>0</v>
      </c>
    </row>
    <row r="2196" spans="2:5" ht="15.75" hidden="1" customHeight="1">
      <c r="B2196">
        <f>Tuts!B2193</f>
        <v>0</v>
      </c>
      <c r="C2196" s="13">
        <f>Tuts!E2193</f>
        <v>0</v>
      </c>
      <c r="D2196" s="18">
        <f>Tuts!J2193</f>
        <v>0</v>
      </c>
      <c r="E2196" s="13">
        <f>Tuts!D2193</f>
        <v>0</v>
      </c>
    </row>
    <row r="2197" spans="2:5" ht="15.75" hidden="1" customHeight="1">
      <c r="B2197">
        <f>Tuts!B2194</f>
        <v>0</v>
      </c>
      <c r="C2197" s="13">
        <f>Tuts!E2194</f>
        <v>0</v>
      </c>
      <c r="D2197" s="18">
        <f>Tuts!J2194</f>
        <v>0</v>
      </c>
      <c r="E2197" s="13">
        <f>Tuts!D2194</f>
        <v>0</v>
      </c>
    </row>
    <row r="2198" spans="2:5" ht="15.75" hidden="1" customHeight="1">
      <c r="B2198">
        <f>Tuts!B2195</f>
        <v>0</v>
      </c>
      <c r="C2198" s="13">
        <f>Tuts!E2195</f>
        <v>0</v>
      </c>
      <c r="D2198" s="18">
        <f>Tuts!J2195</f>
        <v>0</v>
      </c>
      <c r="E2198" s="13">
        <f>Tuts!D2195</f>
        <v>0</v>
      </c>
    </row>
    <row r="2199" spans="2:5" ht="15.75" hidden="1" customHeight="1">
      <c r="B2199">
        <f>Tuts!B2196</f>
        <v>0</v>
      </c>
      <c r="C2199" s="13">
        <f>Tuts!E2196</f>
        <v>0</v>
      </c>
      <c r="D2199" s="18">
        <f>Tuts!J2196</f>
        <v>0</v>
      </c>
      <c r="E2199" s="13">
        <f>Tuts!D2196</f>
        <v>0</v>
      </c>
    </row>
    <row r="2200" spans="2:5" ht="15.75" hidden="1" customHeight="1">
      <c r="B2200">
        <f>Tuts!B2197</f>
        <v>0</v>
      </c>
      <c r="C2200" s="13">
        <f>Tuts!E2197</f>
        <v>0</v>
      </c>
      <c r="D2200" s="18">
        <f>Tuts!J2197</f>
        <v>0</v>
      </c>
      <c r="E2200" s="13">
        <f>Tuts!D2197</f>
        <v>0</v>
      </c>
    </row>
    <row r="2201" spans="2:5" ht="15.75" hidden="1" customHeight="1">
      <c r="B2201">
        <f>Tuts!B2198</f>
        <v>0</v>
      </c>
      <c r="C2201" s="13">
        <f>Tuts!E2198</f>
        <v>0</v>
      </c>
      <c r="D2201" s="18">
        <f>Tuts!J2198</f>
        <v>0</v>
      </c>
      <c r="E2201" s="13">
        <f>Tuts!D2198</f>
        <v>0</v>
      </c>
    </row>
    <row r="2202" spans="2:5" ht="15.75" hidden="1" customHeight="1">
      <c r="B2202">
        <f>Tuts!B2199</f>
        <v>0</v>
      </c>
      <c r="C2202" s="13">
        <f>Tuts!E2199</f>
        <v>0</v>
      </c>
      <c r="D2202" s="18">
        <f>Tuts!J2199</f>
        <v>0</v>
      </c>
      <c r="E2202" s="13">
        <f>Tuts!D2199</f>
        <v>0</v>
      </c>
    </row>
    <row r="2203" spans="2:5" ht="15.75" hidden="1" customHeight="1">
      <c r="B2203">
        <f>Tuts!B2200</f>
        <v>0</v>
      </c>
      <c r="C2203" s="13">
        <f>Tuts!E2200</f>
        <v>0</v>
      </c>
      <c r="D2203" s="18">
        <f>Tuts!J2200</f>
        <v>0</v>
      </c>
      <c r="E2203" s="13">
        <f>Tuts!D2200</f>
        <v>0</v>
      </c>
    </row>
    <row r="2204" spans="2:5" ht="15.75" hidden="1" customHeight="1">
      <c r="B2204">
        <f>Tuts!B2201</f>
        <v>0</v>
      </c>
      <c r="C2204" s="13">
        <f>Tuts!E2201</f>
        <v>0</v>
      </c>
      <c r="D2204" s="18">
        <f>Tuts!J2201</f>
        <v>0</v>
      </c>
      <c r="E2204" s="13">
        <f>Tuts!D2201</f>
        <v>0</v>
      </c>
    </row>
    <row r="2205" spans="2:5" ht="15.75" hidden="1" customHeight="1">
      <c r="B2205">
        <f>Tuts!B2202</f>
        <v>0</v>
      </c>
      <c r="C2205" s="13">
        <f>Tuts!E2202</f>
        <v>0</v>
      </c>
      <c r="D2205" s="18">
        <f>Tuts!J2202</f>
        <v>0</v>
      </c>
      <c r="E2205" s="13">
        <f>Tuts!D2202</f>
        <v>0</v>
      </c>
    </row>
    <row r="2206" spans="2:5" ht="15.75" hidden="1" customHeight="1">
      <c r="B2206">
        <f>Tuts!B2203</f>
        <v>0</v>
      </c>
      <c r="C2206" s="13">
        <f>Tuts!E2203</f>
        <v>0</v>
      </c>
      <c r="D2206" s="18">
        <f>Tuts!J2203</f>
        <v>0</v>
      </c>
      <c r="E2206" s="13">
        <f>Tuts!D2203</f>
        <v>0</v>
      </c>
    </row>
    <row r="2207" spans="2:5" ht="15.75" hidden="1" customHeight="1">
      <c r="B2207">
        <f>Tuts!B2204</f>
        <v>0</v>
      </c>
      <c r="C2207" s="13">
        <f>Tuts!E2204</f>
        <v>0</v>
      </c>
      <c r="D2207" s="18">
        <f>Tuts!J2204</f>
        <v>0</v>
      </c>
      <c r="E2207" s="13">
        <f>Tuts!D2204</f>
        <v>0</v>
      </c>
    </row>
    <row r="2208" spans="2:5" ht="15.75" hidden="1" customHeight="1">
      <c r="B2208">
        <f>Tuts!B2205</f>
        <v>0</v>
      </c>
      <c r="C2208" s="13">
        <f>Tuts!E2205</f>
        <v>0</v>
      </c>
      <c r="D2208" s="18">
        <f>Tuts!J2205</f>
        <v>0</v>
      </c>
      <c r="E2208" s="13">
        <f>Tuts!D2205</f>
        <v>0</v>
      </c>
    </row>
    <row r="2209" spans="2:5" ht="15.75" hidden="1" customHeight="1">
      <c r="B2209">
        <f>Tuts!B2206</f>
        <v>0</v>
      </c>
      <c r="C2209" s="13">
        <f>Tuts!E2206</f>
        <v>0</v>
      </c>
      <c r="D2209" s="18">
        <f>Tuts!J2206</f>
        <v>0</v>
      </c>
      <c r="E2209" s="13">
        <f>Tuts!D2206</f>
        <v>0</v>
      </c>
    </row>
    <row r="2210" spans="2:5" ht="15.75" hidden="1" customHeight="1">
      <c r="B2210">
        <f>Tuts!B2207</f>
        <v>0</v>
      </c>
      <c r="C2210" s="13">
        <f>Tuts!E2207</f>
        <v>0</v>
      </c>
      <c r="D2210" s="18">
        <f>Tuts!J2207</f>
        <v>0</v>
      </c>
      <c r="E2210" s="13">
        <f>Tuts!D2207</f>
        <v>0</v>
      </c>
    </row>
    <row r="2211" spans="2:5" ht="15.75" hidden="1" customHeight="1">
      <c r="B2211">
        <f>Tuts!B2208</f>
        <v>0</v>
      </c>
      <c r="C2211" s="13">
        <f>Tuts!E2208</f>
        <v>0</v>
      </c>
      <c r="D2211" s="18">
        <f>Tuts!J2208</f>
        <v>0</v>
      </c>
      <c r="E2211" s="13">
        <f>Tuts!D2208</f>
        <v>0</v>
      </c>
    </row>
    <row r="2212" spans="2:5" ht="15.75" hidden="1" customHeight="1">
      <c r="B2212">
        <f>Tuts!B2209</f>
        <v>0</v>
      </c>
      <c r="C2212" s="13">
        <f>Tuts!E2209</f>
        <v>0</v>
      </c>
      <c r="D2212" s="18">
        <f>Tuts!J2209</f>
        <v>0</v>
      </c>
      <c r="E2212" s="13">
        <f>Tuts!D2209</f>
        <v>0</v>
      </c>
    </row>
    <row r="2213" spans="2:5" ht="15.75" hidden="1" customHeight="1">
      <c r="B2213">
        <f>Tuts!B2210</f>
        <v>0</v>
      </c>
      <c r="C2213" s="13">
        <f>Tuts!E2210</f>
        <v>0</v>
      </c>
      <c r="D2213" s="18">
        <f>Tuts!J2210</f>
        <v>0</v>
      </c>
      <c r="E2213" s="13">
        <f>Tuts!D2210</f>
        <v>0</v>
      </c>
    </row>
    <row r="2214" spans="2:5" ht="15.75" hidden="1" customHeight="1">
      <c r="B2214">
        <f>Tuts!B2211</f>
        <v>0</v>
      </c>
      <c r="C2214" s="13">
        <f>Tuts!E2211</f>
        <v>0</v>
      </c>
      <c r="D2214" s="18">
        <f>Tuts!J2211</f>
        <v>0</v>
      </c>
      <c r="E2214" s="13">
        <f>Tuts!D2211</f>
        <v>0</v>
      </c>
    </row>
    <row r="2215" spans="2:5" ht="15.75" hidden="1" customHeight="1">
      <c r="B2215">
        <f>Tuts!B2212</f>
        <v>0</v>
      </c>
      <c r="C2215" s="13">
        <f>Tuts!E2212</f>
        <v>0</v>
      </c>
      <c r="D2215" s="18">
        <f>Tuts!J2212</f>
        <v>0</v>
      </c>
      <c r="E2215" s="13">
        <f>Tuts!D2212</f>
        <v>0</v>
      </c>
    </row>
    <row r="2216" spans="2:5" ht="15.75" hidden="1" customHeight="1">
      <c r="B2216">
        <f>Tuts!B2213</f>
        <v>0</v>
      </c>
      <c r="C2216" s="13">
        <f>Tuts!E2213</f>
        <v>0</v>
      </c>
      <c r="D2216" s="18">
        <f>Tuts!J2213</f>
        <v>0</v>
      </c>
      <c r="E2216" s="13">
        <f>Tuts!D2213</f>
        <v>0</v>
      </c>
    </row>
    <row r="2217" spans="2:5" ht="15.75" hidden="1" customHeight="1">
      <c r="B2217">
        <f>Tuts!B2214</f>
        <v>0</v>
      </c>
      <c r="C2217" s="13">
        <f>Tuts!E2214</f>
        <v>0</v>
      </c>
      <c r="D2217" s="18">
        <f>Tuts!J2214</f>
        <v>0</v>
      </c>
      <c r="E2217" s="13">
        <f>Tuts!D2214</f>
        <v>0</v>
      </c>
    </row>
    <row r="2218" spans="2:5" ht="15.75" hidden="1" customHeight="1">
      <c r="B2218">
        <f>Tuts!B2215</f>
        <v>0</v>
      </c>
      <c r="C2218" s="13">
        <f>Tuts!E2215</f>
        <v>0</v>
      </c>
      <c r="D2218" s="18">
        <f>Tuts!J2215</f>
        <v>0</v>
      </c>
      <c r="E2218" s="13">
        <f>Tuts!D2215</f>
        <v>0</v>
      </c>
    </row>
    <row r="2219" spans="2:5" ht="15.75" hidden="1" customHeight="1">
      <c r="B2219">
        <f>Tuts!B2216</f>
        <v>0</v>
      </c>
      <c r="C2219" s="13">
        <f>Tuts!E2216</f>
        <v>0</v>
      </c>
      <c r="D2219" s="18">
        <f>Tuts!J2216</f>
        <v>0</v>
      </c>
      <c r="E2219" s="13">
        <f>Tuts!D2216</f>
        <v>0</v>
      </c>
    </row>
    <row r="2220" spans="2:5" ht="15.75" hidden="1" customHeight="1">
      <c r="B2220">
        <f>Tuts!B2217</f>
        <v>0</v>
      </c>
      <c r="C2220" s="13">
        <f>Tuts!E2217</f>
        <v>0</v>
      </c>
      <c r="D2220" s="18">
        <f>Tuts!J2217</f>
        <v>0</v>
      </c>
      <c r="E2220" s="13">
        <f>Tuts!D2217</f>
        <v>0</v>
      </c>
    </row>
    <row r="2221" spans="2:5" ht="15.75" hidden="1" customHeight="1">
      <c r="B2221">
        <f>Tuts!B2218</f>
        <v>0</v>
      </c>
      <c r="C2221" s="13">
        <f>Tuts!E2218</f>
        <v>0</v>
      </c>
      <c r="D2221" s="18">
        <f>Tuts!J2218</f>
        <v>0</v>
      </c>
      <c r="E2221" s="13">
        <f>Tuts!D2218</f>
        <v>0</v>
      </c>
    </row>
    <row r="2222" spans="2:5" ht="15.75" hidden="1" customHeight="1">
      <c r="B2222">
        <f>Tuts!B2219</f>
        <v>0</v>
      </c>
      <c r="C2222" s="13">
        <f>Tuts!E2219</f>
        <v>0</v>
      </c>
      <c r="D2222" s="18">
        <f>Tuts!J2219</f>
        <v>0</v>
      </c>
      <c r="E2222" s="13">
        <f>Tuts!D2219</f>
        <v>0</v>
      </c>
    </row>
    <row r="2223" spans="2:5" ht="15.75" hidden="1" customHeight="1">
      <c r="B2223">
        <f>Tuts!B2220</f>
        <v>0</v>
      </c>
      <c r="C2223" s="13">
        <f>Tuts!E2220</f>
        <v>0</v>
      </c>
      <c r="D2223" s="18">
        <f>Tuts!J2220</f>
        <v>0</v>
      </c>
      <c r="E2223" s="13">
        <f>Tuts!D2220</f>
        <v>0</v>
      </c>
    </row>
    <row r="2224" spans="2:5" ht="15.75" hidden="1" customHeight="1">
      <c r="B2224">
        <f>Tuts!B2221</f>
        <v>0</v>
      </c>
      <c r="C2224" s="13">
        <f>Tuts!E2221</f>
        <v>0</v>
      </c>
      <c r="D2224" s="18">
        <f>Tuts!J2221</f>
        <v>0</v>
      </c>
      <c r="E2224" s="13">
        <f>Tuts!D2221</f>
        <v>0</v>
      </c>
    </row>
    <row r="2225" spans="2:5" ht="15.75" hidden="1" customHeight="1">
      <c r="B2225">
        <f>Tuts!B2222</f>
        <v>0</v>
      </c>
      <c r="C2225" s="13">
        <f>Tuts!E2222</f>
        <v>0</v>
      </c>
      <c r="D2225" s="18">
        <f>Tuts!J2222</f>
        <v>0</v>
      </c>
      <c r="E2225" s="13">
        <f>Tuts!D2222</f>
        <v>0</v>
      </c>
    </row>
    <row r="2226" spans="2:5" ht="15.75" hidden="1" customHeight="1">
      <c r="B2226">
        <f>Tuts!B2223</f>
        <v>0</v>
      </c>
      <c r="C2226" s="13">
        <f>Tuts!E2223</f>
        <v>0</v>
      </c>
      <c r="D2226" s="18">
        <f>Tuts!J2223</f>
        <v>0</v>
      </c>
      <c r="E2226" s="13">
        <f>Tuts!D2223</f>
        <v>0</v>
      </c>
    </row>
    <row r="2227" spans="2:5" ht="15.75" hidden="1" customHeight="1">
      <c r="B2227">
        <f>Tuts!B2224</f>
        <v>0</v>
      </c>
      <c r="C2227" s="13">
        <f>Tuts!E2224</f>
        <v>0</v>
      </c>
      <c r="D2227" s="18">
        <f>Tuts!J2224</f>
        <v>0</v>
      </c>
      <c r="E2227" s="13">
        <f>Tuts!D2224</f>
        <v>0</v>
      </c>
    </row>
    <row r="2228" spans="2:5" ht="15.75" hidden="1" customHeight="1">
      <c r="B2228">
        <f>Tuts!B2225</f>
        <v>0</v>
      </c>
      <c r="C2228" s="13">
        <f>Tuts!E2225</f>
        <v>0</v>
      </c>
      <c r="D2228" s="18">
        <f>Tuts!J2225</f>
        <v>0</v>
      </c>
      <c r="E2228" s="13">
        <f>Tuts!D2225</f>
        <v>0</v>
      </c>
    </row>
    <row r="2229" spans="2:5" ht="15.75" hidden="1" customHeight="1">
      <c r="B2229">
        <f>Tuts!B2226</f>
        <v>0</v>
      </c>
      <c r="C2229" s="13">
        <f>Tuts!E2226</f>
        <v>0</v>
      </c>
      <c r="D2229" s="18">
        <f>Tuts!J2226</f>
        <v>0</v>
      </c>
      <c r="E2229" s="13">
        <f>Tuts!D2226</f>
        <v>0</v>
      </c>
    </row>
    <row r="2230" spans="2:5" ht="15.75" hidden="1" customHeight="1">
      <c r="B2230">
        <f>Tuts!B2227</f>
        <v>0</v>
      </c>
      <c r="C2230" s="13">
        <f>Tuts!E2227</f>
        <v>0</v>
      </c>
      <c r="D2230" s="18">
        <f>Tuts!J2227</f>
        <v>0</v>
      </c>
      <c r="E2230" s="13">
        <f>Tuts!D2227</f>
        <v>0</v>
      </c>
    </row>
    <row r="2231" spans="2:5" ht="15.75" hidden="1" customHeight="1">
      <c r="B2231">
        <f>Tuts!B2228</f>
        <v>0</v>
      </c>
      <c r="C2231" s="13">
        <f>Tuts!E2228</f>
        <v>0</v>
      </c>
      <c r="D2231" s="18">
        <f>Tuts!J2228</f>
        <v>0</v>
      </c>
      <c r="E2231" s="13">
        <f>Tuts!D2228</f>
        <v>0</v>
      </c>
    </row>
    <row r="2232" spans="2:5" ht="15.75" hidden="1" customHeight="1">
      <c r="B2232">
        <f>Tuts!B2229</f>
        <v>0</v>
      </c>
      <c r="C2232" s="13">
        <f>Tuts!E2229</f>
        <v>0</v>
      </c>
      <c r="D2232" s="18">
        <f>Tuts!J2229</f>
        <v>0</v>
      </c>
      <c r="E2232" s="13">
        <f>Tuts!D2229</f>
        <v>0</v>
      </c>
    </row>
    <row r="2233" spans="2:5" ht="15.75" hidden="1" customHeight="1">
      <c r="B2233">
        <f>Tuts!B2230</f>
        <v>0</v>
      </c>
      <c r="C2233" s="13">
        <f>Tuts!E2230</f>
        <v>0</v>
      </c>
      <c r="D2233" s="18">
        <f>Tuts!J2230</f>
        <v>0</v>
      </c>
      <c r="E2233" s="13">
        <f>Tuts!D2230</f>
        <v>0</v>
      </c>
    </row>
    <row r="2234" spans="2:5" ht="15.75" hidden="1" customHeight="1">
      <c r="B2234">
        <f>Tuts!B2231</f>
        <v>0</v>
      </c>
      <c r="C2234" s="13">
        <f>Tuts!E2231</f>
        <v>0</v>
      </c>
      <c r="D2234" s="18">
        <f>Tuts!J2231</f>
        <v>0</v>
      </c>
      <c r="E2234" s="13">
        <f>Tuts!D2231</f>
        <v>0</v>
      </c>
    </row>
    <row r="2235" spans="2:5" ht="15.75" hidden="1" customHeight="1">
      <c r="B2235">
        <f>Tuts!B2232</f>
        <v>0</v>
      </c>
      <c r="C2235" s="13">
        <f>Tuts!E2232</f>
        <v>0</v>
      </c>
      <c r="D2235" s="18">
        <f>Tuts!J2232</f>
        <v>0</v>
      </c>
      <c r="E2235" s="13">
        <f>Tuts!D2232</f>
        <v>0</v>
      </c>
    </row>
    <row r="2236" spans="2:5" ht="15.75" hidden="1" customHeight="1">
      <c r="B2236">
        <f>Tuts!B2233</f>
        <v>0</v>
      </c>
      <c r="C2236" s="13">
        <f>Tuts!E2233</f>
        <v>0</v>
      </c>
      <c r="D2236" s="18">
        <f>Tuts!J2233</f>
        <v>0</v>
      </c>
      <c r="E2236" s="13">
        <f>Tuts!D2233</f>
        <v>0</v>
      </c>
    </row>
    <row r="2237" spans="2:5" ht="15.75" hidden="1" customHeight="1">
      <c r="B2237">
        <f>Tuts!B2234</f>
        <v>0</v>
      </c>
      <c r="C2237" s="13">
        <f>Tuts!E2234</f>
        <v>0</v>
      </c>
      <c r="D2237" s="18">
        <f>Tuts!J2234</f>
        <v>0</v>
      </c>
      <c r="E2237" s="13">
        <f>Tuts!D2234</f>
        <v>0</v>
      </c>
    </row>
    <row r="2238" spans="2:5" ht="15.75" hidden="1" customHeight="1">
      <c r="B2238">
        <f>Tuts!B2235</f>
        <v>0</v>
      </c>
      <c r="C2238" s="13">
        <f>Tuts!E2235</f>
        <v>0</v>
      </c>
      <c r="D2238" s="18">
        <f>Tuts!J2235</f>
        <v>0</v>
      </c>
      <c r="E2238" s="13">
        <f>Tuts!D2235</f>
        <v>0</v>
      </c>
    </row>
    <row r="2239" spans="2:5" ht="15.75" hidden="1" customHeight="1">
      <c r="B2239">
        <f>Tuts!B2236</f>
        <v>0</v>
      </c>
      <c r="C2239" s="13">
        <f>Tuts!E2236</f>
        <v>0</v>
      </c>
      <c r="D2239" s="18">
        <f>Tuts!J2236</f>
        <v>0</v>
      </c>
      <c r="E2239" s="13">
        <f>Tuts!D2236</f>
        <v>0</v>
      </c>
    </row>
    <row r="2240" spans="2:5" ht="15.75" hidden="1" customHeight="1">
      <c r="B2240">
        <f>Tuts!B2237</f>
        <v>0</v>
      </c>
      <c r="C2240" s="13">
        <f>Tuts!E2237</f>
        <v>0</v>
      </c>
      <c r="D2240" s="18">
        <f>Tuts!J2237</f>
        <v>0</v>
      </c>
      <c r="E2240" s="13">
        <f>Tuts!D2237</f>
        <v>0</v>
      </c>
    </row>
    <row r="2241" spans="2:5" ht="15.75" hidden="1" customHeight="1">
      <c r="B2241">
        <f>Tuts!B2238</f>
        <v>0</v>
      </c>
      <c r="C2241" s="13">
        <f>Tuts!E2238</f>
        <v>0</v>
      </c>
      <c r="D2241" s="18">
        <f>Tuts!J2238</f>
        <v>0</v>
      </c>
      <c r="E2241" s="13">
        <f>Tuts!D2238</f>
        <v>0</v>
      </c>
    </row>
    <row r="2242" spans="2:5" ht="15.75" hidden="1" customHeight="1">
      <c r="B2242">
        <f>Tuts!B2239</f>
        <v>0</v>
      </c>
      <c r="C2242" s="13">
        <f>Tuts!E2239</f>
        <v>0</v>
      </c>
      <c r="D2242" s="18">
        <f>Tuts!J2239</f>
        <v>0</v>
      </c>
      <c r="E2242" s="13">
        <f>Tuts!D2239</f>
        <v>0</v>
      </c>
    </row>
    <row r="2243" spans="2:5" ht="15.75" hidden="1" customHeight="1">
      <c r="B2243">
        <f>Tuts!B2240</f>
        <v>0</v>
      </c>
      <c r="C2243" s="13">
        <f>Tuts!E2240</f>
        <v>0</v>
      </c>
      <c r="D2243" s="18">
        <f>Tuts!J2240</f>
        <v>0</v>
      </c>
      <c r="E2243" s="13">
        <f>Tuts!D2240</f>
        <v>0</v>
      </c>
    </row>
    <row r="2244" spans="2:5" ht="15.75" hidden="1" customHeight="1">
      <c r="B2244">
        <f>Tuts!B2241</f>
        <v>0</v>
      </c>
      <c r="C2244" s="13">
        <f>Tuts!E2241</f>
        <v>0</v>
      </c>
      <c r="D2244" s="18">
        <f>Tuts!J2241</f>
        <v>0</v>
      </c>
      <c r="E2244" s="13">
        <f>Tuts!D2241</f>
        <v>0</v>
      </c>
    </row>
    <row r="2245" spans="2:5" ht="15.75" hidden="1" customHeight="1">
      <c r="B2245">
        <f>Tuts!B2242</f>
        <v>0</v>
      </c>
      <c r="C2245" s="13">
        <f>Tuts!E2242</f>
        <v>0</v>
      </c>
      <c r="D2245" s="18">
        <f>Tuts!J2242</f>
        <v>0</v>
      </c>
      <c r="E2245" s="13">
        <f>Tuts!D2242</f>
        <v>0</v>
      </c>
    </row>
    <row r="2246" spans="2:5" ht="15.75" hidden="1" customHeight="1">
      <c r="B2246">
        <f>Tuts!B2243</f>
        <v>0</v>
      </c>
      <c r="C2246" s="13">
        <f>Tuts!E2243</f>
        <v>0</v>
      </c>
      <c r="D2246" s="18">
        <f>Tuts!J2243</f>
        <v>0</v>
      </c>
      <c r="E2246" s="13">
        <f>Tuts!D2243</f>
        <v>0</v>
      </c>
    </row>
    <row r="2247" spans="2:5" ht="15.75" hidden="1" customHeight="1">
      <c r="B2247">
        <f>Tuts!B2244</f>
        <v>0</v>
      </c>
      <c r="C2247" s="13">
        <f>Tuts!E2244</f>
        <v>0</v>
      </c>
      <c r="D2247" s="18">
        <f>Tuts!J2244</f>
        <v>0</v>
      </c>
      <c r="E2247" s="13">
        <f>Tuts!D2244</f>
        <v>0</v>
      </c>
    </row>
    <row r="2248" spans="2:5" ht="15.75" hidden="1" customHeight="1">
      <c r="B2248">
        <f>Tuts!B2245</f>
        <v>0</v>
      </c>
      <c r="C2248" s="13">
        <f>Tuts!E2245</f>
        <v>0</v>
      </c>
      <c r="D2248" s="18">
        <f>Tuts!J2245</f>
        <v>0</v>
      </c>
      <c r="E2248" s="13">
        <f>Tuts!D2245</f>
        <v>0</v>
      </c>
    </row>
    <row r="2249" spans="2:5" ht="15.75" hidden="1" customHeight="1">
      <c r="B2249">
        <f>Tuts!B2246</f>
        <v>0</v>
      </c>
      <c r="C2249" s="13">
        <f>Tuts!E2246</f>
        <v>0</v>
      </c>
      <c r="D2249" s="18">
        <f>Tuts!J2246</f>
        <v>0</v>
      </c>
      <c r="E2249" s="13">
        <f>Tuts!D2246</f>
        <v>0</v>
      </c>
    </row>
    <row r="2250" spans="2:5" ht="15.75" hidden="1" customHeight="1">
      <c r="B2250">
        <f>Tuts!B2247</f>
        <v>0</v>
      </c>
      <c r="C2250" s="13">
        <f>Tuts!E2247</f>
        <v>0</v>
      </c>
      <c r="D2250" s="18">
        <f>Tuts!J2247</f>
        <v>0</v>
      </c>
      <c r="E2250" s="13">
        <f>Tuts!D2247</f>
        <v>0</v>
      </c>
    </row>
    <row r="2251" spans="2:5" ht="15.75" hidden="1" customHeight="1">
      <c r="B2251">
        <f>Tuts!B2248</f>
        <v>0</v>
      </c>
      <c r="C2251" s="13">
        <f>Tuts!E2248</f>
        <v>0</v>
      </c>
      <c r="D2251" s="18">
        <f>Tuts!J2248</f>
        <v>0</v>
      </c>
      <c r="E2251" s="13">
        <f>Tuts!D2248</f>
        <v>0</v>
      </c>
    </row>
    <row r="2252" spans="2:5" ht="15.75" hidden="1" customHeight="1">
      <c r="B2252">
        <f>Tuts!B2249</f>
        <v>0</v>
      </c>
      <c r="C2252" s="13">
        <f>Tuts!E2249</f>
        <v>0</v>
      </c>
      <c r="D2252" s="18">
        <f>Tuts!J2249</f>
        <v>0</v>
      </c>
      <c r="E2252" s="13">
        <f>Tuts!D2249</f>
        <v>0</v>
      </c>
    </row>
    <row r="2253" spans="2:5" ht="15.75" hidden="1" customHeight="1">
      <c r="B2253">
        <f>Tuts!B2250</f>
        <v>0</v>
      </c>
      <c r="C2253" s="13">
        <f>Tuts!E2250</f>
        <v>0</v>
      </c>
      <c r="D2253" s="18">
        <f>Tuts!J2250</f>
        <v>0</v>
      </c>
      <c r="E2253" s="13">
        <f>Tuts!D2250</f>
        <v>0</v>
      </c>
    </row>
    <row r="2254" spans="2:5" ht="15.75" hidden="1" customHeight="1">
      <c r="B2254">
        <f>Tuts!B2251</f>
        <v>0</v>
      </c>
      <c r="C2254" s="13">
        <f>Tuts!E2251</f>
        <v>0</v>
      </c>
      <c r="D2254" s="18">
        <f>Tuts!J2251</f>
        <v>0</v>
      </c>
      <c r="E2254" s="13">
        <f>Tuts!D2251</f>
        <v>0</v>
      </c>
    </row>
    <row r="2255" spans="2:5" ht="15.75" hidden="1" customHeight="1">
      <c r="B2255">
        <f>Tuts!B2252</f>
        <v>0</v>
      </c>
      <c r="C2255" s="13">
        <f>Tuts!E2252</f>
        <v>0</v>
      </c>
      <c r="D2255" s="18">
        <f>Tuts!J2252</f>
        <v>0</v>
      </c>
      <c r="E2255" s="13">
        <f>Tuts!D2252</f>
        <v>0</v>
      </c>
    </row>
    <row r="2256" spans="2:5" ht="15.75" hidden="1" customHeight="1">
      <c r="B2256">
        <f>Tuts!B2253</f>
        <v>0</v>
      </c>
      <c r="C2256" s="13">
        <f>Tuts!E2253</f>
        <v>0</v>
      </c>
      <c r="D2256" s="18">
        <f>Tuts!J2253</f>
        <v>0</v>
      </c>
      <c r="E2256" s="13">
        <f>Tuts!D2253</f>
        <v>0</v>
      </c>
    </row>
    <row r="2257" spans="2:5" ht="15.75" hidden="1" customHeight="1">
      <c r="B2257">
        <f>Tuts!B2254</f>
        <v>0</v>
      </c>
      <c r="C2257" s="13">
        <f>Tuts!E2254</f>
        <v>0</v>
      </c>
      <c r="D2257" s="18">
        <f>Tuts!J2254</f>
        <v>0</v>
      </c>
      <c r="E2257" s="13">
        <f>Tuts!D2254</f>
        <v>0</v>
      </c>
    </row>
    <row r="2258" spans="2:5" ht="15.75" hidden="1" customHeight="1">
      <c r="B2258">
        <f>Tuts!B2255</f>
        <v>0</v>
      </c>
      <c r="C2258" s="13">
        <f>Tuts!E2255</f>
        <v>0</v>
      </c>
      <c r="D2258" s="18">
        <f>Tuts!J2255</f>
        <v>0</v>
      </c>
      <c r="E2258" s="13">
        <f>Tuts!D2255</f>
        <v>0</v>
      </c>
    </row>
    <row r="2259" spans="2:5" ht="15.75" hidden="1" customHeight="1">
      <c r="B2259">
        <f>Tuts!B2256</f>
        <v>0</v>
      </c>
      <c r="C2259" s="13">
        <f>Tuts!E2256</f>
        <v>0</v>
      </c>
      <c r="D2259" s="18">
        <f>Tuts!J2256</f>
        <v>0</v>
      </c>
      <c r="E2259" s="13">
        <f>Tuts!D2256</f>
        <v>0</v>
      </c>
    </row>
    <row r="2260" spans="2:5" ht="15.75" hidden="1" customHeight="1">
      <c r="B2260">
        <f>Tuts!B2257</f>
        <v>0</v>
      </c>
      <c r="C2260" s="13">
        <f>Tuts!E2257</f>
        <v>0</v>
      </c>
      <c r="D2260" s="18">
        <f>Tuts!J2257</f>
        <v>0</v>
      </c>
      <c r="E2260" s="13">
        <f>Tuts!D2257</f>
        <v>0</v>
      </c>
    </row>
    <row r="2261" spans="2:5" ht="15.75" hidden="1" customHeight="1">
      <c r="B2261">
        <f>Tuts!B2258</f>
        <v>0</v>
      </c>
      <c r="C2261" s="13">
        <f>Tuts!E2258</f>
        <v>0</v>
      </c>
      <c r="D2261" s="18">
        <f>Tuts!J2258</f>
        <v>0</v>
      </c>
      <c r="E2261" s="13">
        <f>Tuts!D2258</f>
        <v>0</v>
      </c>
    </row>
    <row r="2262" spans="2:5" ht="15.75" hidden="1" customHeight="1">
      <c r="B2262">
        <f>Tuts!B2259</f>
        <v>0</v>
      </c>
      <c r="C2262" s="13">
        <f>Tuts!E2259</f>
        <v>0</v>
      </c>
      <c r="D2262" s="18">
        <f>Tuts!J2259</f>
        <v>0</v>
      </c>
      <c r="E2262" s="13">
        <f>Tuts!D2259</f>
        <v>0</v>
      </c>
    </row>
    <row r="2263" spans="2:5" ht="15.75" hidden="1" customHeight="1">
      <c r="B2263">
        <f>Tuts!B2260</f>
        <v>0</v>
      </c>
      <c r="C2263" s="13">
        <f>Tuts!E2260</f>
        <v>0</v>
      </c>
      <c r="D2263" s="18">
        <f>Tuts!J2260</f>
        <v>0</v>
      </c>
      <c r="E2263" s="13">
        <f>Tuts!D2260</f>
        <v>0</v>
      </c>
    </row>
    <row r="2264" spans="2:5" ht="15.75" hidden="1" customHeight="1">
      <c r="B2264">
        <f>Tuts!B2261</f>
        <v>0</v>
      </c>
      <c r="C2264" s="13">
        <f>Tuts!E2261</f>
        <v>0</v>
      </c>
      <c r="D2264" s="18">
        <f>Tuts!J2261</f>
        <v>0</v>
      </c>
      <c r="E2264" s="13">
        <f>Tuts!D2261</f>
        <v>0</v>
      </c>
    </row>
    <row r="2265" spans="2:5" ht="15.75" hidden="1" customHeight="1">
      <c r="B2265">
        <f>Tuts!B2262</f>
        <v>0</v>
      </c>
      <c r="C2265" s="13">
        <f>Tuts!E2262</f>
        <v>0</v>
      </c>
      <c r="D2265" s="18">
        <f>Tuts!J2262</f>
        <v>0</v>
      </c>
      <c r="E2265" s="13">
        <f>Tuts!D2262</f>
        <v>0</v>
      </c>
    </row>
    <row r="2266" spans="2:5" ht="15.75" hidden="1" customHeight="1">
      <c r="B2266">
        <f>Tuts!B2263</f>
        <v>0</v>
      </c>
      <c r="C2266" s="13">
        <f>Tuts!E2263</f>
        <v>0</v>
      </c>
      <c r="D2266" s="18">
        <f>Tuts!J2263</f>
        <v>0</v>
      </c>
      <c r="E2266" s="13">
        <f>Tuts!D2263</f>
        <v>0</v>
      </c>
    </row>
    <row r="2267" spans="2:5" ht="15.75" hidden="1" customHeight="1">
      <c r="B2267">
        <f>Tuts!B2264</f>
        <v>0</v>
      </c>
      <c r="C2267" s="13">
        <f>Tuts!E2264</f>
        <v>0</v>
      </c>
      <c r="D2267" s="18">
        <f>Tuts!J2264</f>
        <v>0</v>
      </c>
      <c r="E2267" s="13">
        <f>Tuts!D2264</f>
        <v>0</v>
      </c>
    </row>
    <row r="2268" spans="2:5" ht="15.75" hidden="1" customHeight="1">
      <c r="B2268">
        <f>Tuts!B2265</f>
        <v>0</v>
      </c>
      <c r="C2268" s="13">
        <f>Tuts!E2265</f>
        <v>0</v>
      </c>
      <c r="D2268" s="18">
        <f>Tuts!J2265</f>
        <v>0</v>
      </c>
      <c r="E2268" s="13">
        <f>Tuts!D2265</f>
        <v>0</v>
      </c>
    </row>
    <row r="2269" spans="2:5" ht="15.75" hidden="1" customHeight="1">
      <c r="B2269">
        <f>Tuts!B2266</f>
        <v>0</v>
      </c>
      <c r="C2269" s="13">
        <f>Tuts!E2266</f>
        <v>0</v>
      </c>
      <c r="D2269" s="18">
        <f>Tuts!J2266</f>
        <v>0</v>
      </c>
      <c r="E2269" s="13">
        <f>Tuts!D2266</f>
        <v>0</v>
      </c>
    </row>
    <row r="2270" spans="2:5" ht="15.75" hidden="1" customHeight="1">
      <c r="B2270">
        <f>Tuts!B2267</f>
        <v>0</v>
      </c>
      <c r="C2270" s="13">
        <f>Tuts!E2267</f>
        <v>0</v>
      </c>
      <c r="D2270" s="18">
        <f>Tuts!J2267</f>
        <v>0</v>
      </c>
      <c r="E2270" s="13">
        <f>Tuts!D2267</f>
        <v>0</v>
      </c>
    </row>
    <row r="2271" spans="2:5" ht="15.75" hidden="1" customHeight="1">
      <c r="B2271">
        <f>Tuts!B2268</f>
        <v>0</v>
      </c>
      <c r="C2271" s="13">
        <f>Tuts!E2268</f>
        <v>0</v>
      </c>
      <c r="D2271" s="18">
        <f>Tuts!J2268</f>
        <v>0</v>
      </c>
      <c r="E2271" s="13">
        <f>Tuts!D2268</f>
        <v>0</v>
      </c>
    </row>
    <row r="2272" spans="2:5" ht="15.75" hidden="1" customHeight="1">
      <c r="B2272">
        <f>Tuts!B2269</f>
        <v>0</v>
      </c>
      <c r="C2272" s="13">
        <f>Tuts!E2269</f>
        <v>0</v>
      </c>
      <c r="D2272" s="18">
        <f>Tuts!J2269</f>
        <v>0</v>
      </c>
      <c r="E2272" s="13">
        <f>Tuts!D2269</f>
        <v>0</v>
      </c>
    </row>
    <row r="2273" spans="2:5" ht="15.75" hidden="1" customHeight="1">
      <c r="B2273">
        <f>Tuts!B2270</f>
        <v>0</v>
      </c>
      <c r="C2273" s="13">
        <f>Tuts!E2270</f>
        <v>0</v>
      </c>
      <c r="D2273" s="18">
        <f>Tuts!J2270</f>
        <v>0</v>
      </c>
      <c r="E2273" s="13">
        <f>Tuts!D2270</f>
        <v>0</v>
      </c>
    </row>
    <row r="2274" spans="2:5" ht="15.75" hidden="1" customHeight="1">
      <c r="B2274">
        <f>Tuts!B2271</f>
        <v>0</v>
      </c>
      <c r="C2274" s="13">
        <f>Tuts!E2271</f>
        <v>0</v>
      </c>
      <c r="D2274" s="18">
        <f>Tuts!J2271</f>
        <v>0</v>
      </c>
      <c r="E2274" s="13">
        <f>Tuts!D2271</f>
        <v>0</v>
      </c>
    </row>
    <row r="2275" spans="2:5" ht="15.75" hidden="1" customHeight="1">
      <c r="B2275">
        <f>Tuts!B2272</f>
        <v>0</v>
      </c>
      <c r="C2275" s="13">
        <f>Tuts!E2272</f>
        <v>0</v>
      </c>
      <c r="D2275" s="18">
        <f>Tuts!J2272</f>
        <v>0</v>
      </c>
      <c r="E2275" s="13">
        <f>Tuts!D2272</f>
        <v>0</v>
      </c>
    </row>
    <row r="2276" spans="2:5" ht="15.75" hidden="1" customHeight="1">
      <c r="B2276">
        <f>Tuts!B2273</f>
        <v>0</v>
      </c>
      <c r="C2276" s="13">
        <f>Tuts!E2273</f>
        <v>0</v>
      </c>
      <c r="D2276" s="18">
        <f>Tuts!J2273</f>
        <v>0</v>
      </c>
      <c r="E2276" s="13">
        <f>Tuts!D2273</f>
        <v>0</v>
      </c>
    </row>
    <row r="2277" spans="2:5" ht="15.75" hidden="1" customHeight="1">
      <c r="B2277">
        <f>Tuts!B2274</f>
        <v>0</v>
      </c>
      <c r="C2277" s="13">
        <f>Tuts!E2274</f>
        <v>0</v>
      </c>
      <c r="D2277" s="18">
        <f>Tuts!J2274</f>
        <v>0</v>
      </c>
      <c r="E2277" s="13">
        <f>Tuts!D2274</f>
        <v>0</v>
      </c>
    </row>
    <row r="2278" spans="2:5" ht="15.75" hidden="1" customHeight="1">
      <c r="B2278">
        <f>Tuts!B2275</f>
        <v>0</v>
      </c>
      <c r="C2278" s="13">
        <f>Tuts!E2275</f>
        <v>0</v>
      </c>
      <c r="D2278" s="18">
        <f>Tuts!J2275</f>
        <v>0</v>
      </c>
      <c r="E2278" s="13">
        <f>Tuts!D2275</f>
        <v>0</v>
      </c>
    </row>
    <row r="2279" spans="2:5" ht="15.75" hidden="1" customHeight="1">
      <c r="B2279">
        <f>Tuts!B2276</f>
        <v>0</v>
      </c>
      <c r="C2279" s="13">
        <f>Tuts!E2276</f>
        <v>0</v>
      </c>
      <c r="D2279" s="18">
        <f>Tuts!J2276</f>
        <v>0</v>
      </c>
      <c r="E2279" s="13">
        <f>Tuts!D2276</f>
        <v>0</v>
      </c>
    </row>
    <row r="2280" spans="2:5" ht="15.75" hidden="1" customHeight="1">
      <c r="B2280">
        <f>Tuts!B2277</f>
        <v>0</v>
      </c>
      <c r="C2280" s="13">
        <f>Tuts!E2277</f>
        <v>0</v>
      </c>
      <c r="D2280" s="18">
        <f>Tuts!J2277</f>
        <v>0</v>
      </c>
      <c r="E2280" s="13">
        <f>Tuts!D2277</f>
        <v>0</v>
      </c>
    </row>
    <row r="2281" spans="2:5" ht="15.75" hidden="1" customHeight="1">
      <c r="B2281">
        <f>Tuts!B2278</f>
        <v>0</v>
      </c>
      <c r="C2281" s="13">
        <f>Tuts!E2278</f>
        <v>0</v>
      </c>
      <c r="D2281" s="18">
        <f>Tuts!J2278</f>
        <v>0</v>
      </c>
      <c r="E2281" s="13">
        <f>Tuts!D2278</f>
        <v>0</v>
      </c>
    </row>
    <row r="2282" spans="2:5" ht="15.75" hidden="1" customHeight="1">
      <c r="B2282">
        <f>Tuts!B2279</f>
        <v>0</v>
      </c>
      <c r="C2282" s="13">
        <f>Tuts!E2279</f>
        <v>0</v>
      </c>
      <c r="D2282" s="18">
        <f>Tuts!J2279</f>
        <v>0</v>
      </c>
      <c r="E2282" s="13">
        <f>Tuts!D2279</f>
        <v>0</v>
      </c>
    </row>
    <row r="2283" spans="2:5" ht="15.75" hidden="1" customHeight="1">
      <c r="B2283">
        <f>Tuts!B2280</f>
        <v>0</v>
      </c>
      <c r="C2283" s="13">
        <f>Tuts!E2280</f>
        <v>0</v>
      </c>
      <c r="D2283" s="18">
        <f>Tuts!J2280</f>
        <v>0</v>
      </c>
      <c r="E2283" s="13">
        <f>Tuts!D2280</f>
        <v>0</v>
      </c>
    </row>
    <row r="2284" spans="2:5" ht="15.75" hidden="1" customHeight="1">
      <c r="B2284">
        <f>Tuts!B2281</f>
        <v>0</v>
      </c>
      <c r="C2284" s="13">
        <f>Tuts!E2281</f>
        <v>0</v>
      </c>
      <c r="D2284" s="18">
        <f>Tuts!J2281</f>
        <v>0</v>
      </c>
      <c r="E2284" s="13">
        <f>Tuts!D2281</f>
        <v>0</v>
      </c>
    </row>
    <row r="2285" spans="2:5" ht="15.75" hidden="1" customHeight="1">
      <c r="B2285">
        <f>Tuts!B2282</f>
        <v>0</v>
      </c>
      <c r="C2285" s="13">
        <f>Tuts!E2282</f>
        <v>0</v>
      </c>
      <c r="D2285" s="18">
        <f>Tuts!J2282</f>
        <v>0</v>
      </c>
      <c r="E2285" s="13">
        <f>Tuts!D2282</f>
        <v>0</v>
      </c>
    </row>
    <row r="2286" spans="2:5" ht="15.75" hidden="1" customHeight="1">
      <c r="B2286">
        <f>Tuts!B2283</f>
        <v>0</v>
      </c>
      <c r="C2286" s="13">
        <f>Tuts!E2283</f>
        <v>0</v>
      </c>
      <c r="D2286" s="18">
        <f>Tuts!J2283</f>
        <v>0</v>
      </c>
      <c r="E2286" s="13">
        <f>Tuts!D2283</f>
        <v>0</v>
      </c>
    </row>
    <row r="2287" spans="2:5" ht="15.75" hidden="1" customHeight="1">
      <c r="B2287">
        <f>Tuts!B2284</f>
        <v>0</v>
      </c>
      <c r="C2287" s="13">
        <f>Tuts!E2284</f>
        <v>0</v>
      </c>
      <c r="D2287" s="18">
        <f>Tuts!J2284</f>
        <v>0</v>
      </c>
      <c r="E2287" s="13">
        <f>Tuts!D2284</f>
        <v>0</v>
      </c>
    </row>
    <row r="2288" spans="2:5" ht="15.75" hidden="1" customHeight="1">
      <c r="B2288">
        <f>Tuts!B2285</f>
        <v>0</v>
      </c>
      <c r="C2288" s="13">
        <f>Tuts!E2285</f>
        <v>0</v>
      </c>
      <c r="D2288" s="18">
        <f>Tuts!J2285</f>
        <v>0</v>
      </c>
      <c r="E2288" s="13">
        <f>Tuts!D2285</f>
        <v>0</v>
      </c>
    </row>
    <row r="2289" spans="3:5" ht="15.75" hidden="1" customHeight="1">
      <c r="C2289" s="13"/>
      <c r="D2289" s="18"/>
      <c r="E2289" s="13"/>
    </row>
    <row r="2290" spans="3:5" ht="15.75" hidden="1" customHeight="1">
      <c r="C2290" s="13"/>
      <c r="D2290" s="18"/>
      <c r="E2290" s="13"/>
    </row>
    <row r="2291" spans="3:5" ht="15.75" hidden="1" customHeight="1">
      <c r="C2291" s="13"/>
      <c r="D2291" s="18"/>
      <c r="E2291" s="13"/>
    </row>
    <row r="2292" spans="3:5" ht="15.75" hidden="1" customHeight="1">
      <c r="C2292" s="13"/>
      <c r="D2292" s="18"/>
      <c r="E2292" s="13"/>
    </row>
    <row r="2293" spans="3:5" ht="15.75" hidden="1" customHeight="1">
      <c r="C2293" s="13"/>
      <c r="D2293" s="18"/>
      <c r="E2293" s="13"/>
    </row>
    <row r="2294" spans="3:5" ht="15.75" hidden="1" customHeight="1">
      <c r="C2294" s="13"/>
      <c r="D2294" s="18"/>
      <c r="E2294" s="13"/>
    </row>
    <row r="2295" spans="3:5" ht="15.75" hidden="1" customHeight="1">
      <c r="C2295" s="13"/>
      <c r="D2295" s="18"/>
      <c r="E2295" s="13"/>
    </row>
    <row r="2296" spans="3:5" ht="15.75" hidden="1" customHeight="1">
      <c r="C2296" s="13"/>
      <c r="D2296" s="18"/>
      <c r="E2296" s="13"/>
    </row>
    <row r="2297" spans="3:5" ht="15.75" hidden="1" customHeight="1">
      <c r="C2297" s="13"/>
      <c r="D2297" s="18"/>
      <c r="E2297" s="13"/>
    </row>
    <row r="2298" spans="3:5" ht="15.75" hidden="1" customHeight="1">
      <c r="C2298" s="13"/>
      <c r="D2298" s="18"/>
      <c r="E2298" s="13"/>
    </row>
    <row r="2299" spans="3:5" ht="15.75" hidden="1" customHeight="1">
      <c r="C2299" s="13"/>
      <c r="D2299" s="18"/>
      <c r="E2299" s="13"/>
    </row>
    <row r="2300" spans="3:5" ht="15.75" hidden="1" customHeight="1">
      <c r="C2300" s="13"/>
      <c r="D2300" s="18"/>
      <c r="E2300" s="13"/>
    </row>
    <row r="2301" spans="3:5" ht="15.75" hidden="1" customHeight="1">
      <c r="C2301" s="13"/>
      <c r="D2301" s="18"/>
      <c r="E2301" s="13"/>
    </row>
    <row r="2302" spans="3:5" ht="15.75" hidden="1" customHeight="1">
      <c r="C2302" s="13"/>
      <c r="D2302" s="18"/>
      <c r="E2302" s="13"/>
    </row>
    <row r="2303" spans="3:5" ht="15.75" hidden="1" customHeight="1">
      <c r="C2303" s="13"/>
      <c r="D2303" s="18"/>
      <c r="E2303" s="13"/>
    </row>
    <row r="2304" spans="3:5" ht="15.75" hidden="1" customHeight="1">
      <c r="C2304" s="13"/>
      <c r="D2304" s="18"/>
      <c r="E2304" s="13"/>
    </row>
    <row r="2305" spans="3:5" ht="15.75" hidden="1" customHeight="1">
      <c r="C2305" s="13"/>
      <c r="D2305" s="18"/>
      <c r="E2305" s="13"/>
    </row>
    <row r="2306" spans="3:5" ht="15.75" hidden="1" customHeight="1">
      <c r="C2306" s="13"/>
      <c r="D2306" s="18"/>
      <c r="E2306" s="13"/>
    </row>
    <row r="2307" spans="3:5" ht="15.75" hidden="1" customHeight="1">
      <c r="C2307" s="13"/>
      <c r="D2307" s="18"/>
      <c r="E2307" s="13"/>
    </row>
    <row r="2308" spans="3:5" ht="15.75" hidden="1" customHeight="1">
      <c r="C2308" s="13"/>
      <c r="D2308" s="18"/>
      <c r="E2308" s="13"/>
    </row>
    <row r="2309" spans="3:5" ht="15.75" hidden="1" customHeight="1">
      <c r="C2309" s="13"/>
      <c r="D2309" s="18"/>
      <c r="E2309" s="13"/>
    </row>
    <row r="2310" spans="3:5" ht="15.75" hidden="1" customHeight="1">
      <c r="C2310" s="13"/>
      <c r="D2310" s="18"/>
      <c r="E2310" s="13"/>
    </row>
    <row r="2311" spans="3:5" ht="15.75" hidden="1" customHeight="1">
      <c r="C2311" s="13"/>
      <c r="D2311" s="18"/>
      <c r="E2311" s="13"/>
    </row>
    <row r="2312" spans="3:5" ht="15.75" hidden="1" customHeight="1">
      <c r="C2312" s="13"/>
      <c r="D2312" s="18"/>
      <c r="E2312" s="13"/>
    </row>
    <row r="2313" spans="3:5" ht="15.75" hidden="1" customHeight="1">
      <c r="C2313" s="13"/>
      <c r="D2313" s="18"/>
      <c r="E2313" s="13"/>
    </row>
    <row r="2314" spans="3:5" ht="15.75" hidden="1" customHeight="1">
      <c r="C2314" s="13"/>
      <c r="D2314" s="18"/>
      <c r="E2314" s="13"/>
    </row>
    <row r="2315" spans="3:5" ht="15.75" hidden="1" customHeight="1">
      <c r="C2315" s="13"/>
      <c r="D2315" s="18"/>
      <c r="E2315" s="13"/>
    </row>
    <row r="2316" spans="3:5" ht="15.75" hidden="1" customHeight="1">
      <c r="C2316" s="13"/>
      <c r="D2316" s="18"/>
      <c r="E2316" s="13"/>
    </row>
    <row r="2317" spans="3:5" ht="15.75" hidden="1" customHeight="1">
      <c r="C2317" s="13"/>
      <c r="D2317" s="18"/>
      <c r="E2317" s="13"/>
    </row>
    <row r="2318" spans="3:5" ht="15.75" hidden="1" customHeight="1">
      <c r="C2318" s="13"/>
      <c r="D2318" s="18"/>
      <c r="E2318" s="13"/>
    </row>
    <row r="2319" spans="3:5" ht="15.75" hidden="1" customHeight="1">
      <c r="C2319" s="13"/>
      <c r="D2319" s="18"/>
      <c r="E2319" s="13"/>
    </row>
    <row r="2320" spans="3:5" ht="15.75" hidden="1" customHeight="1">
      <c r="C2320" s="13"/>
      <c r="D2320" s="18"/>
      <c r="E2320" s="13"/>
    </row>
    <row r="2321" spans="3:5" ht="15.75" hidden="1" customHeight="1">
      <c r="C2321" s="13"/>
      <c r="D2321" s="18"/>
      <c r="E2321" s="13"/>
    </row>
    <row r="2322" spans="3:5" ht="15.75" hidden="1" customHeight="1">
      <c r="C2322" s="13"/>
      <c r="D2322" s="18"/>
      <c r="E2322" s="13"/>
    </row>
    <row r="2323" spans="3:5" ht="15.75" hidden="1" customHeight="1">
      <c r="C2323" s="13"/>
      <c r="D2323" s="18"/>
      <c r="E2323" s="13"/>
    </row>
    <row r="2324" spans="3:5" ht="15.75" hidden="1" customHeight="1">
      <c r="C2324" s="13"/>
      <c r="D2324" s="18"/>
      <c r="E2324" s="13"/>
    </row>
    <row r="2325" spans="3:5" ht="15.75" hidden="1" customHeight="1">
      <c r="C2325" s="13"/>
      <c r="D2325" s="18"/>
      <c r="E2325" s="13"/>
    </row>
    <row r="2326" spans="3:5" ht="15.75" hidden="1" customHeight="1">
      <c r="C2326" s="13"/>
      <c r="D2326" s="18"/>
      <c r="E2326" s="13"/>
    </row>
    <row r="2327" spans="3:5" ht="15.75" hidden="1" customHeight="1">
      <c r="C2327" s="13"/>
      <c r="D2327" s="18"/>
      <c r="E2327" s="13"/>
    </row>
    <row r="2328" spans="3:5" ht="15.75" hidden="1" customHeight="1">
      <c r="C2328" s="13"/>
      <c r="D2328" s="18"/>
      <c r="E2328" s="13"/>
    </row>
    <row r="2329" spans="3:5" ht="15.75" hidden="1" customHeight="1">
      <c r="C2329" s="13"/>
      <c r="D2329" s="18"/>
      <c r="E2329" s="13"/>
    </row>
    <row r="2330" spans="3:5" ht="15.75" hidden="1" customHeight="1">
      <c r="C2330" s="13"/>
      <c r="D2330" s="18"/>
      <c r="E2330" s="13"/>
    </row>
    <row r="2331" spans="3:5" ht="15.75" hidden="1" customHeight="1">
      <c r="C2331" s="13"/>
      <c r="D2331" s="18"/>
      <c r="E2331" s="13"/>
    </row>
    <row r="2332" spans="3:5" ht="15.75" hidden="1" customHeight="1">
      <c r="C2332" s="13"/>
      <c r="D2332" s="18"/>
      <c r="E2332" s="13"/>
    </row>
    <row r="2333" spans="3:5" ht="15.75" hidden="1" customHeight="1">
      <c r="C2333" s="13"/>
      <c r="D2333" s="18"/>
      <c r="E2333" s="13"/>
    </row>
    <row r="2334" spans="3:5" ht="15.75" hidden="1" customHeight="1">
      <c r="C2334" s="13"/>
      <c r="D2334" s="18"/>
      <c r="E2334" s="13"/>
    </row>
    <row r="2335" spans="3:5" ht="15.75" hidden="1" customHeight="1">
      <c r="C2335" s="13"/>
      <c r="D2335" s="18"/>
      <c r="E2335" s="13"/>
    </row>
    <row r="2336" spans="3:5" ht="15.75" hidden="1" customHeight="1">
      <c r="C2336" s="13"/>
      <c r="D2336" s="18"/>
      <c r="E2336" s="13"/>
    </row>
    <row r="2337" spans="3:5" ht="15.75" hidden="1" customHeight="1">
      <c r="C2337" s="13"/>
      <c r="D2337" s="18"/>
      <c r="E2337" s="13"/>
    </row>
    <row r="2338" spans="3:5" ht="15.75" hidden="1" customHeight="1">
      <c r="C2338" s="13"/>
      <c r="D2338" s="18"/>
      <c r="E2338" s="13"/>
    </row>
    <row r="2339" spans="3:5" ht="15.75" hidden="1" customHeight="1">
      <c r="C2339" s="13"/>
      <c r="D2339" s="18"/>
      <c r="E2339" s="13"/>
    </row>
    <row r="2340" spans="3:5" ht="15.75" hidden="1" customHeight="1">
      <c r="C2340" s="13"/>
      <c r="D2340" s="18"/>
      <c r="E2340" s="13"/>
    </row>
    <row r="2341" spans="3:5" ht="15.75" hidden="1" customHeight="1">
      <c r="C2341" s="13"/>
      <c r="D2341" s="18"/>
      <c r="E2341" s="13"/>
    </row>
    <row r="2342" spans="3:5" ht="15.75" hidden="1" customHeight="1">
      <c r="C2342" s="13"/>
      <c r="D2342" s="18"/>
      <c r="E2342" s="13"/>
    </row>
    <row r="2343" spans="3:5" ht="15.75" hidden="1" customHeight="1">
      <c r="C2343" s="13"/>
      <c r="D2343" s="18"/>
      <c r="E2343" s="13"/>
    </row>
    <row r="2344" spans="3:5" ht="15.75" hidden="1" customHeight="1">
      <c r="C2344" s="13"/>
      <c r="D2344" s="18"/>
      <c r="E2344" s="13"/>
    </row>
    <row r="2345" spans="3:5" ht="15.75" hidden="1" customHeight="1">
      <c r="C2345" s="13"/>
      <c r="D2345" s="18"/>
      <c r="E2345" s="13"/>
    </row>
    <row r="2346" spans="3:5" ht="15.75" hidden="1" customHeight="1">
      <c r="C2346" s="13"/>
      <c r="D2346" s="18"/>
      <c r="E2346" s="13"/>
    </row>
    <row r="2347" spans="3:5" ht="15.75" hidden="1" customHeight="1">
      <c r="C2347" s="13"/>
      <c r="D2347" s="18"/>
      <c r="E2347" s="13"/>
    </row>
    <row r="2348" spans="3:5" ht="15.75" hidden="1" customHeight="1">
      <c r="C2348" s="13"/>
      <c r="D2348" s="18"/>
      <c r="E2348" s="13"/>
    </row>
    <row r="2349" spans="3:5" ht="15.75" hidden="1" customHeight="1">
      <c r="C2349" s="13"/>
      <c r="D2349" s="18"/>
      <c r="E2349" s="13"/>
    </row>
    <row r="2350" spans="3:5" ht="15.75" hidden="1" customHeight="1">
      <c r="C2350" s="13"/>
      <c r="D2350" s="18"/>
      <c r="E2350" s="13"/>
    </row>
    <row r="2351" spans="3:5" ht="15.75" hidden="1" customHeight="1">
      <c r="C2351" s="13"/>
      <c r="D2351" s="18"/>
      <c r="E2351" s="13"/>
    </row>
    <row r="2352" spans="3:5" ht="15.75" hidden="1" customHeight="1">
      <c r="C2352" s="13"/>
      <c r="D2352" s="18"/>
      <c r="E2352" s="13"/>
    </row>
    <row r="2353" spans="3:5" ht="15.75" hidden="1" customHeight="1">
      <c r="C2353" s="13"/>
      <c r="D2353" s="18"/>
      <c r="E2353" s="13"/>
    </row>
    <row r="2354" spans="3:5" ht="15.75" hidden="1" customHeight="1">
      <c r="C2354" s="13"/>
      <c r="D2354" s="18"/>
      <c r="E2354" s="13"/>
    </row>
    <row r="2355" spans="3:5" ht="15.75" hidden="1" customHeight="1">
      <c r="C2355" s="13"/>
      <c r="D2355" s="18"/>
      <c r="E2355" s="13"/>
    </row>
    <row r="2356" spans="3:5" ht="15.75" hidden="1" customHeight="1">
      <c r="C2356" s="13"/>
      <c r="D2356" s="18"/>
      <c r="E2356" s="13"/>
    </row>
    <row r="2357" spans="3:5" ht="15.75" hidden="1" customHeight="1">
      <c r="C2357" s="13"/>
      <c r="D2357" s="18"/>
      <c r="E2357" s="13"/>
    </row>
    <row r="2358" spans="3:5" ht="15.75" hidden="1" customHeight="1">
      <c r="C2358" s="13"/>
      <c r="D2358" s="18"/>
      <c r="E2358" s="13"/>
    </row>
    <row r="2359" spans="3:5" ht="15.75" hidden="1" customHeight="1">
      <c r="C2359" s="13"/>
      <c r="D2359" s="18"/>
      <c r="E2359" s="13"/>
    </row>
    <row r="2360" spans="3:5" ht="15.75" hidden="1" customHeight="1">
      <c r="C2360" s="13"/>
      <c r="D2360" s="18"/>
      <c r="E2360" s="13"/>
    </row>
    <row r="2361" spans="3:5" ht="15.75" hidden="1" customHeight="1">
      <c r="C2361" s="13"/>
      <c r="D2361" s="18"/>
      <c r="E2361" s="13"/>
    </row>
    <row r="2362" spans="3:5" ht="15.75" hidden="1" customHeight="1">
      <c r="C2362" s="13"/>
      <c r="D2362" s="18"/>
      <c r="E2362" s="13"/>
    </row>
    <row r="2363" spans="3:5" ht="15.75" hidden="1" customHeight="1">
      <c r="C2363" s="13"/>
      <c r="D2363" s="18"/>
      <c r="E2363" s="13"/>
    </row>
    <row r="2364" spans="3:5" ht="15.75" hidden="1" customHeight="1">
      <c r="C2364" s="13"/>
      <c r="D2364" s="18"/>
      <c r="E2364" s="13"/>
    </row>
    <row r="2365" spans="3:5" ht="15.75" hidden="1" customHeight="1">
      <c r="C2365" s="13"/>
      <c r="D2365" s="18"/>
      <c r="E2365" s="13"/>
    </row>
    <row r="2366" spans="3:5" ht="15.75" hidden="1" customHeight="1">
      <c r="C2366" s="13"/>
      <c r="D2366" s="18"/>
      <c r="E2366" s="13"/>
    </row>
    <row r="2367" spans="3:5" ht="15.75" hidden="1" customHeight="1">
      <c r="C2367" s="13"/>
      <c r="D2367" s="18"/>
      <c r="E2367" s="13"/>
    </row>
    <row r="2368" spans="3:5" ht="15.75" hidden="1" customHeight="1">
      <c r="C2368" s="13"/>
      <c r="D2368" s="18"/>
      <c r="E2368" s="13"/>
    </row>
    <row r="2369" spans="3:5" ht="15.75" hidden="1" customHeight="1">
      <c r="C2369" s="13"/>
      <c r="D2369" s="18"/>
      <c r="E2369" s="13"/>
    </row>
    <row r="2370" spans="3:5" ht="15.75" hidden="1" customHeight="1">
      <c r="C2370" s="13"/>
      <c r="D2370" s="18"/>
      <c r="E2370" s="13"/>
    </row>
    <row r="2371" spans="3:5" ht="15.75" hidden="1" customHeight="1">
      <c r="C2371" s="13"/>
      <c r="D2371" s="18"/>
      <c r="E2371" s="13"/>
    </row>
    <row r="2372" spans="3:5" ht="15.75" hidden="1" customHeight="1">
      <c r="C2372" s="13"/>
      <c r="D2372" s="18"/>
      <c r="E2372" s="13"/>
    </row>
    <row r="2373" spans="3:5" ht="15.75" hidden="1" customHeight="1">
      <c r="C2373" s="13"/>
      <c r="D2373" s="18"/>
      <c r="E2373" s="13"/>
    </row>
    <row r="2374" spans="3:5" ht="15.75" hidden="1" customHeight="1">
      <c r="C2374" s="13"/>
      <c r="D2374" s="18"/>
      <c r="E2374" s="13"/>
    </row>
    <row r="2375" spans="3:5" ht="15.75" hidden="1" customHeight="1">
      <c r="C2375" s="13"/>
      <c r="D2375" s="18"/>
      <c r="E2375" s="13"/>
    </row>
    <row r="2376" spans="3:5" ht="15.75" hidden="1" customHeight="1">
      <c r="C2376" s="13"/>
      <c r="D2376" s="18"/>
      <c r="E2376" s="13"/>
    </row>
    <row r="2377" spans="3:5" ht="15.75" hidden="1" customHeight="1">
      <c r="C2377" s="13"/>
      <c r="D2377" s="18"/>
      <c r="E2377" s="13"/>
    </row>
    <row r="2378" spans="3:5" ht="15.75" hidden="1" customHeight="1">
      <c r="C2378" s="13"/>
      <c r="D2378" s="18"/>
      <c r="E2378" s="13"/>
    </row>
    <row r="2379" spans="3:5" ht="15.75" hidden="1" customHeight="1">
      <c r="C2379" s="13"/>
      <c r="D2379" s="18"/>
      <c r="E2379" s="13"/>
    </row>
    <row r="2380" spans="3:5" ht="15.75" hidden="1" customHeight="1">
      <c r="C2380" s="13"/>
      <c r="D2380" s="18"/>
      <c r="E2380" s="13"/>
    </row>
    <row r="2381" spans="3:5" ht="15.75" hidden="1" customHeight="1">
      <c r="C2381" s="13"/>
      <c r="D2381" s="18"/>
      <c r="E2381" s="13"/>
    </row>
    <row r="2382" spans="3:5" ht="15.75" hidden="1" customHeight="1">
      <c r="C2382" s="13"/>
      <c r="D2382" s="18"/>
      <c r="E2382" s="13"/>
    </row>
    <row r="2383" spans="3:5" ht="15.75" hidden="1" customHeight="1">
      <c r="C2383" s="13"/>
      <c r="D2383" s="18"/>
      <c r="E2383" s="13"/>
    </row>
    <row r="2384" spans="3:5" ht="15.75" hidden="1" customHeight="1">
      <c r="C2384" s="13"/>
      <c r="D2384" s="18"/>
      <c r="E2384" s="13"/>
    </row>
    <row r="2385" spans="3:5" ht="15.75" hidden="1" customHeight="1">
      <c r="C2385" s="13"/>
      <c r="D2385" s="18"/>
      <c r="E2385" s="13"/>
    </row>
    <row r="2386" spans="3:5" ht="15.75" hidden="1" customHeight="1">
      <c r="C2386" s="13"/>
      <c r="D2386" s="18"/>
      <c r="E2386" s="13"/>
    </row>
    <row r="2387" spans="3:5" ht="15.75" hidden="1" customHeight="1">
      <c r="C2387" s="13"/>
      <c r="D2387" s="18"/>
      <c r="E2387" s="13"/>
    </row>
    <row r="2388" spans="3:5" ht="15.75" hidden="1" customHeight="1">
      <c r="C2388" s="13"/>
      <c r="D2388" s="18"/>
      <c r="E2388" s="13"/>
    </row>
    <row r="2389" spans="3:5" ht="15.75" hidden="1" customHeight="1">
      <c r="C2389" s="13"/>
      <c r="D2389" s="18"/>
      <c r="E2389" s="13"/>
    </row>
    <row r="2390" spans="3:5" ht="15.75" hidden="1" customHeight="1">
      <c r="C2390" s="13"/>
      <c r="D2390" s="18"/>
      <c r="E2390" s="13"/>
    </row>
    <row r="2391" spans="3:5" ht="15.75" hidden="1" customHeight="1">
      <c r="C2391" s="13"/>
      <c r="D2391" s="18"/>
      <c r="E2391" s="13"/>
    </row>
    <row r="2392" spans="3:5" ht="15.75" hidden="1" customHeight="1">
      <c r="C2392" s="13"/>
      <c r="D2392" s="18"/>
      <c r="E2392" s="13"/>
    </row>
    <row r="2393" spans="3:5" ht="15.75" hidden="1" customHeight="1">
      <c r="C2393" s="13"/>
      <c r="D2393" s="18"/>
      <c r="E2393" s="13"/>
    </row>
    <row r="2394" spans="3:5" ht="15.75" hidden="1" customHeight="1">
      <c r="C2394" s="13"/>
      <c r="D2394" s="18"/>
      <c r="E2394" s="13"/>
    </row>
    <row r="2395" spans="3:5" ht="15.75" hidden="1" customHeight="1">
      <c r="C2395" s="13"/>
      <c r="D2395" s="18"/>
      <c r="E2395" s="13"/>
    </row>
    <row r="2396" spans="3:5" ht="15.75" hidden="1" customHeight="1">
      <c r="C2396" s="13"/>
      <c r="D2396" s="18"/>
      <c r="E2396" s="13"/>
    </row>
    <row r="2397" spans="3:5" ht="15.75" hidden="1" customHeight="1">
      <c r="C2397" s="13"/>
      <c r="D2397" s="18"/>
      <c r="E2397" s="13"/>
    </row>
    <row r="2398" spans="3:5" ht="15.75" hidden="1" customHeight="1">
      <c r="C2398" s="13"/>
      <c r="D2398" s="18"/>
      <c r="E2398" s="13"/>
    </row>
    <row r="2399" spans="3:5" ht="15.75" hidden="1" customHeight="1">
      <c r="C2399" s="13"/>
      <c r="D2399" s="18"/>
      <c r="E2399" s="13"/>
    </row>
    <row r="2400" spans="3:5" ht="15.75" hidden="1" customHeight="1">
      <c r="C2400" s="13"/>
      <c r="D2400" s="18"/>
      <c r="E2400" s="13"/>
    </row>
    <row r="2401" spans="3:5" ht="15.75" hidden="1" customHeight="1">
      <c r="C2401" s="13"/>
      <c r="D2401" s="18"/>
      <c r="E2401" s="13"/>
    </row>
    <row r="2402" spans="3:5" ht="15.75" hidden="1" customHeight="1">
      <c r="C2402" s="13"/>
      <c r="D2402" s="18"/>
      <c r="E2402" s="13"/>
    </row>
    <row r="2403" spans="3:5" ht="15.75" hidden="1" customHeight="1">
      <c r="C2403" s="13"/>
      <c r="D2403" s="18"/>
      <c r="E2403" s="13"/>
    </row>
    <row r="2404" spans="3:5" ht="15.75" hidden="1" customHeight="1">
      <c r="C2404" s="13"/>
      <c r="D2404" s="18"/>
      <c r="E2404" s="13"/>
    </row>
    <row r="2405" spans="3:5" ht="15.75" hidden="1" customHeight="1">
      <c r="C2405" s="13"/>
      <c r="D2405" s="18"/>
      <c r="E2405" s="13"/>
    </row>
    <row r="2406" spans="3:5" ht="15.75" hidden="1" customHeight="1">
      <c r="C2406" s="13"/>
      <c r="D2406" s="18"/>
      <c r="E2406" s="13"/>
    </row>
    <row r="2407" spans="3:5" ht="15.75" hidden="1" customHeight="1">
      <c r="C2407" s="13"/>
      <c r="D2407" s="18"/>
      <c r="E2407" s="13"/>
    </row>
    <row r="2408" spans="3:5" ht="15.75" hidden="1" customHeight="1">
      <c r="C2408" s="13"/>
      <c r="D2408" s="18"/>
      <c r="E2408" s="13"/>
    </row>
    <row r="2409" spans="3:5" ht="15.75" hidden="1" customHeight="1">
      <c r="C2409" s="13"/>
      <c r="D2409" s="18"/>
      <c r="E2409" s="13"/>
    </row>
    <row r="2410" spans="3:5" ht="15.75" hidden="1" customHeight="1">
      <c r="C2410" s="13"/>
      <c r="D2410" s="18"/>
      <c r="E2410" s="13"/>
    </row>
    <row r="2411" spans="3:5" ht="15.75" hidden="1" customHeight="1">
      <c r="C2411" s="13"/>
      <c r="D2411" s="18"/>
      <c r="E2411" s="13"/>
    </row>
    <row r="2412" spans="3:5" ht="15.75" hidden="1" customHeight="1">
      <c r="C2412" s="13"/>
      <c r="D2412" s="18"/>
      <c r="E2412" s="13"/>
    </row>
    <row r="2413" spans="3:5" ht="15.75" hidden="1" customHeight="1">
      <c r="C2413" s="13"/>
      <c r="D2413" s="18"/>
      <c r="E2413" s="13"/>
    </row>
    <row r="2414" spans="3:5" ht="15.75" hidden="1" customHeight="1">
      <c r="C2414" s="13"/>
      <c r="D2414" s="18"/>
      <c r="E2414" s="13"/>
    </row>
    <row r="2415" spans="3:5" ht="15.75" hidden="1" customHeight="1">
      <c r="C2415" s="13"/>
      <c r="D2415" s="18"/>
      <c r="E2415" s="13"/>
    </row>
    <row r="2416" spans="3:5" ht="15.75" hidden="1" customHeight="1">
      <c r="C2416" s="13"/>
      <c r="D2416" s="18"/>
      <c r="E2416" s="13"/>
    </row>
    <row r="2417" spans="3:5" ht="15.75" hidden="1" customHeight="1">
      <c r="C2417" s="13"/>
      <c r="D2417" s="18"/>
      <c r="E2417" s="13"/>
    </row>
    <row r="2418" spans="3:5" ht="15.75" hidden="1" customHeight="1">
      <c r="C2418" s="13"/>
      <c r="D2418" s="18"/>
      <c r="E2418" s="13"/>
    </row>
    <row r="2419" spans="3:5" ht="15.75" hidden="1" customHeight="1">
      <c r="C2419" s="13"/>
      <c r="D2419" s="18"/>
      <c r="E2419" s="13"/>
    </row>
    <row r="2420" spans="3:5" ht="15.75" hidden="1" customHeight="1">
      <c r="C2420" s="13"/>
      <c r="D2420" s="18"/>
      <c r="E2420" s="13"/>
    </row>
    <row r="2421" spans="3:5" ht="15.75" hidden="1" customHeight="1">
      <c r="C2421" s="13"/>
      <c r="D2421" s="18"/>
      <c r="E2421" s="13"/>
    </row>
    <row r="2422" spans="3:5" ht="15.75" hidden="1" customHeight="1">
      <c r="C2422" s="13"/>
      <c r="D2422" s="18"/>
      <c r="E2422" s="13"/>
    </row>
    <row r="2423" spans="3:5" ht="15.75" hidden="1" customHeight="1">
      <c r="C2423" s="13"/>
      <c r="D2423" s="18"/>
      <c r="E2423" s="13"/>
    </row>
    <row r="2424" spans="3:5" ht="15.75" hidden="1" customHeight="1">
      <c r="C2424" s="13"/>
      <c r="D2424" s="18"/>
      <c r="E2424" s="13"/>
    </row>
    <row r="2425" spans="3:5" ht="15.75" hidden="1" customHeight="1">
      <c r="C2425" s="13"/>
      <c r="D2425" s="18"/>
      <c r="E2425" s="13"/>
    </row>
    <row r="2426" spans="3:5" ht="15.75" hidden="1" customHeight="1">
      <c r="C2426" s="13"/>
      <c r="D2426" s="18"/>
      <c r="E2426" s="13"/>
    </row>
    <row r="2427" spans="3:5" ht="15.75" hidden="1" customHeight="1">
      <c r="C2427" s="13"/>
      <c r="D2427" s="18"/>
      <c r="E2427" s="13"/>
    </row>
    <row r="2428" spans="3:5" ht="15.75" hidden="1" customHeight="1">
      <c r="C2428" s="13"/>
      <c r="D2428" s="18"/>
      <c r="E2428" s="13"/>
    </row>
    <row r="2429" spans="3:5" ht="15.75" hidden="1" customHeight="1">
      <c r="C2429" s="13"/>
      <c r="D2429" s="18"/>
      <c r="E2429" s="13"/>
    </row>
    <row r="2430" spans="3:5" ht="15.75" hidden="1" customHeight="1">
      <c r="C2430" s="13"/>
      <c r="D2430" s="18"/>
      <c r="E2430" s="13"/>
    </row>
    <row r="2431" spans="3:5" ht="15.75" hidden="1" customHeight="1">
      <c r="C2431" s="13"/>
      <c r="D2431" s="18"/>
      <c r="E2431" s="13"/>
    </row>
    <row r="2432" spans="3:5" ht="15.75" hidden="1" customHeight="1">
      <c r="C2432" s="13"/>
      <c r="D2432" s="18"/>
      <c r="E2432" s="13"/>
    </row>
    <row r="2433" spans="3:5" ht="15.75" hidden="1" customHeight="1">
      <c r="C2433" s="13"/>
      <c r="D2433" s="18"/>
      <c r="E2433" s="13"/>
    </row>
    <row r="2434" spans="3:5" ht="15.75" hidden="1" customHeight="1">
      <c r="C2434" s="13"/>
      <c r="D2434" s="18"/>
      <c r="E2434" s="13"/>
    </row>
    <row r="2435" spans="3:5" ht="15.75" hidden="1" customHeight="1">
      <c r="C2435" s="13"/>
      <c r="D2435" s="18"/>
      <c r="E2435" s="13"/>
    </row>
    <row r="2436" spans="3:5" ht="15.75" hidden="1" customHeight="1">
      <c r="C2436" s="13"/>
      <c r="D2436" s="18"/>
      <c r="E2436" s="13"/>
    </row>
    <row r="2437" spans="3:5" ht="15.75" hidden="1" customHeight="1">
      <c r="C2437" s="13"/>
      <c r="D2437" s="18"/>
      <c r="E2437" s="13"/>
    </row>
    <row r="2438" spans="3:5" ht="15.75" hidden="1" customHeight="1">
      <c r="C2438" s="13"/>
      <c r="D2438" s="18"/>
      <c r="E2438" s="13"/>
    </row>
    <row r="2439" spans="3:5" ht="15.75" hidden="1" customHeight="1">
      <c r="C2439" s="13"/>
      <c r="D2439" s="18"/>
      <c r="E2439" s="13"/>
    </row>
    <row r="2440" spans="3:5" ht="15.75" hidden="1" customHeight="1">
      <c r="C2440" s="13"/>
      <c r="D2440" s="18"/>
      <c r="E2440" s="13"/>
    </row>
    <row r="2441" spans="3:5" ht="15.75" hidden="1" customHeight="1">
      <c r="C2441" s="13"/>
      <c r="D2441" s="18"/>
      <c r="E2441" s="13"/>
    </row>
    <row r="2442" spans="3:5" ht="15.75" hidden="1" customHeight="1">
      <c r="C2442" s="13"/>
      <c r="D2442" s="18"/>
      <c r="E2442" s="13"/>
    </row>
    <row r="2443" spans="3:5" ht="15.75" hidden="1" customHeight="1">
      <c r="C2443" s="13"/>
      <c r="D2443" s="18"/>
      <c r="E2443" s="13"/>
    </row>
    <row r="2444" spans="3:5" ht="15.75" hidden="1" customHeight="1">
      <c r="C2444" s="13"/>
      <c r="D2444" s="18"/>
      <c r="E2444" s="13"/>
    </row>
    <row r="2445" spans="3:5" ht="15.75" hidden="1" customHeight="1">
      <c r="C2445" s="13"/>
      <c r="D2445" s="18"/>
      <c r="E2445" s="13"/>
    </row>
    <row r="2446" spans="3:5" ht="15.75" hidden="1" customHeight="1">
      <c r="C2446" s="13"/>
      <c r="D2446" s="18"/>
      <c r="E2446" s="13"/>
    </row>
    <row r="2447" spans="3:5" ht="15.75" hidden="1" customHeight="1">
      <c r="C2447" s="13"/>
      <c r="D2447" s="18"/>
      <c r="E2447" s="13"/>
    </row>
    <row r="2448" spans="3:5" ht="15.75" hidden="1" customHeight="1">
      <c r="C2448" s="13"/>
      <c r="D2448" s="18"/>
      <c r="E2448" s="13"/>
    </row>
    <row r="2449" spans="3:5" ht="15.75" hidden="1" customHeight="1">
      <c r="C2449" s="13"/>
      <c r="D2449" s="18"/>
      <c r="E2449" s="13"/>
    </row>
    <row r="2450" spans="3:5" ht="15.75" hidden="1" customHeight="1">
      <c r="C2450" s="13"/>
      <c r="D2450" s="18"/>
      <c r="E2450" s="13"/>
    </row>
    <row r="2451" spans="3:5" ht="15.75" hidden="1" customHeight="1">
      <c r="C2451" s="13"/>
      <c r="D2451" s="18"/>
      <c r="E2451" s="13"/>
    </row>
    <row r="2452" spans="3:5" ht="15.75" hidden="1" customHeight="1">
      <c r="C2452" s="13"/>
      <c r="D2452" s="18"/>
      <c r="E2452" s="13"/>
    </row>
    <row r="2453" spans="3:5" ht="15.75" hidden="1" customHeight="1">
      <c r="C2453" s="13"/>
      <c r="D2453" s="18"/>
      <c r="E2453" s="13"/>
    </row>
    <row r="2454" spans="3:5" ht="15.75" hidden="1" customHeight="1">
      <c r="C2454" s="13"/>
      <c r="D2454" s="18"/>
      <c r="E2454" s="13"/>
    </row>
    <row r="2455" spans="3:5" ht="15.75" hidden="1" customHeight="1">
      <c r="C2455" s="13"/>
      <c r="D2455" s="18"/>
      <c r="E2455" s="13"/>
    </row>
    <row r="2456" spans="3:5" ht="15.75" hidden="1" customHeight="1">
      <c r="C2456" s="13"/>
      <c r="D2456" s="18"/>
      <c r="E2456" s="13"/>
    </row>
    <row r="2457" spans="3:5" ht="15.75" hidden="1" customHeight="1">
      <c r="C2457" s="13"/>
      <c r="D2457" s="18"/>
      <c r="E2457" s="13"/>
    </row>
    <row r="2458" spans="3:5" ht="15.75" hidden="1" customHeight="1">
      <c r="C2458" s="13"/>
      <c r="D2458" s="18"/>
      <c r="E2458" s="13"/>
    </row>
    <row r="2459" spans="3:5" ht="15.75" hidden="1" customHeight="1">
      <c r="C2459" s="13"/>
      <c r="D2459" s="18"/>
      <c r="E2459" s="13"/>
    </row>
    <row r="2460" spans="3:5" ht="15.75" hidden="1" customHeight="1">
      <c r="C2460" s="13"/>
      <c r="D2460" s="18"/>
      <c r="E2460" s="13"/>
    </row>
    <row r="2461" spans="3:5" ht="15.75" hidden="1" customHeight="1">
      <c r="C2461" s="13"/>
      <c r="D2461" s="18"/>
      <c r="E2461" s="13"/>
    </row>
    <row r="2462" spans="3:5" ht="15.75" hidden="1" customHeight="1">
      <c r="C2462" s="13"/>
      <c r="D2462" s="18"/>
      <c r="E2462" s="13"/>
    </row>
    <row r="2463" spans="3:5" ht="15.75" hidden="1" customHeight="1">
      <c r="C2463" s="13"/>
      <c r="D2463" s="18"/>
      <c r="E2463" s="13"/>
    </row>
    <row r="2464" spans="3:5" ht="15.75" hidden="1" customHeight="1">
      <c r="C2464" s="13"/>
      <c r="D2464" s="18"/>
      <c r="E2464" s="13"/>
    </row>
    <row r="2465" spans="3:5" ht="15.75" hidden="1" customHeight="1">
      <c r="C2465" s="13"/>
      <c r="D2465" s="18"/>
      <c r="E2465" s="13"/>
    </row>
    <row r="2466" spans="3:5" ht="15.75" hidden="1" customHeight="1">
      <c r="C2466" s="13"/>
      <c r="D2466" s="18"/>
      <c r="E2466" s="13"/>
    </row>
    <row r="2467" spans="3:5" ht="15.75" hidden="1" customHeight="1">
      <c r="C2467" s="13"/>
      <c r="D2467" s="18"/>
      <c r="E2467" s="13"/>
    </row>
    <row r="2468" spans="3:5" ht="15.75" hidden="1" customHeight="1">
      <c r="C2468" s="13"/>
      <c r="D2468" s="18"/>
      <c r="E2468" s="13"/>
    </row>
    <row r="2469" spans="3:5" ht="15.75" hidden="1" customHeight="1">
      <c r="C2469" s="13"/>
      <c r="D2469" s="18"/>
      <c r="E2469" s="13"/>
    </row>
    <row r="2470" spans="3:5" ht="15.75" hidden="1" customHeight="1">
      <c r="C2470" s="13"/>
      <c r="D2470" s="18"/>
      <c r="E2470" s="13"/>
    </row>
    <row r="2471" spans="3:5" ht="15.75" hidden="1" customHeight="1">
      <c r="C2471" s="13"/>
      <c r="D2471" s="18"/>
      <c r="E2471" s="13"/>
    </row>
    <row r="2472" spans="3:5" ht="15.75" hidden="1" customHeight="1">
      <c r="C2472" s="13"/>
      <c r="D2472" s="18"/>
      <c r="E2472" s="13"/>
    </row>
    <row r="2473" spans="3:5" ht="15.75" hidden="1" customHeight="1">
      <c r="C2473" s="13"/>
      <c r="D2473" s="18"/>
      <c r="E2473" s="13"/>
    </row>
    <row r="2474" spans="3:5" ht="15.75" hidden="1" customHeight="1">
      <c r="C2474" s="13"/>
      <c r="D2474" s="18"/>
      <c r="E2474" s="13"/>
    </row>
    <row r="2475" spans="3:5" ht="15.75" hidden="1" customHeight="1">
      <c r="C2475" s="13"/>
      <c r="D2475" s="18"/>
      <c r="E2475" s="13"/>
    </row>
    <row r="2476" spans="3:5" ht="15.75" hidden="1" customHeight="1">
      <c r="C2476" s="13"/>
      <c r="D2476" s="18"/>
      <c r="E2476" s="13"/>
    </row>
    <row r="2477" spans="3:5" ht="15.75" hidden="1" customHeight="1">
      <c r="C2477" s="13"/>
      <c r="D2477" s="18"/>
      <c r="E2477" s="13"/>
    </row>
    <row r="2478" spans="3:5" ht="15.75" hidden="1" customHeight="1">
      <c r="C2478" s="13"/>
      <c r="D2478" s="18"/>
      <c r="E2478" s="13"/>
    </row>
    <row r="2479" spans="3:5" ht="15.75" hidden="1" customHeight="1">
      <c r="C2479" s="13"/>
      <c r="D2479" s="18"/>
      <c r="E2479" s="13"/>
    </row>
    <row r="2480" spans="3:5" ht="15.75" hidden="1" customHeight="1">
      <c r="C2480" s="13"/>
      <c r="D2480" s="18"/>
      <c r="E2480" s="13"/>
    </row>
    <row r="2481" spans="3:5" ht="15.75" hidden="1" customHeight="1">
      <c r="C2481" s="13"/>
      <c r="D2481" s="18"/>
      <c r="E2481" s="13"/>
    </row>
    <row r="2482" spans="3:5" ht="15.75" hidden="1" customHeight="1">
      <c r="C2482" s="13"/>
      <c r="D2482" s="18"/>
      <c r="E2482" s="13"/>
    </row>
    <row r="2483" spans="3:5" ht="15.75" hidden="1" customHeight="1">
      <c r="C2483" s="13"/>
      <c r="D2483" s="18"/>
      <c r="E2483" s="13"/>
    </row>
    <row r="2484" spans="3:5" ht="15.75" hidden="1" customHeight="1">
      <c r="C2484" s="13"/>
      <c r="D2484" s="18"/>
      <c r="E2484" s="13"/>
    </row>
    <row r="2485" spans="3:5" ht="15.75" hidden="1" customHeight="1">
      <c r="C2485" s="13"/>
      <c r="D2485" s="18"/>
      <c r="E2485" s="13"/>
    </row>
    <row r="2486" spans="3:5" ht="15.75" hidden="1" customHeight="1">
      <c r="C2486" s="13"/>
      <c r="D2486" s="18"/>
      <c r="E2486" s="13"/>
    </row>
    <row r="2487" spans="3:5" ht="15.75" hidden="1" customHeight="1">
      <c r="C2487" s="13"/>
      <c r="D2487" s="18"/>
      <c r="E2487" s="13"/>
    </row>
    <row r="2488" spans="3:5" ht="15.75" hidden="1" customHeight="1">
      <c r="C2488" s="13"/>
      <c r="D2488" s="18"/>
      <c r="E2488" s="13"/>
    </row>
    <row r="2489" spans="3:5" ht="15.75" hidden="1" customHeight="1">
      <c r="C2489" s="13"/>
      <c r="D2489" s="18"/>
      <c r="E2489" s="13"/>
    </row>
    <row r="2490" spans="3:5" ht="15.75" hidden="1" customHeight="1">
      <c r="C2490" s="13"/>
      <c r="D2490" s="18"/>
      <c r="E2490" s="13"/>
    </row>
    <row r="2491" spans="3:5" ht="15.75" hidden="1" customHeight="1">
      <c r="C2491" s="13"/>
      <c r="D2491" s="18"/>
      <c r="E2491" s="13"/>
    </row>
    <row r="2492" spans="3:5" ht="15.75" hidden="1" customHeight="1">
      <c r="C2492" s="13"/>
      <c r="D2492" s="18"/>
      <c r="E2492" s="13"/>
    </row>
    <row r="2493" spans="3:5" ht="15.75" hidden="1" customHeight="1">
      <c r="C2493" s="13"/>
      <c r="D2493" s="18"/>
      <c r="E2493" s="13"/>
    </row>
    <row r="2494" spans="3:5" ht="15.75" hidden="1" customHeight="1">
      <c r="C2494" s="13"/>
      <c r="D2494" s="18"/>
      <c r="E2494" s="13"/>
    </row>
    <row r="2495" spans="3:5" ht="15.75" hidden="1" customHeight="1">
      <c r="C2495" s="13"/>
      <c r="D2495" s="18"/>
      <c r="E2495" s="13"/>
    </row>
    <row r="2496" spans="3:5" ht="15.75" hidden="1" customHeight="1">
      <c r="C2496" s="13"/>
      <c r="D2496" s="18"/>
      <c r="E2496" s="13"/>
    </row>
    <row r="2497" spans="3:5" ht="15.75" hidden="1" customHeight="1">
      <c r="C2497" s="13"/>
      <c r="D2497" s="18"/>
      <c r="E2497" s="13"/>
    </row>
    <row r="2498" spans="3:5" ht="15.75" hidden="1" customHeight="1">
      <c r="C2498" s="13"/>
      <c r="D2498" s="18"/>
      <c r="E2498" s="13"/>
    </row>
    <row r="2499" spans="3:5" ht="15.75" hidden="1" customHeight="1">
      <c r="C2499" s="13"/>
      <c r="D2499" s="18"/>
      <c r="E2499" s="13"/>
    </row>
    <row r="2500" spans="3:5" ht="15.75" hidden="1" customHeight="1">
      <c r="C2500" s="13"/>
      <c r="D2500" s="18"/>
      <c r="E2500" s="13"/>
    </row>
    <row r="2501" spans="3:5" ht="15.75" hidden="1" customHeight="1">
      <c r="C2501" s="13"/>
      <c r="D2501" s="18"/>
      <c r="E2501" s="13"/>
    </row>
    <row r="2502" spans="3:5" ht="15.75" hidden="1" customHeight="1">
      <c r="C2502" s="13"/>
      <c r="D2502" s="18"/>
      <c r="E2502" s="13"/>
    </row>
    <row r="2503" spans="3:5" ht="15.75" hidden="1" customHeight="1">
      <c r="C2503" s="13"/>
      <c r="D2503" s="18"/>
      <c r="E2503" s="13"/>
    </row>
    <row r="2504" spans="3:5" ht="15.75" hidden="1" customHeight="1">
      <c r="C2504" s="13"/>
      <c r="D2504" s="18"/>
      <c r="E2504" s="13"/>
    </row>
    <row r="2505" spans="3:5" ht="15.75" hidden="1" customHeight="1">
      <c r="C2505" s="13"/>
      <c r="D2505" s="18"/>
      <c r="E2505" s="13"/>
    </row>
    <row r="2506" spans="3:5" ht="15.75" hidden="1" customHeight="1">
      <c r="C2506" s="13"/>
      <c r="D2506" s="18"/>
      <c r="E2506" s="13"/>
    </row>
    <row r="2507" spans="3:5" ht="15.75" hidden="1" customHeight="1">
      <c r="C2507" s="13"/>
      <c r="D2507" s="18"/>
      <c r="E2507" s="13"/>
    </row>
    <row r="2508" spans="3:5" ht="15.75" hidden="1" customHeight="1">
      <c r="C2508" s="13"/>
      <c r="D2508" s="18"/>
      <c r="E2508" s="13"/>
    </row>
    <row r="2509" spans="3:5" ht="15.75" hidden="1" customHeight="1">
      <c r="C2509" s="13"/>
      <c r="D2509" s="18"/>
      <c r="E2509" s="13"/>
    </row>
    <row r="2510" spans="3:5" ht="15.75" hidden="1" customHeight="1">
      <c r="C2510" s="13"/>
      <c r="D2510" s="18"/>
      <c r="E2510" s="13"/>
    </row>
    <row r="2511" spans="3:5" ht="15.75" hidden="1" customHeight="1">
      <c r="C2511" s="13"/>
      <c r="D2511" s="18"/>
      <c r="E2511" s="13"/>
    </row>
    <row r="2512" spans="3:5" ht="15.75" hidden="1" customHeight="1">
      <c r="C2512" s="13"/>
      <c r="D2512" s="18"/>
      <c r="E2512" s="13"/>
    </row>
    <row r="2513" spans="3:5" ht="15.75" hidden="1" customHeight="1">
      <c r="C2513" s="13"/>
      <c r="D2513" s="18"/>
      <c r="E2513" s="13"/>
    </row>
    <row r="2514" spans="3:5" ht="15.75" hidden="1" customHeight="1">
      <c r="C2514" s="13"/>
      <c r="D2514" s="18"/>
      <c r="E2514" s="13"/>
    </row>
    <row r="2515" spans="3:5" ht="15.75" hidden="1" customHeight="1">
      <c r="C2515" s="13"/>
      <c r="D2515" s="18"/>
      <c r="E2515" s="13"/>
    </row>
    <row r="2516" spans="3:5" ht="15.75" hidden="1" customHeight="1">
      <c r="C2516" s="13"/>
      <c r="D2516" s="18"/>
      <c r="E2516" s="13"/>
    </row>
    <row r="2517" spans="3:5" ht="15.75" hidden="1" customHeight="1">
      <c r="C2517" s="13"/>
      <c r="D2517" s="18"/>
      <c r="E2517" s="13"/>
    </row>
    <row r="2518" spans="3:5" ht="15.75" hidden="1" customHeight="1">
      <c r="C2518" s="13"/>
      <c r="D2518" s="18"/>
      <c r="E2518" s="13"/>
    </row>
    <row r="2519" spans="3:5" ht="15.75" hidden="1" customHeight="1">
      <c r="C2519" s="13"/>
      <c r="D2519" s="18"/>
      <c r="E2519" s="13"/>
    </row>
    <row r="2520" spans="3:5" ht="15.75" hidden="1" customHeight="1">
      <c r="C2520" s="13"/>
      <c r="D2520" s="18"/>
      <c r="E2520" s="13"/>
    </row>
    <row r="2521" spans="3:5" ht="15.75" hidden="1" customHeight="1">
      <c r="C2521" s="13"/>
      <c r="D2521" s="18"/>
      <c r="E2521" s="13"/>
    </row>
    <row r="2522" spans="3:5" ht="15.75" hidden="1" customHeight="1">
      <c r="C2522" s="13"/>
      <c r="D2522" s="18"/>
      <c r="E2522" s="13"/>
    </row>
    <row r="2523" spans="3:5" ht="15.75" hidden="1" customHeight="1">
      <c r="C2523" s="13"/>
      <c r="D2523" s="18"/>
      <c r="E2523" s="13"/>
    </row>
    <row r="2524" spans="3:5" ht="15.75" hidden="1" customHeight="1">
      <c r="C2524" s="13"/>
      <c r="D2524" s="18"/>
      <c r="E2524" s="13"/>
    </row>
    <row r="2525" spans="3:5" ht="15.75" hidden="1" customHeight="1">
      <c r="C2525" s="13"/>
      <c r="D2525" s="18"/>
      <c r="E2525" s="13"/>
    </row>
    <row r="2526" spans="3:5" ht="15.75" hidden="1" customHeight="1">
      <c r="C2526" s="13"/>
      <c r="D2526" s="18"/>
      <c r="E2526" s="13"/>
    </row>
    <row r="2527" spans="3:5" ht="15.75" hidden="1" customHeight="1">
      <c r="C2527" s="13"/>
      <c r="D2527" s="18"/>
      <c r="E2527" s="13"/>
    </row>
    <row r="2528" spans="3:5" ht="15.75" hidden="1" customHeight="1">
      <c r="C2528" s="13"/>
      <c r="D2528" s="18"/>
      <c r="E2528" s="13"/>
    </row>
    <row r="2529" spans="3:5" ht="15.75" hidden="1" customHeight="1">
      <c r="C2529" s="13"/>
      <c r="D2529" s="18"/>
      <c r="E2529" s="13"/>
    </row>
    <row r="2530" spans="3:5" ht="15.75" hidden="1" customHeight="1">
      <c r="C2530" s="13"/>
      <c r="D2530" s="18"/>
      <c r="E2530" s="13"/>
    </row>
    <row r="2531" spans="3:5" ht="15.75" hidden="1" customHeight="1">
      <c r="C2531" s="13"/>
      <c r="D2531" s="18"/>
      <c r="E2531" s="13"/>
    </row>
    <row r="2532" spans="3:5" ht="15.75" hidden="1" customHeight="1">
      <c r="C2532" s="13"/>
      <c r="D2532" s="18"/>
      <c r="E2532" s="13"/>
    </row>
    <row r="2533" spans="3:5" ht="15.75" hidden="1" customHeight="1">
      <c r="C2533" s="13"/>
      <c r="D2533" s="18"/>
      <c r="E2533" s="13"/>
    </row>
    <row r="2534" spans="3:5" ht="15.75" hidden="1" customHeight="1">
      <c r="C2534" s="13"/>
      <c r="D2534" s="18"/>
      <c r="E2534" s="13"/>
    </row>
    <row r="2535" spans="3:5" ht="15.75" hidden="1" customHeight="1">
      <c r="C2535" s="13"/>
      <c r="D2535" s="18"/>
      <c r="E2535" s="13"/>
    </row>
    <row r="2536" spans="3:5" ht="15.75" hidden="1" customHeight="1">
      <c r="C2536" s="13"/>
      <c r="D2536" s="18"/>
      <c r="E2536" s="13"/>
    </row>
    <row r="2537" spans="3:5" ht="15.75" hidden="1" customHeight="1">
      <c r="C2537" s="13"/>
      <c r="D2537" s="18"/>
      <c r="E2537" s="13"/>
    </row>
    <row r="2538" spans="3:5" ht="15.75" hidden="1" customHeight="1">
      <c r="C2538" s="13"/>
      <c r="D2538" s="18"/>
      <c r="E2538" s="13"/>
    </row>
    <row r="2539" spans="3:5" ht="15.75" hidden="1" customHeight="1">
      <c r="C2539" s="13"/>
      <c r="D2539" s="18"/>
      <c r="E2539" s="13"/>
    </row>
    <row r="2540" spans="3:5" ht="15.75" hidden="1" customHeight="1">
      <c r="C2540" s="13"/>
      <c r="D2540" s="18"/>
      <c r="E2540" s="13"/>
    </row>
    <row r="2541" spans="3:5" ht="15.75" hidden="1" customHeight="1">
      <c r="C2541" s="13"/>
      <c r="D2541" s="18"/>
      <c r="E2541" s="13"/>
    </row>
    <row r="2542" spans="3:5" ht="15.75" hidden="1" customHeight="1">
      <c r="C2542" s="13"/>
      <c r="D2542" s="18"/>
      <c r="E2542" s="13"/>
    </row>
    <row r="2543" spans="3:5" ht="15.75" hidden="1" customHeight="1">
      <c r="C2543" s="13"/>
      <c r="D2543" s="18"/>
      <c r="E2543" s="13"/>
    </row>
    <row r="2544" spans="3:5" ht="15.75" hidden="1" customHeight="1">
      <c r="C2544" s="13"/>
      <c r="D2544" s="18"/>
      <c r="E2544" s="13"/>
    </row>
    <row r="2545" spans="3:5" ht="15.75" hidden="1" customHeight="1">
      <c r="C2545" s="13"/>
      <c r="D2545" s="18"/>
      <c r="E2545" s="13"/>
    </row>
    <row r="2546" spans="3:5" ht="15.75" hidden="1" customHeight="1">
      <c r="C2546" s="13"/>
      <c r="D2546" s="18"/>
      <c r="E2546" s="13"/>
    </row>
    <row r="2547" spans="3:5" ht="15.75" hidden="1" customHeight="1">
      <c r="C2547" s="13"/>
      <c r="D2547" s="18"/>
      <c r="E2547" s="13"/>
    </row>
    <row r="2548" spans="3:5" ht="15.75" hidden="1" customHeight="1">
      <c r="C2548" s="13"/>
      <c r="D2548" s="18"/>
      <c r="E2548" s="13"/>
    </row>
    <row r="2549" spans="3:5" ht="15.75" hidden="1" customHeight="1">
      <c r="C2549" s="13"/>
      <c r="D2549" s="18"/>
      <c r="E2549" s="13"/>
    </row>
    <row r="2550" spans="3:5" ht="15.75" hidden="1" customHeight="1">
      <c r="C2550" s="13"/>
      <c r="D2550" s="18"/>
      <c r="E2550" s="13"/>
    </row>
    <row r="2551" spans="3:5" ht="15.75" hidden="1" customHeight="1">
      <c r="C2551" s="13"/>
      <c r="D2551" s="18"/>
      <c r="E2551" s="13"/>
    </row>
    <row r="2552" spans="3:5" ht="15.75" hidden="1" customHeight="1">
      <c r="C2552" s="13"/>
      <c r="D2552" s="18"/>
      <c r="E2552" s="13"/>
    </row>
    <row r="2553" spans="3:5" ht="15.75" hidden="1" customHeight="1">
      <c r="C2553" s="13"/>
      <c r="D2553" s="18"/>
      <c r="E2553" s="13"/>
    </row>
    <row r="2554" spans="3:5" ht="15.75" hidden="1" customHeight="1">
      <c r="C2554" s="13"/>
      <c r="D2554" s="18"/>
      <c r="E2554" s="13"/>
    </row>
    <row r="2555" spans="3:5" ht="15.75" hidden="1" customHeight="1">
      <c r="C2555" s="13"/>
      <c r="D2555" s="18"/>
      <c r="E2555" s="13"/>
    </row>
    <row r="2556" spans="3:5" ht="15.75" hidden="1" customHeight="1">
      <c r="C2556" s="13"/>
      <c r="D2556" s="18"/>
      <c r="E2556" s="13"/>
    </row>
    <row r="2557" spans="3:5" ht="15.75" hidden="1" customHeight="1">
      <c r="C2557" s="13"/>
      <c r="D2557" s="18"/>
      <c r="E2557" s="13"/>
    </row>
    <row r="2558" spans="3:5" ht="15.75" hidden="1" customHeight="1">
      <c r="C2558" s="13"/>
      <c r="D2558" s="18"/>
      <c r="E2558" s="13"/>
    </row>
    <row r="2559" spans="3:5" ht="15.75" hidden="1" customHeight="1">
      <c r="C2559" s="13"/>
      <c r="D2559" s="18"/>
      <c r="E2559" s="13"/>
    </row>
    <row r="2560" spans="3:5" ht="15.75" hidden="1" customHeight="1">
      <c r="C2560" s="13"/>
      <c r="D2560" s="18"/>
      <c r="E2560" s="13"/>
    </row>
    <row r="2561" spans="3:5" ht="15.75" hidden="1" customHeight="1">
      <c r="C2561" s="13"/>
      <c r="D2561" s="18"/>
      <c r="E2561" s="13"/>
    </row>
    <row r="2562" spans="3:5" ht="15.75" hidden="1" customHeight="1">
      <c r="C2562" s="13"/>
      <c r="D2562" s="18"/>
      <c r="E2562" s="13"/>
    </row>
    <row r="2563" spans="3:5" ht="15.75" hidden="1" customHeight="1">
      <c r="C2563" s="13"/>
      <c r="D2563" s="18"/>
      <c r="E2563" s="13"/>
    </row>
    <row r="2564" spans="3:5" ht="15.75" hidden="1" customHeight="1">
      <c r="C2564" s="13"/>
      <c r="D2564" s="18"/>
      <c r="E2564" s="13"/>
    </row>
    <row r="2565" spans="3:5" ht="15.75" hidden="1" customHeight="1">
      <c r="C2565" s="13"/>
      <c r="D2565" s="18"/>
      <c r="E2565" s="13"/>
    </row>
    <row r="2566" spans="3:5" ht="15.75" hidden="1" customHeight="1">
      <c r="C2566" s="13"/>
      <c r="D2566" s="18"/>
      <c r="E2566" s="13"/>
    </row>
    <row r="2567" spans="3:5" ht="15.75" hidden="1" customHeight="1">
      <c r="C2567" s="13"/>
      <c r="D2567" s="18"/>
      <c r="E2567" s="13"/>
    </row>
    <row r="2568" spans="3:5" ht="15.75" hidden="1" customHeight="1">
      <c r="C2568" s="13"/>
      <c r="D2568" s="18"/>
      <c r="E2568" s="13"/>
    </row>
    <row r="2569" spans="3:5" ht="15.75" hidden="1" customHeight="1">
      <c r="C2569" s="13"/>
      <c r="D2569" s="18"/>
      <c r="E2569" s="13"/>
    </row>
    <row r="2570" spans="3:5" ht="15.75" hidden="1" customHeight="1">
      <c r="C2570" s="13"/>
      <c r="D2570" s="18"/>
      <c r="E2570" s="13"/>
    </row>
    <row r="2571" spans="3:5" ht="15.75" hidden="1" customHeight="1">
      <c r="C2571" s="13"/>
      <c r="D2571" s="18"/>
      <c r="E2571" s="13"/>
    </row>
    <row r="2572" spans="3:5" ht="15.75" hidden="1" customHeight="1">
      <c r="C2572" s="13"/>
      <c r="D2572" s="18"/>
      <c r="E2572" s="13"/>
    </row>
    <row r="2573" spans="3:5" ht="15.75" hidden="1" customHeight="1">
      <c r="C2573" s="13"/>
      <c r="D2573" s="18"/>
      <c r="E2573" s="13"/>
    </row>
    <row r="2574" spans="3:5" ht="15.75" hidden="1" customHeight="1">
      <c r="C2574" s="13"/>
      <c r="D2574" s="18"/>
      <c r="E2574" s="13"/>
    </row>
    <row r="2575" spans="3:5" ht="15.75" hidden="1" customHeight="1">
      <c r="C2575" s="13"/>
      <c r="D2575" s="18"/>
      <c r="E2575" s="13"/>
    </row>
    <row r="2576" spans="3:5" ht="15.75" hidden="1" customHeight="1">
      <c r="C2576" s="13"/>
      <c r="D2576" s="18"/>
      <c r="E2576" s="13"/>
    </row>
    <row r="2577" spans="3:5" ht="15.75" hidden="1" customHeight="1">
      <c r="C2577" s="13"/>
      <c r="D2577" s="18"/>
      <c r="E2577" s="13"/>
    </row>
    <row r="2578" spans="3:5" ht="15.75" hidden="1" customHeight="1">
      <c r="C2578" s="13"/>
      <c r="D2578" s="18"/>
      <c r="E2578" s="13"/>
    </row>
    <row r="2579" spans="3:5" ht="15.75" hidden="1" customHeight="1">
      <c r="C2579" s="13"/>
      <c r="D2579" s="18"/>
      <c r="E2579" s="13"/>
    </row>
    <row r="2580" spans="3:5" ht="15.75" hidden="1" customHeight="1">
      <c r="C2580" s="13"/>
      <c r="D2580" s="18"/>
      <c r="E2580" s="13"/>
    </row>
    <row r="2581" spans="3:5" ht="15.75" hidden="1" customHeight="1">
      <c r="C2581" s="13"/>
      <c r="D2581" s="18"/>
      <c r="E2581" s="13"/>
    </row>
    <row r="2582" spans="3:5" ht="15.75" hidden="1" customHeight="1">
      <c r="C2582" s="13"/>
      <c r="D2582" s="18"/>
      <c r="E2582" s="13"/>
    </row>
    <row r="2583" spans="3:5" ht="15.75" hidden="1" customHeight="1">
      <c r="C2583" s="13"/>
      <c r="D2583" s="18"/>
      <c r="E2583" s="13"/>
    </row>
    <row r="2584" spans="3:5" ht="15.75" hidden="1" customHeight="1">
      <c r="C2584" s="13"/>
      <c r="D2584" s="18"/>
      <c r="E2584" s="13"/>
    </row>
    <row r="2585" spans="3:5" ht="15.75" hidden="1" customHeight="1">
      <c r="C2585" s="13"/>
      <c r="D2585" s="18"/>
      <c r="E2585" s="13"/>
    </row>
    <row r="2586" spans="3:5" ht="15.75" hidden="1" customHeight="1">
      <c r="C2586" s="13"/>
      <c r="D2586" s="18"/>
      <c r="E2586" s="13"/>
    </row>
    <row r="2587" spans="3:5" ht="15.75" hidden="1" customHeight="1">
      <c r="C2587" s="13"/>
      <c r="D2587" s="18"/>
      <c r="E2587" s="13"/>
    </row>
    <row r="2588" spans="3:5" ht="15.75" hidden="1" customHeight="1">
      <c r="C2588" s="13"/>
      <c r="D2588" s="18"/>
      <c r="E2588" s="13"/>
    </row>
    <row r="2589" spans="3:5" ht="15.75" hidden="1" customHeight="1">
      <c r="C2589" s="13"/>
      <c r="D2589" s="18"/>
      <c r="E2589" s="13"/>
    </row>
    <row r="2590" spans="3:5" ht="15.75" customHeight="1">
      <c r="C2590" s="13"/>
      <c r="D2590" s="18"/>
      <c r="E2590" s="13"/>
    </row>
    <row r="2591" spans="3:5" ht="15.75" customHeight="1">
      <c r="C2591" s="13"/>
      <c r="D2591" s="18"/>
      <c r="E2591" s="13"/>
    </row>
    <row r="2592" spans="3:5" ht="15.75" customHeight="1">
      <c r="C2592" s="13"/>
      <c r="D2592" s="18"/>
      <c r="E2592" s="13"/>
    </row>
    <row r="2593" spans="3:5" ht="15.75" customHeight="1">
      <c r="C2593" s="13"/>
      <c r="D2593" s="18"/>
      <c r="E2593" s="13"/>
    </row>
    <row r="2594" spans="3:5" ht="15.75" customHeight="1">
      <c r="C2594" s="13"/>
      <c r="D2594" s="18"/>
      <c r="E2594" s="13"/>
    </row>
    <row r="2595" spans="3:5" ht="15.75" customHeight="1">
      <c r="C2595" s="13"/>
      <c r="D2595" s="18"/>
      <c r="E2595" s="13"/>
    </row>
    <row r="2596" spans="3:5" ht="15.75" customHeight="1">
      <c r="C2596" s="13"/>
      <c r="D2596" s="18"/>
      <c r="E2596" s="13"/>
    </row>
    <row r="2597" spans="3:5" ht="15.75" customHeight="1">
      <c r="C2597" s="13"/>
      <c r="D2597" s="18"/>
      <c r="E2597" s="13"/>
    </row>
    <row r="2598" spans="3:5" ht="15.75" customHeight="1">
      <c r="C2598" s="13"/>
      <c r="D2598" s="18"/>
      <c r="E2598" s="13"/>
    </row>
    <row r="2599" spans="3:5" ht="15.75" customHeight="1">
      <c r="C2599" s="13"/>
      <c r="D2599" s="18"/>
      <c r="E2599" s="13"/>
    </row>
    <row r="2600" spans="3:5" ht="15.75" customHeight="1">
      <c r="C2600" s="13"/>
      <c r="D2600" s="18"/>
      <c r="E2600" s="13"/>
    </row>
    <row r="2601" spans="3:5" ht="15.75" customHeight="1">
      <c r="C2601" s="13"/>
      <c r="D2601" s="18"/>
      <c r="E2601" s="13"/>
    </row>
    <row r="2602" spans="3:5" ht="15.75" customHeight="1">
      <c r="C2602" s="13"/>
      <c r="D2602" s="18"/>
      <c r="E2602" s="13"/>
    </row>
    <row r="2603" spans="3:5" ht="15.75" customHeight="1">
      <c r="C2603" s="13"/>
      <c r="D2603" s="18"/>
      <c r="E2603" s="13"/>
    </row>
    <row r="2604" spans="3:5" ht="15.75" customHeight="1">
      <c r="C2604" s="13"/>
      <c r="D2604" s="18"/>
      <c r="E2604" s="13"/>
    </row>
    <row r="2605" spans="3:5" ht="15.75" customHeight="1">
      <c r="C2605" s="13"/>
      <c r="D2605" s="18"/>
      <c r="E2605" s="13"/>
    </row>
    <row r="2606" spans="3:5" ht="15.75" customHeight="1">
      <c r="C2606" s="13"/>
      <c r="D2606" s="18"/>
      <c r="E2606" s="13"/>
    </row>
    <row r="2607" spans="3:5" ht="15.75" customHeight="1">
      <c r="C2607" s="13"/>
      <c r="D2607" s="18"/>
      <c r="E2607" s="13"/>
    </row>
    <row r="2608" spans="3:5" ht="15.75" customHeight="1">
      <c r="C2608" s="13"/>
      <c r="D2608" s="18"/>
      <c r="E2608" s="13"/>
    </row>
    <row r="2609" spans="3:5" ht="15.75" customHeight="1">
      <c r="C2609" s="13"/>
      <c r="D2609" s="18"/>
      <c r="E2609" s="13"/>
    </row>
    <row r="2610" spans="3:5" ht="15.75" customHeight="1">
      <c r="C2610" s="13"/>
      <c r="D2610" s="18"/>
      <c r="E2610" s="13"/>
    </row>
    <row r="2611" spans="3:5" ht="15.75" customHeight="1">
      <c r="C2611" s="13"/>
      <c r="D2611" s="18"/>
      <c r="E2611" s="13"/>
    </row>
    <row r="2612" spans="3:5" ht="15.75" customHeight="1">
      <c r="C2612" s="13"/>
      <c r="D2612" s="18"/>
      <c r="E2612" s="13"/>
    </row>
    <row r="2613" spans="3:5" ht="15.75" customHeight="1">
      <c r="C2613" s="13"/>
      <c r="D2613" s="18"/>
      <c r="E2613" s="13"/>
    </row>
    <row r="2614" spans="3:5" ht="15.75" customHeight="1">
      <c r="C2614" s="13"/>
      <c r="D2614" s="18"/>
      <c r="E2614" s="13"/>
    </row>
    <row r="2615" spans="3:5" ht="15.75" customHeight="1">
      <c r="C2615" s="13"/>
      <c r="D2615" s="18"/>
      <c r="E2615" s="13"/>
    </row>
    <row r="2616" spans="3:5" ht="15.75" customHeight="1">
      <c r="C2616" s="13"/>
      <c r="D2616" s="18"/>
      <c r="E2616" s="13"/>
    </row>
    <row r="2617" spans="3:5" ht="15.75" customHeight="1">
      <c r="C2617" s="13"/>
      <c r="D2617" s="18"/>
      <c r="E2617" s="13"/>
    </row>
    <row r="2618" spans="3:5" ht="15.75" customHeight="1">
      <c r="C2618" s="13"/>
      <c r="D2618" s="18"/>
      <c r="E2618" s="13"/>
    </row>
    <row r="2619" spans="3:5" ht="15.75" customHeight="1">
      <c r="C2619" s="13"/>
      <c r="D2619" s="18"/>
      <c r="E2619" s="13"/>
    </row>
    <row r="2620" spans="3:5" ht="15.75" customHeight="1">
      <c r="C2620" s="13"/>
      <c r="D2620" s="18"/>
      <c r="E2620" s="13"/>
    </row>
    <row r="2621" spans="3:5" ht="15.75" customHeight="1">
      <c r="C2621" s="13"/>
      <c r="D2621" s="18"/>
      <c r="E2621" s="13"/>
    </row>
    <row r="2622" spans="3:5" ht="15.75" customHeight="1">
      <c r="C2622" s="13"/>
      <c r="D2622" s="18"/>
      <c r="E2622" s="13"/>
    </row>
    <row r="2623" spans="3:5" ht="15.75" customHeight="1">
      <c r="C2623" s="13"/>
      <c r="D2623" s="18"/>
      <c r="E2623" s="13"/>
    </row>
    <row r="2624" spans="3:5" ht="15.75" customHeight="1">
      <c r="C2624" s="13"/>
      <c r="D2624" s="18"/>
      <c r="E2624" s="13"/>
    </row>
    <row r="2625" spans="3:5" ht="15.75" customHeight="1">
      <c r="C2625" s="13"/>
      <c r="D2625" s="18"/>
      <c r="E2625" s="13"/>
    </row>
    <row r="2626" spans="3:5" ht="15.75" customHeight="1">
      <c r="C2626" s="13"/>
      <c r="D2626" s="18"/>
      <c r="E2626" s="13"/>
    </row>
    <row r="2627" spans="3:5" ht="15.75" customHeight="1">
      <c r="C2627" s="13"/>
      <c r="D2627" s="18"/>
      <c r="E2627" s="13"/>
    </row>
    <row r="2628" spans="3:5" ht="15.75" customHeight="1">
      <c r="C2628" s="13"/>
      <c r="D2628" s="18"/>
      <c r="E2628" s="13"/>
    </row>
    <row r="2629" spans="3:5" ht="15.75" customHeight="1">
      <c r="C2629" s="13"/>
      <c r="D2629" s="18"/>
      <c r="E2629" s="13"/>
    </row>
    <row r="2630" spans="3:5" ht="15.75" customHeight="1">
      <c r="C2630" s="13"/>
      <c r="D2630" s="18"/>
      <c r="E2630" s="13"/>
    </row>
    <row r="2631" spans="3:5" ht="15.75" customHeight="1">
      <c r="C2631" s="13"/>
      <c r="D2631" s="18"/>
      <c r="E2631" s="13"/>
    </row>
    <row r="2632" spans="3:5" ht="15.75" customHeight="1">
      <c r="C2632" s="13"/>
      <c r="D2632" s="18"/>
      <c r="E2632" s="13"/>
    </row>
    <row r="2633" spans="3:5" ht="15.75" customHeight="1">
      <c r="C2633" s="13"/>
      <c r="D2633" s="18"/>
      <c r="E2633" s="13"/>
    </row>
    <row r="2634" spans="3:5" ht="15.75" customHeight="1">
      <c r="C2634" s="13"/>
      <c r="D2634" s="18"/>
      <c r="E2634" s="13"/>
    </row>
    <row r="2635" spans="3:5" ht="15.75" customHeight="1">
      <c r="C2635" s="13"/>
      <c r="D2635" s="18"/>
      <c r="E2635" s="13"/>
    </row>
    <row r="2636" spans="3:5" ht="15.75" customHeight="1">
      <c r="C2636" s="13"/>
      <c r="D2636" s="18"/>
      <c r="E2636" s="13"/>
    </row>
    <row r="2637" spans="3:5" ht="15.75" customHeight="1">
      <c r="C2637" s="13"/>
      <c r="D2637" s="18"/>
      <c r="E2637" s="13"/>
    </row>
    <row r="2638" spans="3:5">
      <c r="C2638" s="13"/>
      <c r="D2638" s="18"/>
      <c r="E2638" s="13"/>
    </row>
    <row r="2639" spans="3:5">
      <c r="C2639" s="13"/>
      <c r="D2639" s="18"/>
      <c r="E2639" s="13"/>
    </row>
    <row r="2640" spans="3:5">
      <c r="C2640" s="13"/>
      <c r="D2640" s="18"/>
      <c r="E2640" s="13"/>
    </row>
  </sheetData>
  <autoFilter ref="B2:E2589" xr:uid="{B543E405-AA7C-4B58-921C-93E787D512D7}">
    <filterColumn colId="0">
      <filters>
        <filter val="CABO PARALELO  1,5MM"/>
        <filter val="CABO PARALELO  2,5MM"/>
        <filter val="WEG MODULO INTERRUPTOR PARALELO"/>
      </filters>
    </filterColumn>
    <sortState xmlns:xlrd2="http://schemas.microsoft.com/office/spreadsheetml/2017/richdata2" ref="B1663:E1663">
      <sortCondition ref="B2:B258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4927-39F9-48EE-926C-1978D00ADB58}">
  <sheetPr codeName="Planilha6">
    <tabColor theme="3" tint="-0.499984740745262"/>
  </sheetPr>
  <dimension ref="A1:J2182"/>
  <sheetViews>
    <sheetView showGridLines="0" zoomScale="90" zoomScaleNormal="90" workbookViewId="0">
      <pane ySplit="1" topLeftCell="A2" activePane="bottomLeft" state="frozen"/>
      <selection pane="bottomLeft" activeCell="A1623" sqref="A1623:XFD1623"/>
    </sheetView>
  </sheetViews>
  <sheetFormatPr defaultRowHeight="15"/>
  <cols>
    <col min="1" max="1" width="30.140625" style="61" customWidth="1"/>
    <col min="2" max="2" width="78.85546875" bestFit="1" customWidth="1"/>
    <col min="3" max="3" width="6.140625" style="30" customWidth="1"/>
    <col min="4" max="4" width="14.5703125" style="13" customWidth="1"/>
    <col min="5" max="5" width="13.42578125" style="13" customWidth="1"/>
    <col min="6" max="6" width="1.7109375" customWidth="1"/>
    <col min="7" max="7" width="28.5703125" customWidth="1"/>
    <col min="8" max="8" width="12.28515625" customWidth="1"/>
    <col min="9" max="9" width="1.85546875" customWidth="1"/>
    <col min="10" max="10" width="16.7109375" customWidth="1"/>
  </cols>
  <sheetData>
    <row r="1" spans="1:10" s="60" customFormat="1" ht="78.75" customHeight="1" thickBot="1">
      <c r="A1" s="62" t="s">
        <v>1986</v>
      </c>
      <c r="B1" s="54" t="s">
        <v>745</v>
      </c>
      <c r="C1" s="55" t="s">
        <v>23</v>
      </c>
      <c r="D1" s="56" t="s">
        <v>21</v>
      </c>
      <c r="E1" s="57" t="s">
        <v>19</v>
      </c>
      <c r="F1" s="58"/>
      <c r="G1" s="59" t="s">
        <v>24</v>
      </c>
      <c r="H1" s="59" t="s">
        <v>25</v>
      </c>
      <c r="J1" s="59" t="s">
        <v>26</v>
      </c>
    </row>
    <row r="2" spans="1:10">
      <c r="B2" t="s">
        <v>1009</v>
      </c>
      <c r="C2" s="24" t="s">
        <v>27</v>
      </c>
      <c r="D2" s="13">
        <v>2.99</v>
      </c>
      <c r="E2" s="13">
        <v>5</v>
      </c>
      <c r="G2" s="17">
        <f t="shared" ref="G2:G46" si="0">(D2/65%)</f>
        <v>4.6000000000000005</v>
      </c>
      <c r="H2" s="27" t="str">
        <f t="shared" ref="H2:H46" si="1">IF(E2&gt;=G2,"POSITIVO","NEGATIVO")</f>
        <v>POSITIVO</v>
      </c>
      <c r="J2" s="17">
        <f t="shared" ref="J2:J46" si="2">D2/70%</f>
        <v>4.2714285714285722</v>
      </c>
    </row>
    <row r="3" spans="1:10">
      <c r="B3" t="s">
        <v>1752</v>
      </c>
      <c r="C3" s="24" t="s">
        <v>27</v>
      </c>
      <c r="D3" s="25">
        <v>8.1</v>
      </c>
      <c r="E3" s="26">
        <v>12.5</v>
      </c>
      <c r="G3" s="17">
        <f t="shared" si="0"/>
        <v>12.46153846153846</v>
      </c>
      <c r="H3" s="27" t="str">
        <f t="shared" si="1"/>
        <v>POSITIVO</v>
      </c>
      <c r="J3" s="17">
        <f t="shared" si="2"/>
        <v>11.571428571428571</v>
      </c>
    </row>
    <row r="4" spans="1:10">
      <c r="B4" t="s">
        <v>1749</v>
      </c>
      <c r="C4" s="30" t="s">
        <v>27</v>
      </c>
      <c r="D4" s="13">
        <v>15.57</v>
      </c>
      <c r="E4" s="13">
        <v>24</v>
      </c>
      <c r="G4" s="17">
        <f t="shared" si="0"/>
        <v>23.953846153846154</v>
      </c>
      <c r="H4" s="27" t="str">
        <f t="shared" si="1"/>
        <v>POSITIVO</v>
      </c>
      <c r="J4" s="17">
        <f t="shared" si="2"/>
        <v>22.242857142857144</v>
      </c>
    </row>
    <row r="5" spans="1:10">
      <c r="B5" t="s">
        <v>1751</v>
      </c>
      <c r="C5" s="24" t="s">
        <v>27</v>
      </c>
      <c r="D5" s="25">
        <v>18.93</v>
      </c>
      <c r="E5" s="26">
        <v>30</v>
      </c>
      <c r="G5" s="17">
        <f t="shared" si="0"/>
        <v>29.123076923076923</v>
      </c>
      <c r="H5" s="27" t="str">
        <f t="shared" si="1"/>
        <v>POSITIVO</v>
      </c>
      <c r="J5" s="17">
        <f t="shared" si="2"/>
        <v>27.042857142857144</v>
      </c>
    </row>
    <row r="6" spans="1:10">
      <c r="B6" t="s">
        <v>1751</v>
      </c>
      <c r="C6" s="30" t="s">
        <v>27</v>
      </c>
      <c r="D6" s="13">
        <v>14.61</v>
      </c>
      <c r="E6" s="13">
        <v>22.5</v>
      </c>
      <c r="G6" s="17">
        <f t="shared" si="0"/>
        <v>22.476923076923075</v>
      </c>
      <c r="H6" s="27" t="str">
        <f t="shared" si="1"/>
        <v>POSITIVO</v>
      </c>
      <c r="J6" s="17">
        <f t="shared" si="2"/>
        <v>20.871428571428574</v>
      </c>
    </row>
    <row r="7" spans="1:10">
      <c r="B7" t="s">
        <v>1750</v>
      </c>
      <c r="C7" s="24" t="s">
        <v>27</v>
      </c>
      <c r="D7" s="25">
        <v>38.409999999999997</v>
      </c>
      <c r="E7" s="26">
        <v>60</v>
      </c>
      <c r="G7" s="17">
        <f t="shared" si="0"/>
        <v>59.092307692307685</v>
      </c>
      <c r="H7" s="27" t="str">
        <f t="shared" si="1"/>
        <v>POSITIVO</v>
      </c>
      <c r="J7" s="17">
        <f t="shared" si="2"/>
        <v>54.871428571428567</v>
      </c>
    </row>
    <row r="8" spans="1:10">
      <c r="B8" t="s">
        <v>1753</v>
      </c>
      <c r="C8" s="30" t="s">
        <v>27</v>
      </c>
      <c r="D8" s="13">
        <v>70.849999999999994</v>
      </c>
      <c r="E8" s="13">
        <v>110</v>
      </c>
      <c r="G8" s="17">
        <f t="shared" si="0"/>
        <v>108.99999999999999</v>
      </c>
      <c r="H8" s="27" t="str">
        <f t="shared" si="1"/>
        <v>POSITIVO</v>
      </c>
      <c r="J8" s="17">
        <f t="shared" si="2"/>
        <v>101.21428571428571</v>
      </c>
    </row>
    <row r="9" spans="1:10">
      <c r="B9" t="s">
        <v>1678</v>
      </c>
      <c r="C9" s="30" t="s">
        <v>27</v>
      </c>
      <c r="D9" s="13">
        <v>0.56999999999999995</v>
      </c>
      <c r="E9" s="13">
        <v>1</v>
      </c>
      <c r="G9" s="17">
        <f t="shared" si="0"/>
        <v>0.87692307692307681</v>
      </c>
      <c r="H9" s="27" t="str">
        <f t="shared" si="1"/>
        <v>POSITIVO</v>
      </c>
      <c r="J9" s="17">
        <f t="shared" si="2"/>
        <v>0.81428571428571428</v>
      </c>
    </row>
    <row r="10" spans="1:10">
      <c r="B10" t="s">
        <v>1067</v>
      </c>
      <c r="C10" s="30" t="s">
        <v>27</v>
      </c>
      <c r="D10" s="13">
        <v>25.3</v>
      </c>
      <c r="E10" s="13">
        <v>39.799999999999997</v>
      </c>
      <c r="G10" s="17">
        <f t="shared" si="0"/>
        <v>38.92307692307692</v>
      </c>
      <c r="H10" s="27" t="str">
        <f t="shared" si="1"/>
        <v>POSITIVO</v>
      </c>
      <c r="J10" s="17">
        <f t="shared" si="2"/>
        <v>36.142857142857146</v>
      </c>
    </row>
    <row r="11" spans="1:10">
      <c r="B11" t="s">
        <v>1068</v>
      </c>
      <c r="C11" s="30" t="s">
        <v>27</v>
      </c>
      <c r="D11" s="13">
        <v>45.4</v>
      </c>
      <c r="E11" s="13">
        <v>69.8</v>
      </c>
      <c r="G11" s="17">
        <f t="shared" si="0"/>
        <v>69.84615384615384</v>
      </c>
      <c r="H11" s="27" t="str">
        <f t="shared" si="1"/>
        <v>NEGATIVO</v>
      </c>
      <c r="J11" s="17">
        <f t="shared" si="2"/>
        <v>64.857142857142861</v>
      </c>
    </row>
    <row r="12" spans="1:10">
      <c r="B12" t="s">
        <v>28</v>
      </c>
      <c r="C12" s="24" t="s">
        <v>27</v>
      </c>
      <c r="D12" s="25">
        <v>221.82</v>
      </c>
      <c r="E12" s="25">
        <v>320</v>
      </c>
      <c r="G12" s="17">
        <f t="shared" si="0"/>
        <v>341.26153846153846</v>
      </c>
      <c r="H12" s="27" t="str">
        <f t="shared" si="1"/>
        <v>NEGATIVO</v>
      </c>
      <c r="J12" s="17">
        <f t="shared" si="2"/>
        <v>316.8857142857143</v>
      </c>
    </row>
    <row r="13" spans="1:10">
      <c r="B13" t="s">
        <v>29</v>
      </c>
      <c r="C13" s="24" t="s">
        <v>27</v>
      </c>
      <c r="D13" s="25">
        <v>221.82</v>
      </c>
      <c r="E13" s="25">
        <v>320</v>
      </c>
      <c r="G13" s="17">
        <f t="shared" si="0"/>
        <v>341.26153846153846</v>
      </c>
      <c r="H13" s="27" t="str">
        <f t="shared" si="1"/>
        <v>NEGATIVO</v>
      </c>
      <c r="J13" s="17">
        <f t="shared" si="2"/>
        <v>316.8857142857143</v>
      </c>
    </row>
    <row r="14" spans="1:10">
      <c r="B14" t="s">
        <v>30</v>
      </c>
      <c r="C14" s="24" t="s">
        <v>27</v>
      </c>
      <c r="D14" s="25">
        <v>349.9</v>
      </c>
      <c r="E14" s="25">
        <v>415</v>
      </c>
      <c r="G14" s="17">
        <f t="shared" si="0"/>
        <v>538.30769230769226</v>
      </c>
      <c r="H14" s="27" t="str">
        <f t="shared" si="1"/>
        <v>NEGATIVO</v>
      </c>
      <c r="J14" s="17">
        <f t="shared" si="2"/>
        <v>499.85714285714283</v>
      </c>
    </row>
    <row r="15" spans="1:10">
      <c r="B15" t="s">
        <v>31</v>
      </c>
      <c r="C15" s="24" t="s">
        <v>27</v>
      </c>
      <c r="D15" s="25">
        <v>103.9</v>
      </c>
      <c r="E15" s="25">
        <v>150</v>
      </c>
      <c r="G15" s="17">
        <f t="shared" si="0"/>
        <v>159.84615384615384</v>
      </c>
      <c r="H15" s="27" t="str">
        <f t="shared" si="1"/>
        <v>NEGATIVO</v>
      </c>
      <c r="J15" s="17">
        <f t="shared" si="2"/>
        <v>148.42857142857144</v>
      </c>
    </row>
    <row r="16" spans="1:10">
      <c r="B16" t="s">
        <v>32</v>
      </c>
      <c r="C16" s="24" t="s">
        <v>27</v>
      </c>
      <c r="D16" s="25">
        <v>368.94</v>
      </c>
      <c r="E16" s="26">
        <v>435</v>
      </c>
      <c r="G16" s="17">
        <f t="shared" si="0"/>
        <v>567.6</v>
      </c>
      <c r="H16" s="27" t="str">
        <f t="shared" si="1"/>
        <v>NEGATIVO</v>
      </c>
      <c r="J16" s="17">
        <f t="shared" si="2"/>
        <v>527.05714285714294</v>
      </c>
    </row>
    <row r="17" spans="1:10">
      <c r="B17" t="s">
        <v>33</v>
      </c>
      <c r="C17" s="24" t="s">
        <v>27</v>
      </c>
      <c r="D17" s="25">
        <v>111.9</v>
      </c>
      <c r="E17" s="26">
        <v>160</v>
      </c>
      <c r="G17" s="17">
        <f t="shared" si="0"/>
        <v>172.15384615384616</v>
      </c>
      <c r="H17" s="27" t="str">
        <f t="shared" si="1"/>
        <v>NEGATIVO</v>
      </c>
      <c r="J17" s="17">
        <f t="shared" si="2"/>
        <v>159.85714285714286</v>
      </c>
    </row>
    <row r="18" spans="1:10">
      <c r="B18" t="s">
        <v>34</v>
      </c>
      <c r="C18" s="24" t="s">
        <v>27</v>
      </c>
      <c r="D18" s="25">
        <v>29.5</v>
      </c>
      <c r="E18" s="26">
        <v>46</v>
      </c>
      <c r="G18" s="17">
        <f t="shared" si="0"/>
        <v>45.38461538461538</v>
      </c>
      <c r="H18" s="27" t="str">
        <f t="shared" si="1"/>
        <v>POSITIVO</v>
      </c>
      <c r="J18" s="17">
        <f t="shared" si="2"/>
        <v>42.142857142857146</v>
      </c>
    </row>
    <row r="19" spans="1:10">
      <c r="A19" s="61" t="s">
        <v>2527</v>
      </c>
      <c r="B19" t="s">
        <v>1560</v>
      </c>
      <c r="C19" s="30" t="s">
        <v>27</v>
      </c>
      <c r="D19" s="13">
        <v>12.2</v>
      </c>
      <c r="E19" s="13">
        <v>19.5</v>
      </c>
      <c r="G19" s="17">
        <f t="shared" si="0"/>
        <v>18.769230769230766</v>
      </c>
      <c r="H19" s="27" t="str">
        <f t="shared" si="1"/>
        <v>POSITIVO</v>
      </c>
      <c r="J19" s="17">
        <f t="shared" si="2"/>
        <v>17.428571428571427</v>
      </c>
    </row>
    <row r="20" spans="1:10">
      <c r="B20" t="s">
        <v>973</v>
      </c>
      <c r="C20" s="30" t="s">
        <v>27</v>
      </c>
      <c r="D20" s="13">
        <v>7.4</v>
      </c>
      <c r="E20" s="13">
        <v>12.5</v>
      </c>
      <c r="G20" s="17">
        <f t="shared" si="0"/>
        <v>11.384615384615385</v>
      </c>
      <c r="H20" s="27" t="str">
        <f t="shared" si="1"/>
        <v>POSITIVO</v>
      </c>
      <c r="J20" s="17">
        <f t="shared" si="2"/>
        <v>10.571428571428573</v>
      </c>
    </row>
    <row r="21" spans="1:10">
      <c r="B21" t="s">
        <v>1289</v>
      </c>
      <c r="C21" s="24" t="s">
        <v>27</v>
      </c>
      <c r="D21" s="25">
        <v>1.29</v>
      </c>
      <c r="E21" s="26">
        <v>3.5</v>
      </c>
      <c r="G21" s="17">
        <f t="shared" si="0"/>
        <v>1.9846153846153847</v>
      </c>
      <c r="H21" s="27" t="str">
        <f t="shared" si="1"/>
        <v>POSITIVO</v>
      </c>
      <c r="J21" s="17">
        <f t="shared" si="2"/>
        <v>1.842857142857143</v>
      </c>
    </row>
    <row r="22" spans="1:10">
      <c r="B22" t="s">
        <v>1422</v>
      </c>
      <c r="C22" s="24" t="s">
        <v>27</v>
      </c>
      <c r="D22" s="25">
        <v>3.99</v>
      </c>
      <c r="E22" s="26">
        <v>7</v>
      </c>
      <c r="G22" s="17">
        <f t="shared" si="0"/>
        <v>6.1384615384615389</v>
      </c>
      <c r="H22" s="27" t="str">
        <f t="shared" si="1"/>
        <v>POSITIVO</v>
      </c>
      <c r="J22" s="17">
        <f t="shared" si="2"/>
        <v>5.7000000000000011</v>
      </c>
    </row>
    <row r="23" spans="1:10">
      <c r="B23" t="s">
        <v>1421</v>
      </c>
      <c r="C23" s="24" t="s">
        <v>27</v>
      </c>
      <c r="D23" s="25">
        <v>7.98</v>
      </c>
      <c r="E23" s="26">
        <v>14.5</v>
      </c>
      <c r="G23" s="17">
        <f t="shared" si="0"/>
        <v>12.276923076923078</v>
      </c>
      <c r="H23" s="27" t="str">
        <f t="shared" si="1"/>
        <v>POSITIVO</v>
      </c>
      <c r="J23" s="17">
        <f t="shared" si="2"/>
        <v>11.400000000000002</v>
      </c>
    </row>
    <row r="24" spans="1:10">
      <c r="B24" t="s">
        <v>1890</v>
      </c>
      <c r="C24" s="30" t="s">
        <v>27</v>
      </c>
      <c r="D24" s="13">
        <v>25.71</v>
      </c>
      <c r="E24" s="13">
        <v>39.9</v>
      </c>
      <c r="G24" s="17">
        <f t="shared" si="0"/>
        <v>39.553846153846152</v>
      </c>
      <c r="H24" s="27" t="str">
        <f t="shared" si="1"/>
        <v>POSITIVO</v>
      </c>
      <c r="J24" s="17">
        <f t="shared" si="2"/>
        <v>36.728571428571435</v>
      </c>
    </row>
    <row r="25" spans="1:10">
      <c r="B25" t="s">
        <v>841</v>
      </c>
      <c r="C25" s="30" t="s">
        <v>27</v>
      </c>
      <c r="D25" s="13">
        <v>1.6</v>
      </c>
      <c r="E25" s="13">
        <v>3</v>
      </c>
      <c r="G25" s="17">
        <f t="shared" si="0"/>
        <v>2.4615384615384617</v>
      </c>
      <c r="H25" s="27" t="str">
        <f t="shared" si="1"/>
        <v>POSITIVO</v>
      </c>
      <c r="J25" s="17">
        <f t="shared" si="2"/>
        <v>2.285714285714286</v>
      </c>
    </row>
    <row r="26" spans="1:10">
      <c r="B26" t="s">
        <v>35</v>
      </c>
      <c r="C26" s="24" t="s">
        <v>27</v>
      </c>
      <c r="D26" s="25">
        <v>2.12</v>
      </c>
      <c r="E26" s="26">
        <v>5</v>
      </c>
      <c r="G26" s="17">
        <f t="shared" si="0"/>
        <v>3.2615384615384615</v>
      </c>
      <c r="H26" s="27" t="str">
        <f t="shared" si="1"/>
        <v>POSITIVO</v>
      </c>
      <c r="J26" s="17">
        <f t="shared" si="2"/>
        <v>3.0285714285714289</v>
      </c>
    </row>
    <row r="27" spans="1:10">
      <c r="A27" s="61" t="s">
        <v>2009</v>
      </c>
      <c r="B27" t="s">
        <v>1399</v>
      </c>
      <c r="C27" s="30" t="s">
        <v>27</v>
      </c>
      <c r="D27" s="13">
        <v>104.94</v>
      </c>
      <c r="E27" s="13">
        <v>162</v>
      </c>
      <c r="G27" s="17">
        <f t="shared" si="0"/>
        <v>161.44615384615383</v>
      </c>
      <c r="H27" s="27" t="str">
        <f t="shared" si="1"/>
        <v>POSITIVO</v>
      </c>
      <c r="J27" s="17">
        <f t="shared" si="2"/>
        <v>149.91428571428571</v>
      </c>
    </row>
    <row r="28" spans="1:10">
      <c r="B28" t="s">
        <v>1400</v>
      </c>
      <c r="C28" s="30" t="s">
        <v>27</v>
      </c>
      <c r="D28" s="13">
        <v>112.24</v>
      </c>
      <c r="E28" s="13">
        <v>175</v>
      </c>
      <c r="G28" s="17">
        <f t="shared" si="0"/>
        <v>172.67692307692306</v>
      </c>
      <c r="H28" s="27" t="str">
        <f t="shared" si="1"/>
        <v>POSITIVO</v>
      </c>
      <c r="J28" s="17">
        <f t="shared" si="2"/>
        <v>160.34285714285716</v>
      </c>
    </row>
    <row r="29" spans="1:10">
      <c r="A29" s="61" t="s">
        <v>2490</v>
      </c>
      <c r="B29" t="s">
        <v>36</v>
      </c>
      <c r="C29" s="24" t="s">
        <v>27</v>
      </c>
      <c r="D29" s="25">
        <v>79.989999999999995</v>
      </c>
      <c r="E29" s="26">
        <v>125</v>
      </c>
      <c r="G29" s="17">
        <f t="shared" si="0"/>
        <v>123.06153846153845</v>
      </c>
      <c r="H29" s="27" t="str">
        <f t="shared" si="1"/>
        <v>POSITIVO</v>
      </c>
      <c r="J29" s="17">
        <f t="shared" si="2"/>
        <v>114.27142857142857</v>
      </c>
    </row>
    <row r="30" spans="1:10">
      <c r="A30" s="61" t="s">
        <v>2491</v>
      </c>
      <c r="B30" t="s">
        <v>37</v>
      </c>
      <c r="C30" s="24" t="s">
        <v>27</v>
      </c>
      <c r="D30" s="25">
        <v>52.9</v>
      </c>
      <c r="E30" s="26">
        <v>80</v>
      </c>
      <c r="G30" s="17">
        <f t="shared" si="0"/>
        <v>81.384615384615373</v>
      </c>
      <c r="H30" s="27" t="str">
        <f t="shared" si="1"/>
        <v>NEGATIVO</v>
      </c>
      <c r="J30" s="17">
        <f t="shared" si="2"/>
        <v>75.571428571428569</v>
      </c>
    </row>
    <row r="31" spans="1:10">
      <c r="A31" s="61" t="s">
        <v>2492</v>
      </c>
      <c r="B31" t="s">
        <v>1873</v>
      </c>
      <c r="C31" s="30" t="s">
        <v>27</v>
      </c>
      <c r="D31" s="13">
        <v>39.99</v>
      </c>
      <c r="E31" s="13">
        <v>65</v>
      </c>
      <c r="G31" s="17">
        <f t="shared" si="0"/>
        <v>61.523076923076921</v>
      </c>
      <c r="H31" s="27" t="str">
        <f t="shared" si="1"/>
        <v>POSITIVO</v>
      </c>
      <c r="J31" s="17">
        <f t="shared" si="2"/>
        <v>57.128571428571433</v>
      </c>
    </row>
    <row r="32" spans="1:10">
      <c r="B32" t="s">
        <v>1341</v>
      </c>
      <c r="C32" s="30" t="s">
        <v>27</v>
      </c>
      <c r="D32" s="13">
        <v>44.5</v>
      </c>
      <c r="E32" s="13">
        <v>72</v>
      </c>
      <c r="G32" s="17">
        <f t="shared" si="0"/>
        <v>68.461538461538453</v>
      </c>
      <c r="H32" s="27" t="str">
        <f t="shared" si="1"/>
        <v>POSITIVO</v>
      </c>
      <c r="J32" s="17">
        <f t="shared" si="2"/>
        <v>63.571428571428577</v>
      </c>
    </row>
    <row r="33" spans="1:10">
      <c r="B33" t="s">
        <v>1505</v>
      </c>
      <c r="C33" s="30" t="s">
        <v>27</v>
      </c>
      <c r="D33" s="13">
        <v>13.9</v>
      </c>
      <c r="E33" s="13">
        <v>21.4</v>
      </c>
      <c r="G33" s="17">
        <f t="shared" si="0"/>
        <v>21.384615384615383</v>
      </c>
      <c r="H33" s="27" t="str">
        <f t="shared" si="1"/>
        <v>POSITIVO</v>
      </c>
      <c r="J33" s="17">
        <f t="shared" si="2"/>
        <v>19.857142857142858</v>
      </c>
    </row>
    <row r="34" spans="1:10">
      <c r="B34" t="s">
        <v>899</v>
      </c>
      <c r="C34" s="30" t="s">
        <v>27</v>
      </c>
      <c r="D34" s="13">
        <v>18.899999999999999</v>
      </c>
      <c r="E34" s="13">
        <v>29.9</v>
      </c>
      <c r="G34" s="17">
        <f t="shared" si="0"/>
        <v>29.076923076923073</v>
      </c>
      <c r="H34" s="27" t="str">
        <f t="shared" si="1"/>
        <v>POSITIVO</v>
      </c>
      <c r="J34" s="17">
        <f t="shared" si="2"/>
        <v>27</v>
      </c>
    </row>
    <row r="35" spans="1:10">
      <c r="B35" t="s">
        <v>1506</v>
      </c>
      <c r="C35" s="30" t="s">
        <v>27</v>
      </c>
      <c r="D35" s="13">
        <v>13.9</v>
      </c>
      <c r="E35" s="13">
        <v>21.4</v>
      </c>
      <c r="G35" s="17">
        <f t="shared" si="0"/>
        <v>21.384615384615383</v>
      </c>
      <c r="H35" s="27" t="str">
        <f t="shared" si="1"/>
        <v>POSITIVO</v>
      </c>
      <c r="J35" s="17">
        <f t="shared" si="2"/>
        <v>19.857142857142858</v>
      </c>
    </row>
    <row r="36" spans="1:10">
      <c r="B36" t="s">
        <v>1314</v>
      </c>
      <c r="C36" s="24" t="s">
        <v>27</v>
      </c>
      <c r="D36" s="25">
        <v>26.01</v>
      </c>
      <c r="E36" s="26">
        <v>40.5</v>
      </c>
      <c r="G36" s="17">
        <f t="shared" si="0"/>
        <v>40.015384615384619</v>
      </c>
      <c r="H36" s="27" t="str">
        <f t="shared" si="1"/>
        <v>POSITIVO</v>
      </c>
      <c r="J36" s="17">
        <f t="shared" si="2"/>
        <v>37.157142857142858</v>
      </c>
    </row>
    <row r="37" spans="1:10">
      <c r="B37" t="s">
        <v>941</v>
      </c>
      <c r="C37" s="30" t="s">
        <v>27</v>
      </c>
      <c r="D37" s="13">
        <v>34.5</v>
      </c>
      <c r="G37" s="17">
        <f t="shared" si="0"/>
        <v>53.076923076923073</v>
      </c>
      <c r="H37" s="27" t="str">
        <f t="shared" si="1"/>
        <v>NEGATIVO</v>
      </c>
      <c r="J37" s="17">
        <f t="shared" si="2"/>
        <v>49.285714285714292</v>
      </c>
    </row>
    <row r="38" spans="1:10">
      <c r="B38" t="s">
        <v>951</v>
      </c>
      <c r="C38" s="24" t="s">
        <v>27</v>
      </c>
      <c r="D38" s="25">
        <v>27.49</v>
      </c>
      <c r="E38" s="26">
        <v>43.9</v>
      </c>
      <c r="G38" s="17">
        <f t="shared" si="0"/>
        <v>42.292307692307688</v>
      </c>
      <c r="H38" s="27" t="str">
        <f t="shared" si="1"/>
        <v>POSITIVO</v>
      </c>
      <c r="J38" s="17">
        <f t="shared" si="2"/>
        <v>39.271428571428572</v>
      </c>
    </row>
    <row r="39" spans="1:10">
      <c r="B39" t="s">
        <v>1271</v>
      </c>
      <c r="C39" s="30" t="s">
        <v>27</v>
      </c>
      <c r="D39" s="13">
        <v>20</v>
      </c>
      <c r="E39" s="13">
        <v>32</v>
      </c>
      <c r="G39" s="17">
        <f t="shared" si="0"/>
        <v>30.769230769230766</v>
      </c>
      <c r="H39" s="27" t="str">
        <f t="shared" si="1"/>
        <v>POSITIVO</v>
      </c>
      <c r="J39" s="17">
        <f t="shared" si="2"/>
        <v>28.571428571428573</v>
      </c>
    </row>
    <row r="40" spans="1:10">
      <c r="A40" s="61" t="s">
        <v>2486</v>
      </c>
      <c r="B40" t="s">
        <v>2484</v>
      </c>
      <c r="C40" s="30" t="s">
        <v>27</v>
      </c>
      <c r="D40" s="13">
        <v>20.9</v>
      </c>
      <c r="E40" s="13">
        <v>32.5</v>
      </c>
      <c r="G40" s="17">
        <f t="shared" si="0"/>
        <v>32.153846153846153</v>
      </c>
      <c r="H40" s="27" t="str">
        <f t="shared" si="1"/>
        <v>POSITIVO</v>
      </c>
      <c r="J40" s="17">
        <f t="shared" si="2"/>
        <v>29.857142857142858</v>
      </c>
    </row>
    <row r="41" spans="1:10">
      <c r="B41" t="s">
        <v>1623</v>
      </c>
      <c r="C41" s="24" t="s">
        <v>27</v>
      </c>
      <c r="D41" s="25">
        <v>35.9</v>
      </c>
      <c r="E41" s="26">
        <v>58</v>
      </c>
      <c r="G41" s="17">
        <f t="shared" si="0"/>
        <v>55.230769230769226</v>
      </c>
      <c r="H41" s="27" t="str">
        <f t="shared" si="1"/>
        <v>POSITIVO</v>
      </c>
      <c r="J41" s="17">
        <f t="shared" si="2"/>
        <v>51.285714285714285</v>
      </c>
    </row>
    <row r="42" spans="1:10">
      <c r="B42" t="s">
        <v>1612</v>
      </c>
      <c r="C42" s="30" t="s">
        <v>27</v>
      </c>
      <c r="D42" s="13">
        <v>154.22999999999999</v>
      </c>
      <c r="E42" s="13">
        <v>240</v>
      </c>
      <c r="G42" s="17">
        <f t="shared" si="0"/>
        <v>237.27692307692305</v>
      </c>
      <c r="H42" s="27" t="str">
        <f t="shared" si="1"/>
        <v>POSITIVO</v>
      </c>
      <c r="J42" s="17">
        <f t="shared" si="2"/>
        <v>220.32857142857142</v>
      </c>
    </row>
    <row r="43" spans="1:10">
      <c r="B43" t="s">
        <v>38</v>
      </c>
      <c r="C43" s="24" t="s">
        <v>27</v>
      </c>
      <c r="D43" s="25">
        <v>53.28</v>
      </c>
      <c r="E43" s="26">
        <v>85</v>
      </c>
      <c r="G43" s="17">
        <f t="shared" si="0"/>
        <v>81.969230769230762</v>
      </c>
      <c r="H43" s="27" t="str">
        <f t="shared" si="1"/>
        <v>POSITIVO</v>
      </c>
      <c r="J43" s="17">
        <f t="shared" si="2"/>
        <v>76.114285714285714</v>
      </c>
    </row>
    <row r="44" spans="1:10">
      <c r="B44" t="s">
        <v>1609</v>
      </c>
      <c r="C44" s="30" t="s">
        <v>27</v>
      </c>
      <c r="D44" s="13">
        <v>249</v>
      </c>
      <c r="E44" s="26">
        <v>385</v>
      </c>
      <c r="G44" s="17">
        <f t="shared" si="0"/>
        <v>383.07692307692304</v>
      </c>
      <c r="H44" s="27" t="str">
        <f t="shared" si="1"/>
        <v>POSITIVO</v>
      </c>
      <c r="J44" s="17">
        <f t="shared" si="2"/>
        <v>355.71428571428572</v>
      </c>
    </row>
    <row r="45" spans="1:10">
      <c r="B45" t="s">
        <v>1608</v>
      </c>
      <c r="C45" s="30" t="s">
        <v>27</v>
      </c>
      <c r="D45" s="13">
        <v>188.95</v>
      </c>
      <c r="E45" s="26">
        <v>295</v>
      </c>
      <c r="G45" s="17">
        <f t="shared" si="0"/>
        <v>290.69230769230768</v>
      </c>
      <c r="H45" s="27" t="str">
        <f t="shared" si="1"/>
        <v>POSITIVO</v>
      </c>
      <c r="J45" s="17">
        <f t="shared" si="2"/>
        <v>269.92857142857144</v>
      </c>
    </row>
    <row r="46" spans="1:10">
      <c r="B46" t="s">
        <v>1611</v>
      </c>
      <c r="C46" s="30" t="s">
        <v>27</v>
      </c>
      <c r="D46" s="13">
        <v>248.9</v>
      </c>
      <c r="E46" s="13">
        <v>385</v>
      </c>
      <c r="G46" s="17">
        <f t="shared" si="0"/>
        <v>382.92307692307691</v>
      </c>
      <c r="H46" s="27" t="str">
        <f t="shared" si="1"/>
        <v>POSITIVO</v>
      </c>
      <c r="J46" s="17">
        <f t="shared" si="2"/>
        <v>355.57142857142861</v>
      </c>
    </row>
    <row r="47" spans="1:10">
      <c r="B47" t="s">
        <v>1607</v>
      </c>
      <c r="C47" s="24" t="s">
        <v>27</v>
      </c>
      <c r="D47" s="25">
        <v>121.99</v>
      </c>
      <c r="E47" s="26">
        <v>188</v>
      </c>
      <c r="G47" s="17">
        <f t="shared" ref="G47:G105" si="3">(D47/65%)</f>
        <v>187.67692307692306</v>
      </c>
      <c r="H47" s="27" t="str">
        <f t="shared" ref="H47:H105" si="4">IF(E47&gt;=G47,"POSITIVO","NEGATIVO")</f>
        <v>POSITIVO</v>
      </c>
      <c r="J47" s="17">
        <f t="shared" ref="J47:J105" si="5">D47/70%</f>
        <v>174.27142857142857</v>
      </c>
    </row>
    <row r="48" spans="1:10">
      <c r="B48" t="s">
        <v>1610</v>
      </c>
      <c r="C48" s="30" t="s">
        <v>27</v>
      </c>
      <c r="D48" s="13">
        <v>225.04</v>
      </c>
      <c r="E48" s="13">
        <v>356</v>
      </c>
      <c r="G48" s="17">
        <f t="shared" si="3"/>
        <v>346.21538461538461</v>
      </c>
      <c r="H48" s="27" t="str">
        <f t="shared" si="4"/>
        <v>POSITIVO</v>
      </c>
      <c r="J48" s="17">
        <f t="shared" si="5"/>
        <v>321.48571428571432</v>
      </c>
    </row>
    <row r="49" spans="1:10">
      <c r="B49" t="s">
        <v>1448</v>
      </c>
      <c r="C49" s="24" t="s">
        <v>27</v>
      </c>
      <c r="D49" s="25">
        <v>11.5</v>
      </c>
      <c r="E49" s="25">
        <v>22</v>
      </c>
      <c r="G49" s="17">
        <f t="shared" si="3"/>
        <v>17.692307692307693</v>
      </c>
      <c r="H49" s="27" t="str">
        <f t="shared" si="4"/>
        <v>POSITIVO</v>
      </c>
      <c r="J49" s="17">
        <f t="shared" si="5"/>
        <v>16.428571428571431</v>
      </c>
    </row>
    <row r="50" spans="1:10">
      <c r="A50" s="61" t="s">
        <v>2487</v>
      </c>
      <c r="B50" t="s">
        <v>1449</v>
      </c>
      <c r="C50" s="30" t="s">
        <v>27</v>
      </c>
      <c r="D50" s="13">
        <v>34.99</v>
      </c>
      <c r="E50" s="13">
        <v>55</v>
      </c>
      <c r="G50" s="17">
        <f t="shared" si="3"/>
        <v>53.830769230769235</v>
      </c>
      <c r="H50" s="27" t="str">
        <f t="shared" si="4"/>
        <v>POSITIVO</v>
      </c>
      <c r="J50" s="17">
        <f t="shared" si="5"/>
        <v>49.985714285714295</v>
      </c>
    </row>
    <row r="51" spans="1:10">
      <c r="B51" t="s">
        <v>39</v>
      </c>
      <c r="C51" s="24" t="s">
        <v>27</v>
      </c>
      <c r="D51" s="25">
        <v>17.8</v>
      </c>
      <c r="E51" s="25">
        <v>28.9</v>
      </c>
      <c r="G51" s="17">
        <f t="shared" si="3"/>
        <v>27.384615384615383</v>
      </c>
      <c r="H51" s="27" t="str">
        <f t="shared" si="4"/>
        <v>POSITIVO</v>
      </c>
      <c r="J51" s="17">
        <f t="shared" si="5"/>
        <v>25.428571428571431</v>
      </c>
    </row>
    <row r="52" spans="1:10">
      <c r="B52" t="s">
        <v>40</v>
      </c>
      <c r="C52" s="24" t="s">
        <v>27</v>
      </c>
      <c r="D52" s="25">
        <v>16.46</v>
      </c>
      <c r="E52" s="26">
        <v>26</v>
      </c>
      <c r="G52" s="17">
        <f t="shared" si="3"/>
        <v>25.323076923076922</v>
      </c>
      <c r="H52" s="27" t="str">
        <f t="shared" si="4"/>
        <v>POSITIVO</v>
      </c>
      <c r="J52" s="17">
        <f t="shared" si="5"/>
        <v>23.514285714285716</v>
      </c>
    </row>
    <row r="53" spans="1:10">
      <c r="B53" t="s">
        <v>41</v>
      </c>
      <c r="C53" s="24" t="s">
        <v>27</v>
      </c>
      <c r="D53" s="25">
        <v>22.42</v>
      </c>
      <c r="E53" s="26">
        <v>30.5</v>
      </c>
      <c r="G53" s="17">
        <f t="shared" si="3"/>
        <v>34.492307692307691</v>
      </c>
      <c r="H53" s="27" t="str">
        <f t="shared" si="4"/>
        <v>NEGATIVO</v>
      </c>
      <c r="J53" s="17">
        <f t="shared" si="5"/>
        <v>32.028571428571432</v>
      </c>
    </row>
    <row r="54" spans="1:10">
      <c r="B54" t="s">
        <v>1184</v>
      </c>
      <c r="C54" s="30" t="s">
        <v>27</v>
      </c>
      <c r="D54" s="13">
        <v>347.54</v>
      </c>
      <c r="E54" s="13">
        <v>535</v>
      </c>
      <c r="G54" s="17">
        <f t="shared" si="3"/>
        <v>534.67692307692312</v>
      </c>
      <c r="H54" s="27" t="str">
        <f t="shared" si="4"/>
        <v>POSITIVO</v>
      </c>
      <c r="J54" s="17">
        <f t="shared" si="5"/>
        <v>496.48571428571432</v>
      </c>
    </row>
    <row r="55" spans="1:10">
      <c r="B55" t="s">
        <v>1185</v>
      </c>
      <c r="C55" s="30" t="s">
        <v>27</v>
      </c>
      <c r="D55" s="13">
        <v>343.6</v>
      </c>
      <c r="E55" s="13">
        <v>530</v>
      </c>
      <c r="G55" s="17">
        <f t="shared" si="3"/>
        <v>528.61538461538464</v>
      </c>
      <c r="H55" s="27" t="str">
        <f t="shared" si="4"/>
        <v>POSITIVO</v>
      </c>
      <c r="J55" s="17">
        <f t="shared" si="5"/>
        <v>490.85714285714295</v>
      </c>
    </row>
    <row r="56" spans="1:10">
      <c r="B56" t="s">
        <v>1822</v>
      </c>
      <c r="C56" s="30" t="s">
        <v>27</v>
      </c>
      <c r="D56" s="13">
        <v>15.1</v>
      </c>
      <c r="E56" s="13">
        <v>24</v>
      </c>
      <c r="G56" s="17">
        <f t="shared" si="3"/>
        <v>23.23076923076923</v>
      </c>
      <c r="H56" s="27" t="str">
        <f t="shared" si="4"/>
        <v>POSITIVO</v>
      </c>
      <c r="J56" s="17">
        <f t="shared" si="5"/>
        <v>21.571428571428573</v>
      </c>
    </row>
    <row r="57" spans="1:10">
      <c r="B57" t="s">
        <v>42</v>
      </c>
      <c r="C57" s="24" t="s">
        <v>27</v>
      </c>
      <c r="D57" s="25">
        <v>14.95</v>
      </c>
      <c r="E57" s="26">
        <v>24</v>
      </c>
      <c r="G57" s="17">
        <f t="shared" si="3"/>
        <v>22.999999999999996</v>
      </c>
      <c r="H57" s="27" t="str">
        <f t="shared" si="4"/>
        <v>POSITIVO</v>
      </c>
      <c r="J57" s="17">
        <f t="shared" si="5"/>
        <v>21.357142857142858</v>
      </c>
    </row>
    <row r="58" spans="1:10">
      <c r="B58" t="s">
        <v>43</v>
      </c>
      <c r="C58" s="24" t="s">
        <v>27</v>
      </c>
      <c r="D58" s="25">
        <v>16.64</v>
      </c>
      <c r="E58" s="26">
        <v>26</v>
      </c>
      <c r="G58" s="17">
        <f t="shared" si="3"/>
        <v>25.6</v>
      </c>
      <c r="H58" s="27" t="str">
        <f t="shared" si="4"/>
        <v>POSITIVO</v>
      </c>
      <c r="J58" s="17">
        <f t="shared" si="5"/>
        <v>23.771428571428572</v>
      </c>
    </row>
    <row r="59" spans="1:10">
      <c r="B59" t="s">
        <v>1693</v>
      </c>
      <c r="C59" s="30" t="s">
        <v>27</v>
      </c>
      <c r="D59" s="13">
        <v>29.53</v>
      </c>
      <c r="E59" s="13">
        <v>46</v>
      </c>
      <c r="G59" s="17">
        <f t="shared" si="3"/>
        <v>45.430769230769229</v>
      </c>
      <c r="H59" s="27" t="str">
        <f t="shared" si="4"/>
        <v>POSITIVO</v>
      </c>
      <c r="J59" s="17">
        <f t="shared" si="5"/>
        <v>42.18571428571429</v>
      </c>
    </row>
    <row r="60" spans="1:10">
      <c r="B60" t="s">
        <v>44</v>
      </c>
      <c r="C60" s="24" t="s">
        <v>27</v>
      </c>
      <c r="D60" s="25">
        <v>14</v>
      </c>
      <c r="E60" s="26">
        <v>24</v>
      </c>
      <c r="G60" s="17">
        <f t="shared" si="3"/>
        <v>21.538461538461537</v>
      </c>
      <c r="H60" s="27" t="str">
        <f t="shared" si="4"/>
        <v>POSITIVO</v>
      </c>
      <c r="J60" s="17">
        <f t="shared" si="5"/>
        <v>20</v>
      </c>
    </row>
    <row r="61" spans="1:10">
      <c r="B61" t="s">
        <v>1290</v>
      </c>
      <c r="C61" s="30" t="s">
        <v>27</v>
      </c>
      <c r="D61" s="13">
        <v>48.99</v>
      </c>
      <c r="E61" s="13">
        <v>78</v>
      </c>
      <c r="G61" s="17">
        <f t="shared" si="3"/>
        <v>75.369230769230768</v>
      </c>
      <c r="H61" s="27" t="str">
        <f t="shared" si="4"/>
        <v>POSITIVO</v>
      </c>
      <c r="J61" s="17">
        <f t="shared" si="5"/>
        <v>69.985714285714295</v>
      </c>
    </row>
    <row r="62" spans="1:10">
      <c r="B62" t="s">
        <v>1520</v>
      </c>
      <c r="C62" s="30" t="s">
        <v>27</v>
      </c>
      <c r="D62" s="13">
        <v>14.99</v>
      </c>
      <c r="E62" s="13">
        <v>26</v>
      </c>
      <c r="G62" s="17">
        <f t="shared" si="3"/>
        <v>23.061538461538461</v>
      </c>
      <c r="H62" s="27" t="str">
        <f t="shared" si="4"/>
        <v>POSITIVO</v>
      </c>
      <c r="J62" s="17">
        <f t="shared" si="5"/>
        <v>21.414285714285715</v>
      </c>
    </row>
    <row r="63" spans="1:10">
      <c r="B63" t="s">
        <v>1519</v>
      </c>
      <c r="C63" s="30" t="s">
        <v>27</v>
      </c>
      <c r="D63" s="13">
        <v>25.99</v>
      </c>
      <c r="E63" s="13">
        <v>42</v>
      </c>
      <c r="G63" s="17">
        <f t="shared" si="3"/>
        <v>39.984615384615381</v>
      </c>
      <c r="H63" s="27" t="str">
        <f t="shared" si="4"/>
        <v>POSITIVO</v>
      </c>
      <c r="J63" s="17">
        <f t="shared" si="5"/>
        <v>37.128571428571426</v>
      </c>
    </row>
    <row r="64" spans="1:10">
      <c r="B64" t="s">
        <v>45</v>
      </c>
      <c r="C64" s="24" t="s">
        <v>46</v>
      </c>
      <c r="D64" s="25">
        <v>71</v>
      </c>
      <c r="E64" s="26">
        <v>90</v>
      </c>
      <c r="G64" s="17">
        <f t="shared" si="3"/>
        <v>109.23076923076923</v>
      </c>
      <c r="H64" s="27" t="str">
        <f t="shared" si="4"/>
        <v>NEGATIVO</v>
      </c>
      <c r="J64" s="17">
        <f t="shared" si="5"/>
        <v>101.42857142857143</v>
      </c>
    </row>
    <row r="65" spans="2:10">
      <c r="B65" t="s">
        <v>47</v>
      </c>
      <c r="C65" s="24" t="s">
        <v>46</v>
      </c>
      <c r="D65" s="25">
        <v>66</v>
      </c>
      <c r="E65" s="26">
        <v>90</v>
      </c>
      <c r="G65" s="17">
        <f t="shared" si="3"/>
        <v>101.53846153846153</v>
      </c>
      <c r="H65" s="27" t="str">
        <f t="shared" si="4"/>
        <v>NEGATIVO</v>
      </c>
      <c r="J65" s="17">
        <f t="shared" si="5"/>
        <v>94.285714285714292</v>
      </c>
    </row>
    <row r="66" spans="2:10">
      <c r="B66" t="s">
        <v>929</v>
      </c>
      <c r="C66" s="30" t="s">
        <v>27</v>
      </c>
      <c r="D66" s="13">
        <v>8.5</v>
      </c>
      <c r="E66" s="13">
        <v>14</v>
      </c>
      <c r="G66" s="17">
        <f t="shared" si="3"/>
        <v>13.076923076923077</v>
      </c>
      <c r="H66" s="27" t="str">
        <f t="shared" si="4"/>
        <v>POSITIVO</v>
      </c>
      <c r="J66" s="17">
        <f t="shared" si="5"/>
        <v>12.142857142857144</v>
      </c>
    </row>
    <row r="67" spans="2:10">
      <c r="B67" t="s">
        <v>1734</v>
      </c>
      <c r="C67" s="30" t="s">
        <v>46</v>
      </c>
      <c r="D67" s="13">
        <v>15.9</v>
      </c>
      <c r="E67" s="13">
        <v>25</v>
      </c>
      <c r="G67" s="17">
        <f t="shared" si="3"/>
        <v>24.46153846153846</v>
      </c>
      <c r="H67" s="27" t="str">
        <f t="shared" si="4"/>
        <v>POSITIVO</v>
      </c>
      <c r="J67" s="17">
        <f t="shared" si="5"/>
        <v>22.714285714285715</v>
      </c>
    </row>
    <row r="68" spans="2:10">
      <c r="B68" t="s">
        <v>980</v>
      </c>
      <c r="C68" s="30" t="s">
        <v>46</v>
      </c>
      <c r="D68" s="13">
        <v>18.899999999999999</v>
      </c>
      <c r="E68" s="13">
        <v>30</v>
      </c>
      <c r="G68" s="17">
        <f t="shared" si="3"/>
        <v>29.076923076923073</v>
      </c>
      <c r="H68" s="27" t="str">
        <f t="shared" si="4"/>
        <v>POSITIVO</v>
      </c>
      <c r="J68" s="17">
        <f t="shared" si="5"/>
        <v>27</v>
      </c>
    </row>
    <row r="69" spans="2:10">
      <c r="B69" t="s">
        <v>48</v>
      </c>
      <c r="C69" s="24" t="s">
        <v>46</v>
      </c>
      <c r="D69" s="25">
        <v>10.83</v>
      </c>
      <c r="E69" s="25">
        <v>15.5</v>
      </c>
      <c r="G69" s="17">
        <f t="shared" si="3"/>
        <v>16.661538461538463</v>
      </c>
      <c r="H69" s="27" t="str">
        <f t="shared" si="4"/>
        <v>NEGATIVO</v>
      </c>
      <c r="J69" s="17">
        <f t="shared" si="5"/>
        <v>15.471428571428573</v>
      </c>
    </row>
    <row r="70" spans="2:10">
      <c r="B70" t="s">
        <v>49</v>
      </c>
      <c r="C70" s="24" t="s">
        <v>46</v>
      </c>
      <c r="D70" s="25">
        <v>20.05</v>
      </c>
      <c r="E70" s="26">
        <v>28</v>
      </c>
      <c r="G70" s="17">
        <f t="shared" si="3"/>
        <v>30.846153846153847</v>
      </c>
      <c r="H70" s="27" t="str">
        <f t="shared" si="4"/>
        <v>NEGATIVO</v>
      </c>
      <c r="J70" s="17">
        <f t="shared" si="5"/>
        <v>28.642857142857146</v>
      </c>
    </row>
    <row r="71" spans="2:10">
      <c r="B71" t="s">
        <v>50</v>
      </c>
      <c r="C71" s="24" t="s">
        <v>46</v>
      </c>
      <c r="D71" s="25">
        <v>27.7</v>
      </c>
      <c r="E71" s="26">
        <v>32</v>
      </c>
      <c r="G71" s="17">
        <f t="shared" si="3"/>
        <v>42.615384615384613</v>
      </c>
      <c r="H71" s="27" t="str">
        <f t="shared" si="4"/>
        <v>NEGATIVO</v>
      </c>
      <c r="J71" s="17">
        <f t="shared" si="5"/>
        <v>39.571428571428569</v>
      </c>
    </row>
    <row r="72" spans="2:10">
      <c r="B72" t="s">
        <v>872</v>
      </c>
      <c r="C72" s="24" t="s">
        <v>27</v>
      </c>
      <c r="D72" s="25">
        <v>47.9</v>
      </c>
      <c r="E72" s="25">
        <v>77.3</v>
      </c>
      <c r="G72" s="17">
        <f t="shared" si="3"/>
        <v>73.692307692307693</v>
      </c>
      <c r="H72" s="27" t="str">
        <f t="shared" si="4"/>
        <v>POSITIVO</v>
      </c>
      <c r="J72" s="17">
        <f t="shared" si="5"/>
        <v>68.428571428571431</v>
      </c>
    </row>
    <row r="73" spans="2:10">
      <c r="B73" t="s">
        <v>751</v>
      </c>
      <c r="C73" s="24" t="s">
        <v>27</v>
      </c>
      <c r="D73" s="25">
        <v>41.49</v>
      </c>
      <c r="E73" s="26">
        <v>65</v>
      </c>
      <c r="G73" s="17">
        <f t="shared" si="3"/>
        <v>63.830769230769235</v>
      </c>
      <c r="H73" s="27" t="str">
        <f t="shared" si="4"/>
        <v>POSITIVO</v>
      </c>
      <c r="J73" s="17">
        <f t="shared" si="5"/>
        <v>59.271428571428579</v>
      </c>
    </row>
    <row r="74" spans="2:10">
      <c r="B74" t="s">
        <v>1032</v>
      </c>
      <c r="C74" s="30" t="s">
        <v>27</v>
      </c>
      <c r="D74" s="13">
        <v>42.86</v>
      </c>
      <c r="E74" s="13">
        <v>67</v>
      </c>
      <c r="G74" s="17">
        <f t="shared" si="3"/>
        <v>65.938461538461539</v>
      </c>
      <c r="H74" s="27" t="str">
        <f t="shared" si="4"/>
        <v>POSITIVO</v>
      </c>
      <c r="J74" s="17">
        <f t="shared" si="5"/>
        <v>61.228571428571435</v>
      </c>
    </row>
    <row r="75" spans="2:10">
      <c r="B75" t="s">
        <v>1911</v>
      </c>
      <c r="C75" s="30" t="s">
        <v>27</v>
      </c>
      <c r="D75" s="13">
        <v>34.44</v>
      </c>
      <c r="E75" s="13">
        <v>53</v>
      </c>
      <c r="G75" s="17">
        <f t="shared" si="3"/>
        <v>52.984615384615381</v>
      </c>
      <c r="H75" s="27" t="str">
        <f t="shared" si="4"/>
        <v>POSITIVO</v>
      </c>
      <c r="J75" s="17">
        <f t="shared" si="5"/>
        <v>49.2</v>
      </c>
    </row>
    <row r="76" spans="2:10">
      <c r="B76" t="s">
        <v>51</v>
      </c>
      <c r="C76" s="24" t="s">
        <v>27</v>
      </c>
      <c r="D76" s="25">
        <v>1.37</v>
      </c>
      <c r="E76" s="26">
        <v>2.5</v>
      </c>
      <c r="G76" s="17">
        <f t="shared" si="3"/>
        <v>2.1076923076923078</v>
      </c>
      <c r="H76" s="27" t="str">
        <f t="shared" si="4"/>
        <v>POSITIVO</v>
      </c>
      <c r="J76" s="17">
        <f t="shared" si="5"/>
        <v>1.9571428571428575</v>
      </c>
    </row>
    <row r="77" spans="2:10">
      <c r="B77" t="s">
        <v>1919</v>
      </c>
      <c r="C77" s="30" t="s">
        <v>27</v>
      </c>
      <c r="D77" s="13">
        <v>0.1</v>
      </c>
      <c r="E77" s="13">
        <v>0.18</v>
      </c>
      <c r="G77" s="17">
        <f t="shared" si="3"/>
        <v>0.15384615384615385</v>
      </c>
      <c r="H77" s="27" t="str">
        <f t="shared" si="4"/>
        <v>POSITIVO</v>
      </c>
      <c r="J77" s="17">
        <f t="shared" si="5"/>
        <v>0.14285714285714288</v>
      </c>
    </row>
    <row r="78" spans="2:10">
      <c r="B78" t="s">
        <v>52</v>
      </c>
      <c r="C78" s="24" t="s">
        <v>27</v>
      </c>
      <c r="D78" s="25">
        <v>0.44</v>
      </c>
      <c r="E78" s="26">
        <v>0.9</v>
      </c>
      <c r="G78" s="17">
        <f t="shared" si="3"/>
        <v>0.67692307692307685</v>
      </c>
      <c r="H78" s="27" t="str">
        <f t="shared" si="4"/>
        <v>POSITIVO</v>
      </c>
      <c r="J78" s="17">
        <f t="shared" si="5"/>
        <v>0.62857142857142867</v>
      </c>
    </row>
    <row r="79" spans="2:10">
      <c r="B79" t="s">
        <v>858</v>
      </c>
      <c r="C79" s="30" t="s">
        <v>27</v>
      </c>
      <c r="D79" s="13">
        <v>7.0000000000000007E-2</v>
      </c>
      <c r="E79" s="13">
        <v>0.15</v>
      </c>
      <c r="G79" s="17">
        <f t="shared" si="3"/>
        <v>0.1076923076923077</v>
      </c>
      <c r="H79" s="27" t="str">
        <f t="shared" si="4"/>
        <v>POSITIVO</v>
      </c>
      <c r="J79" s="17">
        <f t="shared" si="5"/>
        <v>0.10000000000000002</v>
      </c>
    </row>
    <row r="80" spans="2:10">
      <c r="B80" t="s">
        <v>1758</v>
      </c>
      <c r="C80" s="30" t="s">
        <v>27</v>
      </c>
      <c r="D80" s="13">
        <v>1.68</v>
      </c>
      <c r="E80" s="13">
        <v>3.5</v>
      </c>
      <c r="G80" s="17">
        <f t="shared" si="3"/>
        <v>2.5846153846153843</v>
      </c>
      <c r="H80" s="27" t="str">
        <f t="shared" si="4"/>
        <v>POSITIVO</v>
      </c>
      <c r="J80" s="17">
        <f t="shared" si="5"/>
        <v>2.4</v>
      </c>
    </row>
    <row r="81" spans="1:10">
      <c r="B81" t="s">
        <v>833</v>
      </c>
      <c r="C81" s="24" t="s">
        <v>27</v>
      </c>
      <c r="D81" s="25">
        <v>0.16</v>
      </c>
      <c r="E81" s="25">
        <v>0.25</v>
      </c>
      <c r="G81" s="17">
        <f t="shared" si="3"/>
        <v>0.24615384615384614</v>
      </c>
      <c r="H81" s="27" t="str">
        <f t="shared" si="4"/>
        <v>POSITIVO</v>
      </c>
      <c r="J81" s="17">
        <f t="shared" si="5"/>
        <v>0.22857142857142859</v>
      </c>
    </row>
    <row r="82" spans="1:10">
      <c r="B82" t="s">
        <v>832</v>
      </c>
      <c r="C82" s="24" t="s">
        <v>27</v>
      </c>
      <c r="D82" s="25">
        <v>0.09</v>
      </c>
      <c r="E82" s="25">
        <v>0.2</v>
      </c>
      <c r="G82" s="17">
        <f t="shared" si="3"/>
        <v>0.13846153846153844</v>
      </c>
      <c r="H82" s="27" t="str">
        <f t="shared" si="4"/>
        <v>POSITIVO</v>
      </c>
      <c r="J82" s="17">
        <f t="shared" si="5"/>
        <v>0.12857142857142859</v>
      </c>
    </row>
    <row r="83" spans="1:10">
      <c r="B83" t="s">
        <v>752</v>
      </c>
      <c r="C83" s="24" t="s">
        <v>27</v>
      </c>
      <c r="D83" s="25">
        <v>21.91</v>
      </c>
      <c r="E83" s="26">
        <v>35</v>
      </c>
      <c r="G83" s="17">
        <f t="shared" si="3"/>
        <v>33.707692307692305</v>
      </c>
      <c r="H83" s="27" t="str">
        <f t="shared" si="4"/>
        <v>POSITIVO</v>
      </c>
      <c r="J83" s="17">
        <f t="shared" si="5"/>
        <v>31.3</v>
      </c>
    </row>
    <row r="84" spans="1:10">
      <c r="B84" t="s">
        <v>1136</v>
      </c>
      <c r="C84" s="30" t="s">
        <v>27</v>
      </c>
      <c r="D84" s="13">
        <v>51.32</v>
      </c>
      <c r="E84" s="13">
        <v>80</v>
      </c>
      <c r="G84" s="17">
        <f t="shared" si="3"/>
        <v>78.953846153846158</v>
      </c>
      <c r="H84" s="27" t="str">
        <f t="shared" si="4"/>
        <v>POSITIVO</v>
      </c>
      <c r="J84" s="17">
        <f t="shared" si="5"/>
        <v>73.314285714285717</v>
      </c>
    </row>
    <row r="85" spans="1:10">
      <c r="B85" t="s">
        <v>871</v>
      </c>
      <c r="C85" s="30" t="s">
        <v>27</v>
      </c>
      <c r="D85" s="25">
        <v>73.2</v>
      </c>
      <c r="E85" s="13">
        <v>115</v>
      </c>
      <c r="G85" s="17">
        <f t="shared" si="3"/>
        <v>112.61538461538461</v>
      </c>
      <c r="H85" s="27" t="str">
        <f t="shared" si="4"/>
        <v>POSITIVO</v>
      </c>
      <c r="J85" s="17">
        <f t="shared" si="5"/>
        <v>104.57142857142858</v>
      </c>
    </row>
    <row r="86" spans="1:10">
      <c r="A86" s="61" t="s">
        <v>2542</v>
      </c>
      <c r="B86" t="s">
        <v>1665</v>
      </c>
      <c r="C86" s="30" t="s">
        <v>27</v>
      </c>
      <c r="D86" s="13">
        <v>52.27</v>
      </c>
      <c r="E86" s="13">
        <v>81.900000000000006</v>
      </c>
      <c r="G86" s="17">
        <f t="shared" si="3"/>
        <v>80.41538461538461</v>
      </c>
      <c r="H86" s="27" t="str">
        <f t="shared" si="4"/>
        <v>POSITIVO</v>
      </c>
      <c r="J86" s="17">
        <f t="shared" si="5"/>
        <v>74.671428571428578</v>
      </c>
    </row>
    <row r="87" spans="1:10">
      <c r="A87" s="61" t="s">
        <v>2540</v>
      </c>
      <c r="B87" t="s">
        <v>1847</v>
      </c>
      <c r="C87" s="30" t="s">
        <v>27</v>
      </c>
      <c r="D87" s="13">
        <v>72.73</v>
      </c>
      <c r="E87" s="13">
        <v>112</v>
      </c>
      <c r="G87" s="17">
        <f t="shared" si="3"/>
        <v>111.8923076923077</v>
      </c>
      <c r="H87" s="27" t="str">
        <f t="shared" si="4"/>
        <v>POSITIVO</v>
      </c>
      <c r="J87" s="17">
        <f t="shared" si="5"/>
        <v>103.9</v>
      </c>
    </row>
    <row r="88" spans="1:10">
      <c r="A88" s="61" t="s">
        <v>2541</v>
      </c>
      <c r="B88" t="s">
        <v>1664</v>
      </c>
      <c r="C88" s="30" t="s">
        <v>27</v>
      </c>
      <c r="D88" s="25">
        <v>58.33</v>
      </c>
      <c r="E88" s="26">
        <v>89.9</v>
      </c>
      <c r="G88" s="17">
        <f t="shared" si="3"/>
        <v>89.738461538461536</v>
      </c>
      <c r="H88" s="27" t="str">
        <f t="shared" si="4"/>
        <v>POSITIVO</v>
      </c>
      <c r="J88" s="17">
        <f t="shared" si="5"/>
        <v>83.328571428571436</v>
      </c>
    </row>
    <row r="89" spans="1:10">
      <c r="A89" s="61" t="s">
        <v>2545</v>
      </c>
      <c r="B89" t="s">
        <v>1410</v>
      </c>
      <c r="C89" s="30" t="s">
        <v>27</v>
      </c>
      <c r="D89" s="13">
        <v>35</v>
      </c>
      <c r="E89" s="13">
        <v>53.9</v>
      </c>
      <c r="G89" s="17">
        <f t="shared" si="3"/>
        <v>53.846153846153847</v>
      </c>
      <c r="H89" s="27" t="str">
        <f t="shared" si="4"/>
        <v>POSITIVO</v>
      </c>
      <c r="J89" s="17">
        <f t="shared" si="5"/>
        <v>50</v>
      </c>
    </row>
    <row r="90" spans="1:10">
      <c r="B90" t="s">
        <v>870</v>
      </c>
      <c r="C90" s="30" t="s">
        <v>27</v>
      </c>
      <c r="D90" s="25">
        <v>51.27</v>
      </c>
      <c r="E90" s="26">
        <v>79.900000000000006</v>
      </c>
      <c r="G90" s="17">
        <f t="shared" si="3"/>
        <v>78.876923076923077</v>
      </c>
      <c r="H90" s="27" t="str">
        <f t="shared" si="4"/>
        <v>POSITIVO</v>
      </c>
      <c r="J90" s="17">
        <f t="shared" si="5"/>
        <v>73.242857142857147</v>
      </c>
    </row>
    <row r="91" spans="1:10">
      <c r="B91" t="s">
        <v>869</v>
      </c>
      <c r="C91" s="30" t="s">
        <v>27</v>
      </c>
      <c r="D91" s="25">
        <v>17</v>
      </c>
      <c r="E91" s="26">
        <v>27.9</v>
      </c>
      <c r="G91" s="17">
        <f t="shared" si="3"/>
        <v>26.153846153846153</v>
      </c>
      <c r="H91" s="27" t="str">
        <f t="shared" si="4"/>
        <v>POSITIVO</v>
      </c>
      <c r="J91" s="17">
        <f t="shared" si="5"/>
        <v>24.285714285714288</v>
      </c>
    </row>
    <row r="92" spans="1:10">
      <c r="A92" s="61" t="s">
        <v>2544</v>
      </c>
      <c r="B92" t="s">
        <v>1844</v>
      </c>
      <c r="C92" s="30" t="s">
        <v>27</v>
      </c>
      <c r="D92" s="13">
        <v>88.46</v>
      </c>
      <c r="E92" s="13">
        <v>138</v>
      </c>
      <c r="G92" s="17">
        <f t="shared" si="3"/>
        <v>136.09230769230768</v>
      </c>
      <c r="H92" s="27" t="str">
        <f t="shared" si="4"/>
        <v>POSITIVO</v>
      </c>
      <c r="J92" s="17">
        <f t="shared" si="5"/>
        <v>126.37142857142857</v>
      </c>
    </row>
    <row r="93" spans="1:10">
      <c r="A93" s="61" t="s">
        <v>2543</v>
      </c>
      <c r="B93" t="s">
        <v>1845</v>
      </c>
      <c r="C93" s="30" t="s">
        <v>27</v>
      </c>
      <c r="D93" s="13">
        <v>70.069999999999993</v>
      </c>
      <c r="E93" s="13">
        <v>110</v>
      </c>
      <c r="G93" s="17">
        <f t="shared" si="3"/>
        <v>107.79999999999998</v>
      </c>
      <c r="H93" s="27" t="str">
        <f t="shared" si="4"/>
        <v>POSITIVO</v>
      </c>
      <c r="J93" s="17">
        <f t="shared" si="5"/>
        <v>100.1</v>
      </c>
    </row>
    <row r="94" spans="1:10">
      <c r="A94" s="61" t="s">
        <v>2539</v>
      </c>
      <c r="B94" t="s">
        <v>1846</v>
      </c>
      <c r="C94" s="30" t="s">
        <v>27</v>
      </c>
      <c r="D94" s="25">
        <v>51.22</v>
      </c>
      <c r="E94" s="13">
        <v>79.900000000000006</v>
      </c>
      <c r="G94" s="17">
        <f t="shared" si="3"/>
        <v>78.8</v>
      </c>
      <c r="H94" s="27" t="str">
        <f t="shared" si="4"/>
        <v>POSITIVO</v>
      </c>
      <c r="J94" s="17">
        <f t="shared" si="5"/>
        <v>73.171428571428578</v>
      </c>
    </row>
    <row r="95" spans="1:10">
      <c r="B95" t="s">
        <v>868</v>
      </c>
      <c r="C95" s="30" t="s">
        <v>27</v>
      </c>
      <c r="D95" s="25">
        <v>26.69</v>
      </c>
      <c r="E95" s="26">
        <v>41.9</v>
      </c>
      <c r="G95" s="17">
        <f t="shared" si="3"/>
        <v>41.061538461538461</v>
      </c>
      <c r="H95" s="27" t="str">
        <f t="shared" si="4"/>
        <v>POSITIVO</v>
      </c>
      <c r="J95" s="17">
        <f t="shared" si="5"/>
        <v>38.128571428571433</v>
      </c>
    </row>
    <row r="96" spans="1:10">
      <c r="B96" t="s">
        <v>867</v>
      </c>
      <c r="C96" s="30" t="s">
        <v>27</v>
      </c>
      <c r="D96" s="25">
        <v>21.26</v>
      </c>
      <c r="E96" s="26">
        <v>33.9</v>
      </c>
      <c r="G96" s="17">
        <f t="shared" si="3"/>
        <v>32.707692307692312</v>
      </c>
      <c r="H96" s="27" t="str">
        <f t="shared" si="4"/>
        <v>POSITIVO</v>
      </c>
      <c r="J96" s="17">
        <f t="shared" si="5"/>
        <v>30.371428571428577</v>
      </c>
    </row>
    <row r="97" spans="1:10">
      <c r="B97" t="s">
        <v>873</v>
      </c>
      <c r="C97" s="30" t="s">
        <v>27</v>
      </c>
      <c r="D97" s="34">
        <v>21.16</v>
      </c>
      <c r="E97" s="13">
        <v>32.9</v>
      </c>
      <c r="G97" s="17">
        <f t="shared" si="3"/>
        <v>32.553846153846152</v>
      </c>
      <c r="H97" s="27" t="str">
        <f t="shared" si="4"/>
        <v>POSITIVO</v>
      </c>
      <c r="J97" s="17">
        <f t="shared" si="5"/>
        <v>30.228571428571431</v>
      </c>
    </row>
    <row r="98" spans="1:10">
      <c r="B98" t="s">
        <v>874</v>
      </c>
      <c r="C98" s="30" t="s">
        <v>27</v>
      </c>
      <c r="D98" s="34">
        <v>25.97</v>
      </c>
      <c r="E98" s="13">
        <v>41.9</v>
      </c>
      <c r="G98" s="17">
        <f t="shared" si="3"/>
        <v>39.95384615384615</v>
      </c>
      <c r="H98" s="27" t="str">
        <f t="shared" si="4"/>
        <v>POSITIVO</v>
      </c>
      <c r="J98" s="17">
        <f t="shared" si="5"/>
        <v>37.1</v>
      </c>
    </row>
    <row r="99" spans="1:10">
      <c r="B99" t="s">
        <v>875</v>
      </c>
      <c r="C99" s="30" t="s">
        <v>27</v>
      </c>
      <c r="D99" s="34">
        <v>31.17</v>
      </c>
      <c r="E99" s="13">
        <v>48</v>
      </c>
      <c r="G99" s="17">
        <f t="shared" si="3"/>
        <v>47.953846153846158</v>
      </c>
      <c r="H99" s="27" t="str">
        <f t="shared" si="4"/>
        <v>POSITIVO</v>
      </c>
      <c r="J99" s="17">
        <f t="shared" si="5"/>
        <v>44.528571428571432</v>
      </c>
    </row>
    <row r="100" spans="1:10">
      <c r="B100" t="s">
        <v>877</v>
      </c>
      <c r="C100" s="24" t="s">
        <v>27</v>
      </c>
      <c r="D100" s="25">
        <v>13.3</v>
      </c>
      <c r="E100" s="26">
        <v>21</v>
      </c>
      <c r="G100" s="17">
        <f t="shared" si="3"/>
        <v>20.461538461538463</v>
      </c>
      <c r="H100" s="27" t="str">
        <f t="shared" si="4"/>
        <v>POSITIVO</v>
      </c>
      <c r="J100" s="17">
        <f t="shared" si="5"/>
        <v>19.000000000000004</v>
      </c>
    </row>
    <row r="101" spans="1:10">
      <c r="B101" t="s">
        <v>1414</v>
      </c>
      <c r="C101" s="30" t="s">
        <v>27</v>
      </c>
      <c r="D101" s="13">
        <v>141.16999999999999</v>
      </c>
      <c r="E101" s="13">
        <v>222</v>
      </c>
      <c r="G101" s="17">
        <f t="shared" si="3"/>
        <v>217.18461538461537</v>
      </c>
      <c r="H101" s="27" t="str">
        <f t="shared" si="4"/>
        <v>POSITIVO</v>
      </c>
      <c r="J101" s="17">
        <f t="shared" si="5"/>
        <v>201.67142857142858</v>
      </c>
    </row>
    <row r="102" spans="1:10">
      <c r="A102" s="61" t="s">
        <v>2547</v>
      </c>
      <c r="B102" t="s">
        <v>1409</v>
      </c>
      <c r="C102" s="30" t="s">
        <v>27</v>
      </c>
      <c r="D102" s="13">
        <v>30.99</v>
      </c>
      <c r="E102" s="13">
        <v>45</v>
      </c>
      <c r="G102" s="17">
        <f t="shared" si="3"/>
        <v>47.676923076923075</v>
      </c>
      <c r="H102" s="27" t="str">
        <f t="shared" si="4"/>
        <v>NEGATIVO</v>
      </c>
      <c r="J102" s="17">
        <f t="shared" si="5"/>
        <v>44.271428571428572</v>
      </c>
    </row>
    <row r="103" spans="1:10">
      <c r="B103" t="s">
        <v>1412</v>
      </c>
      <c r="C103" s="30" t="s">
        <v>27</v>
      </c>
      <c r="D103" s="13">
        <v>141.16999999999999</v>
      </c>
      <c r="E103" s="13">
        <v>225</v>
      </c>
      <c r="G103" s="17">
        <f t="shared" si="3"/>
        <v>217.18461538461537</v>
      </c>
      <c r="H103" s="27" t="str">
        <f t="shared" si="4"/>
        <v>POSITIVO</v>
      </c>
      <c r="J103" s="17">
        <f t="shared" si="5"/>
        <v>201.67142857142858</v>
      </c>
    </row>
    <row r="104" spans="1:10">
      <c r="B104" t="s">
        <v>1413</v>
      </c>
      <c r="C104" s="30" t="s">
        <v>27</v>
      </c>
      <c r="D104" s="13">
        <v>166.29</v>
      </c>
      <c r="E104" s="13">
        <v>256</v>
      </c>
      <c r="G104" s="17">
        <f t="shared" si="3"/>
        <v>255.83076923076922</v>
      </c>
      <c r="H104" s="27" t="str">
        <f t="shared" si="4"/>
        <v>POSITIVO</v>
      </c>
      <c r="J104" s="17">
        <f t="shared" si="5"/>
        <v>237.55714285714285</v>
      </c>
    </row>
    <row r="105" spans="1:10">
      <c r="B105" t="s">
        <v>53</v>
      </c>
      <c r="C105" s="24" t="s">
        <v>27</v>
      </c>
      <c r="D105" s="25">
        <v>16.97</v>
      </c>
      <c r="E105" s="26">
        <v>27</v>
      </c>
      <c r="G105" s="17">
        <f t="shared" si="3"/>
        <v>26.107692307692304</v>
      </c>
      <c r="H105" s="27" t="str">
        <f t="shared" si="4"/>
        <v>POSITIVO</v>
      </c>
      <c r="J105" s="17">
        <f t="shared" si="5"/>
        <v>24.242857142857144</v>
      </c>
    </row>
    <row r="106" spans="1:10">
      <c r="B106" t="s">
        <v>54</v>
      </c>
      <c r="C106" s="24" t="s">
        <v>27</v>
      </c>
      <c r="D106" s="25">
        <v>16.3</v>
      </c>
      <c r="E106" s="26">
        <v>26</v>
      </c>
      <c r="G106" s="17">
        <f t="shared" ref="G106:G163" si="6">(D106/65%)</f>
        <v>25.076923076923077</v>
      </c>
      <c r="H106" s="27" t="str">
        <f t="shared" ref="H106:H163" si="7">IF(E106&gt;=G106,"POSITIVO","NEGATIVO")</f>
        <v>POSITIVO</v>
      </c>
      <c r="J106" s="17">
        <f t="shared" ref="J106:J163" si="8">D106/70%</f>
        <v>23.285714285714288</v>
      </c>
    </row>
    <row r="107" spans="1:10">
      <c r="B107" t="s">
        <v>55</v>
      </c>
      <c r="C107" s="24" t="s">
        <v>27</v>
      </c>
      <c r="D107" s="25">
        <v>10.54</v>
      </c>
      <c r="E107" s="26">
        <v>19.899999999999999</v>
      </c>
      <c r="G107" s="17">
        <f t="shared" si="6"/>
        <v>16.215384615384615</v>
      </c>
      <c r="H107" s="27" t="str">
        <f t="shared" si="7"/>
        <v>POSITIVO</v>
      </c>
      <c r="J107" s="17">
        <f t="shared" si="8"/>
        <v>15.057142857142857</v>
      </c>
    </row>
    <row r="108" spans="1:10">
      <c r="B108" t="s">
        <v>56</v>
      </c>
      <c r="C108" s="24" t="s">
        <v>27</v>
      </c>
      <c r="D108" s="25">
        <v>4.92</v>
      </c>
      <c r="E108" s="26">
        <v>10</v>
      </c>
      <c r="G108" s="17">
        <f t="shared" si="6"/>
        <v>7.569230769230769</v>
      </c>
      <c r="H108" s="27" t="str">
        <f t="shared" si="7"/>
        <v>POSITIVO</v>
      </c>
      <c r="J108" s="17">
        <f t="shared" si="8"/>
        <v>7.0285714285714294</v>
      </c>
    </row>
    <row r="109" spans="1:10">
      <c r="B109" t="s">
        <v>876</v>
      </c>
      <c r="C109" s="30" t="s">
        <v>27</v>
      </c>
      <c r="D109" s="25">
        <v>13.69</v>
      </c>
      <c r="E109" s="13">
        <v>21.9</v>
      </c>
      <c r="G109" s="17">
        <f t="shared" si="6"/>
        <v>21.061538461538461</v>
      </c>
      <c r="H109" s="27" t="str">
        <f t="shared" si="7"/>
        <v>POSITIVO</v>
      </c>
      <c r="J109" s="17">
        <f t="shared" si="8"/>
        <v>19.557142857142857</v>
      </c>
    </row>
    <row r="110" spans="1:10">
      <c r="B110" t="s">
        <v>753</v>
      </c>
      <c r="C110" s="24" t="s">
        <v>27</v>
      </c>
      <c r="D110" s="25">
        <v>51.29</v>
      </c>
      <c r="E110" s="26">
        <v>77</v>
      </c>
      <c r="G110" s="17">
        <f t="shared" si="6"/>
        <v>78.907692307692301</v>
      </c>
      <c r="H110" s="27" t="str">
        <f t="shared" si="7"/>
        <v>NEGATIVO</v>
      </c>
      <c r="J110" s="17">
        <f t="shared" si="8"/>
        <v>73.271428571428572</v>
      </c>
    </row>
    <row r="111" spans="1:10">
      <c r="B111" t="s">
        <v>57</v>
      </c>
      <c r="C111" s="24" t="s">
        <v>27</v>
      </c>
      <c r="D111" s="25">
        <v>80.98</v>
      </c>
      <c r="E111" s="26">
        <v>125</v>
      </c>
      <c r="G111" s="17">
        <f t="shared" si="6"/>
        <v>124.58461538461539</v>
      </c>
      <c r="H111" s="27" t="str">
        <f t="shared" si="7"/>
        <v>POSITIVO</v>
      </c>
      <c r="J111" s="17">
        <f t="shared" si="8"/>
        <v>115.6857142857143</v>
      </c>
    </row>
    <row r="112" spans="1:10">
      <c r="B112" t="s">
        <v>58</v>
      </c>
      <c r="C112" s="24" t="s">
        <v>27</v>
      </c>
      <c r="D112" s="25">
        <v>10.99</v>
      </c>
      <c r="E112" s="26">
        <v>18</v>
      </c>
      <c r="G112" s="17">
        <f t="shared" si="6"/>
        <v>16.907692307692308</v>
      </c>
      <c r="H112" s="27" t="str">
        <f t="shared" si="7"/>
        <v>POSITIVO</v>
      </c>
      <c r="J112" s="17">
        <f t="shared" si="8"/>
        <v>15.700000000000001</v>
      </c>
    </row>
    <row r="113" spans="1:10">
      <c r="B113" t="s">
        <v>59</v>
      </c>
      <c r="C113" s="24" t="s">
        <v>27</v>
      </c>
      <c r="D113" s="25">
        <v>14.95</v>
      </c>
      <c r="E113" s="26">
        <v>24</v>
      </c>
      <c r="G113" s="17">
        <f t="shared" si="6"/>
        <v>22.999999999999996</v>
      </c>
      <c r="H113" s="27" t="str">
        <f t="shared" si="7"/>
        <v>POSITIVO</v>
      </c>
      <c r="J113" s="17">
        <f t="shared" si="8"/>
        <v>21.357142857142858</v>
      </c>
    </row>
    <row r="114" spans="1:10">
      <c r="B114" t="s">
        <v>1054</v>
      </c>
      <c r="C114" s="24" t="s">
        <v>27</v>
      </c>
      <c r="D114" s="25">
        <v>6.6</v>
      </c>
      <c r="E114" s="26">
        <v>10.199999999999999</v>
      </c>
      <c r="G114" s="17">
        <f t="shared" si="6"/>
        <v>10.153846153846153</v>
      </c>
      <c r="H114" s="27" t="str">
        <f t="shared" si="7"/>
        <v>POSITIVO</v>
      </c>
      <c r="J114" s="17">
        <f t="shared" si="8"/>
        <v>9.4285714285714288</v>
      </c>
    </row>
    <row r="115" spans="1:10">
      <c r="B115" t="s">
        <v>60</v>
      </c>
      <c r="C115" s="24" t="s">
        <v>27</v>
      </c>
      <c r="D115" s="25">
        <v>10.51</v>
      </c>
      <c r="E115" s="25">
        <v>17</v>
      </c>
      <c r="G115" s="17">
        <f t="shared" si="6"/>
        <v>16.169230769230769</v>
      </c>
      <c r="H115" s="27" t="str">
        <f t="shared" si="7"/>
        <v>POSITIVO</v>
      </c>
      <c r="J115" s="17">
        <f t="shared" si="8"/>
        <v>15.014285714285714</v>
      </c>
    </row>
    <row r="116" spans="1:10">
      <c r="B116" t="s">
        <v>61</v>
      </c>
      <c r="C116" s="24" t="s">
        <v>27</v>
      </c>
      <c r="D116" s="25">
        <v>3.2</v>
      </c>
      <c r="E116" s="26">
        <v>4.95</v>
      </c>
      <c r="G116" s="17">
        <f t="shared" si="6"/>
        <v>4.9230769230769234</v>
      </c>
      <c r="H116" s="27" t="str">
        <f t="shared" si="7"/>
        <v>POSITIVO</v>
      </c>
      <c r="J116" s="17">
        <f t="shared" si="8"/>
        <v>4.5714285714285721</v>
      </c>
    </row>
    <row r="117" spans="1:10">
      <c r="B117" t="s">
        <v>1803</v>
      </c>
      <c r="C117" s="24" t="s">
        <v>27</v>
      </c>
      <c r="D117" s="25">
        <v>3.1</v>
      </c>
      <c r="E117" s="26">
        <v>4.9000000000000004</v>
      </c>
      <c r="G117" s="17">
        <f t="shared" si="6"/>
        <v>4.7692307692307692</v>
      </c>
      <c r="H117" s="27" t="str">
        <f t="shared" si="7"/>
        <v>POSITIVO</v>
      </c>
      <c r="J117" s="17">
        <f t="shared" si="8"/>
        <v>4.4285714285714288</v>
      </c>
    </row>
    <row r="118" spans="1:10">
      <c r="B118" t="s">
        <v>62</v>
      </c>
      <c r="C118" s="24" t="s">
        <v>27</v>
      </c>
      <c r="D118" s="25">
        <v>17.420000000000002</v>
      </c>
      <c r="E118" s="26">
        <v>27</v>
      </c>
      <c r="G118" s="17">
        <f t="shared" si="6"/>
        <v>26.8</v>
      </c>
      <c r="H118" s="27" t="str">
        <f t="shared" si="7"/>
        <v>POSITIVO</v>
      </c>
      <c r="J118" s="17">
        <f t="shared" si="8"/>
        <v>24.88571428571429</v>
      </c>
    </row>
    <row r="119" spans="1:10">
      <c r="A119" s="61" t="s">
        <v>2406</v>
      </c>
      <c r="B119" t="s">
        <v>2405</v>
      </c>
      <c r="C119" s="30" t="s">
        <v>27</v>
      </c>
      <c r="D119" s="13">
        <v>7.99</v>
      </c>
      <c r="E119" s="13">
        <v>12.9</v>
      </c>
      <c r="G119" s="17">
        <f t="shared" si="6"/>
        <v>12.292307692307693</v>
      </c>
      <c r="H119" s="27" t="str">
        <f t="shared" si="7"/>
        <v>POSITIVO</v>
      </c>
      <c r="J119" s="17">
        <f t="shared" si="8"/>
        <v>11.414285714285715</v>
      </c>
    </row>
    <row r="120" spans="1:10">
      <c r="B120" t="s">
        <v>63</v>
      </c>
      <c r="C120" s="24" t="s">
        <v>27</v>
      </c>
      <c r="D120" s="25">
        <v>9.17</v>
      </c>
      <c r="E120" s="26">
        <v>15.5</v>
      </c>
      <c r="G120" s="17">
        <f t="shared" si="6"/>
        <v>14.107692307692307</v>
      </c>
      <c r="H120" s="27" t="str">
        <f t="shared" si="7"/>
        <v>POSITIVO</v>
      </c>
      <c r="J120" s="17">
        <f t="shared" si="8"/>
        <v>13.100000000000001</v>
      </c>
    </row>
    <row r="121" spans="1:10">
      <c r="B121" t="s">
        <v>64</v>
      </c>
      <c r="C121" s="24" t="s">
        <v>27</v>
      </c>
      <c r="D121" s="25">
        <v>7.3</v>
      </c>
      <c r="E121" s="26">
        <v>11.5</v>
      </c>
      <c r="G121" s="17">
        <f t="shared" si="6"/>
        <v>11.23076923076923</v>
      </c>
      <c r="H121" s="27" t="str">
        <f t="shared" si="7"/>
        <v>POSITIVO</v>
      </c>
      <c r="J121" s="17">
        <f t="shared" si="8"/>
        <v>10.428571428571429</v>
      </c>
    </row>
    <row r="122" spans="1:10">
      <c r="B122" t="s">
        <v>65</v>
      </c>
      <c r="C122" s="24" t="s">
        <v>27</v>
      </c>
      <c r="D122" s="25">
        <v>7.05</v>
      </c>
      <c r="E122" s="26">
        <v>12</v>
      </c>
      <c r="G122" s="17">
        <f t="shared" si="6"/>
        <v>10.846153846153845</v>
      </c>
      <c r="H122" s="27" t="str">
        <f t="shared" si="7"/>
        <v>POSITIVO</v>
      </c>
      <c r="J122" s="17">
        <f t="shared" si="8"/>
        <v>10.071428571428571</v>
      </c>
    </row>
    <row r="123" spans="1:10">
      <c r="B123" t="s">
        <v>66</v>
      </c>
      <c r="C123" s="24" t="s">
        <v>27</v>
      </c>
      <c r="D123" s="25">
        <v>9.09</v>
      </c>
      <c r="E123" s="26">
        <v>14</v>
      </c>
      <c r="G123" s="17">
        <f t="shared" si="6"/>
        <v>13.984615384615385</v>
      </c>
      <c r="H123" s="27" t="str">
        <f t="shared" si="7"/>
        <v>POSITIVO</v>
      </c>
      <c r="J123" s="17">
        <f t="shared" si="8"/>
        <v>12.985714285714286</v>
      </c>
    </row>
    <row r="124" spans="1:10">
      <c r="B124" t="s">
        <v>67</v>
      </c>
      <c r="C124" s="24" t="s">
        <v>27</v>
      </c>
      <c r="D124" s="25">
        <v>2.5</v>
      </c>
      <c r="E124" s="26">
        <v>3.85</v>
      </c>
      <c r="G124" s="17">
        <f t="shared" si="6"/>
        <v>3.8461538461538458</v>
      </c>
      <c r="H124" s="27" t="str">
        <f t="shared" si="7"/>
        <v>POSITIVO</v>
      </c>
      <c r="J124" s="17">
        <f t="shared" si="8"/>
        <v>3.5714285714285716</v>
      </c>
    </row>
    <row r="125" spans="1:10">
      <c r="A125" s="61" t="s">
        <v>2413</v>
      </c>
      <c r="B125" t="s">
        <v>68</v>
      </c>
      <c r="C125" s="24" t="s">
        <v>27</v>
      </c>
      <c r="D125" s="25">
        <v>3.5</v>
      </c>
      <c r="E125" s="26">
        <v>5.5</v>
      </c>
      <c r="G125" s="17">
        <f t="shared" si="6"/>
        <v>5.3846153846153841</v>
      </c>
      <c r="H125" s="27" t="str">
        <f t="shared" si="7"/>
        <v>POSITIVO</v>
      </c>
      <c r="J125" s="17">
        <f t="shared" si="8"/>
        <v>5</v>
      </c>
    </row>
    <row r="126" spans="1:10">
      <c r="B126" t="s">
        <v>69</v>
      </c>
      <c r="C126" s="24" t="s">
        <v>27</v>
      </c>
      <c r="D126" s="25">
        <v>1.7</v>
      </c>
      <c r="E126" s="26">
        <v>2.65</v>
      </c>
      <c r="G126" s="17">
        <f t="shared" si="6"/>
        <v>2.6153846153846154</v>
      </c>
      <c r="H126" s="27" t="str">
        <f t="shared" si="7"/>
        <v>POSITIVO</v>
      </c>
      <c r="J126" s="17">
        <f t="shared" si="8"/>
        <v>2.4285714285714288</v>
      </c>
    </row>
    <row r="127" spans="1:10">
      <c r="B127" t="s">
        <v>70</v>
      </c>
      <c r="C127" s="24" t="s">
        <v>27</v>
      </c>
      <c r="D127" s="25">
        <v>4.5999999999999996</v>
      </c>
      <c r="E127" s="26">
        <v>7</v>
      </c>
      <c r="G127" s="17">
        <f t="shared" si="6"/>
        <v>7.0769230769230758</v>
      </c>
      <c r="H127" s="27" t="str">
        <f t="shared" si="7"/>
        <v>NEGATIVO</v>
      </c>
      <c r="J127" s="17">
        <f t="shared" si="8"/>
        <v>6.5714285714285712</v>
      </c>
    </row>
    <row r="128" spans="1:10">
      <c r="B128" t="s">
        <v>71</v>
      </c>
      <c r="C128" s="24" t="s">
        <v>27</v>
      </c>
      <c r="D128" s="25">
        <v>5.5</v>
      </c>
      <c r="E128" s="26">
        <v>8.5</v>
      </c>
      <c r="G128" s="17">
        <f t="shared" si="6"/>
        <v>8.4615384615384617</v>
      </c>
      <c r="H128" s="27" t="str">
        <f t="shared" si="7"/>
        <v>POSITIVO</v>
      </c>
      <c r="J128" s="17">
        <f t="shared" si="8"/>
        <v>7.8571428571428577</v>
      </c>
    </row>
    <row r="129" spans="1:10">
      <c r="B129" t="s">
        <v>72</v>
      </c>
      <c r="C129" s="24" t="s">
        <v>27</v>
      </c>
      <c r="D129" s="25">
        <v>7.8</v>
      </c>
      <c r="E129" s="26">
        <v>12</v>
      </c>
      <c r="G129" s="17">
        <f t="shared" si="6"/>
        <v>12</v>
      </c>
      <c r="H129" s="27" t="str">
        <f t="shared" si="7"/>
        <v>POSITIVO</v>
      </c>
      <c r="J129" s="17">
        <f t="shared" si="8"/>
        <v>11.142857142857144</v>
      </c>
    </row>
    <row r="130" spans="1:10">
      <c r="A130" s="61" t="s">
        <v>2412</v>
      </c>
      <c r="B130" t="s">
        <v>73</v>
      </c>
      <c r="C130" s="24" t="s">
        <v>27</v>
      </c>
      <c r="D130" s="25">
        <v>1.81</v>
      </c>
      <c r="E130" s="26">
        <v>2.8</v>
      </c>
      <c r="G130" s="17">
        <f t="shared" si="6"/>
        <v>2.7846153846153845</v>
      </c>
      <c r="H130" s="27" t="str">
        <f t="shared" si="7"/>
        <v>POSITIVO</v>
      </c>
      <c r="J130" s="17">
        <f t="shared" si="8"/>
        <v>2.5857142857142859</v>
      </c>
    </row>
    <row r="131" spans="1:10">
      <c r="A131" s="61" t="s">
        <v>2414</v>
      </c>
      <c r="B131" t="s">
        <v>74</v>
      </c>
      <c r="C131" s="24" t="s">
        <v>27</v>
      </c>
      <c r="D131" s="25">
        <v>10</v>
      </c>
      <c r="E131" s="26">
        <v>15.4</v>
      </c>
      <c r="G131" s="17">
        <f t="shared" si="6"/>
        <v>15.384615384615383</v>
      </c>
      <c r="H131" s="27" t="str">
        <f t="shared" si="7"/>
        <v>POSITIVO</v>
      </c>
      <c r="J131" s="17">
        <f t="shared" si="8"/>
        <v>14.285714285714286</v>
      </c>
    </row>
    <row r="132" spans="1:10">
      <c r="B132" t="s">
        <v>1882</v>
      </c>
      <c r="C132" s="24" t="s">
        <v>27</v>
      </c>
      <c r="D132" s="25">
        <v>5.9</v>
      </c>
      <c r="E132" s="26">
        <v>9.5</v>
      </c>
      <c r="G132" s="17">
        <f t="shared" si="6"/>
        <v>9.0769230769230766</v>
      </c>
      <c r="H132" s="27" t="str">
        <f t="shared" si="7"/>
        <v>POSITIVO</v>
      </c>
      <c r="J132" s="17">
        <f t="shared" si="8"/>
        <v>8.4285714285714288</v>
      </c>
    </row>
    <row r="133" spans="1:10">
      <c r="B133" t="s">
        <v>75</v>
      </c>
      <c r="C133" s="24" t="s">
        <v>27</v>
      </c>
      <c r="D133" s="25">
        <v>7.4</v>
      </c>
      <c r="E133" s="26">
        <v>10</v>
      </c>
      <c r="G133" s="17">
        <f t="shared" si="6"/>
        <v>11.384615384615385</v>
      </c>
      <c r="H133" s="27" t="str">
        <f t="shared" si="7"/>
        <v>NEGATIVO</v>
      </c>
      <c r="J133" s="17">
        <f t="shared" si="8"/>
        <v>10.571428571428573</v>
      </c>
    </row>
    <row r="134" spans="1:10">
      <c r="A134" s="61" t="s">
        <v>2388</v>
      </c>
      <c r="B134" t="s">
        <v>2382</v>
      </c>
      <c r="C134" s="30" t="s">
        <v>27</v>
      </c>
      <c r="D134" s="13">
        <v>339</v>
      </c>
      <c r="E134" s="13">
        <v>525</v>
      </c>
      <c r="G134" s="17">
        <f t="shared" si="6"/>
        <v>521.53846153846155</v>
      </c>
      <c r="H134" s="27" t="str">
        <f t="shared" si="7"/>
        <v>POSITIVO</v>
      </c>
      <c r="J134" s="17">
        <f t="shared" si="8"/>
        <v>484.28571428571433</v>
      </c>
    </row>
    <row r="135" spans="1:10">
      <c r="B135" t="s">
        <v>1272</v>
      </c>
      <c r="C135" s="30" t="s">
        <v>27</v>
      </c>
      <c r="D135" s="13">
        <v>115</v>
      </c>
      <c r="E135" s="13">
        <v>138</v>
      </c>
      <c r="G135" s="17">
        <f t="shared" si="6"/>
        <v>176.92307692307691</v>
      </c>
      <c r="H135" s="27" t="str">
        <f t="shared" si="7"/>
        <v>NEGATIVO</v>
      </c>
      <c r="J135" s="17">
        <f t="shared" si="8"/>
        <v>164.28571428571431</v>
      </c>
    </row>
    <row r="136" spans="1:10">
      <c r="B136" t="s">
        <v>76</v>
      </c>
      <c r="C136" s="24" t="s">
        <v>27</v>
      </c>
      <c r="D136" s="25">
        <v>19.899999999999999</v>
      </c>
      <c r="E136" s="26">
        <v>30</v>
      </c>
      <c r="G136" s="17">
        <f t="shared" si="6"/>
        <v>30.615384615384613</v>
      </c>
      <c r="H136" s="27" t="str">
        <f t="shared" si="7"/>
        <v>NEGATIVO</v>
      </c>
      <c r="J136" s="17">
        <f t="shared" si="8"/>
        <v>28.428571428571427</v>
      </c>
    </row>
    <row r="137" spans="1:10">
      <c r="B137" t="s">
        <v>1952</v>
      </c>
      <c r="C137" s="30" t="s">
        <v>27</v>
      </c>
      <c r="D137" s="13">
        <v>6.84</v>
      </c>
      <c r="E137" s="13">
        <v>15</v>
      </c>
      <c r="G137" s="17">
        <f t="shared" si="6"/>
        <v>10.523076923076923</v>
      </c>
      <c r="H137" s="27" t="str">
        <f t="shared" si="7"/>
        <v>POSITIVO</v>
      </c>
      <c r="J137" s="17">
        <f t="shared" si="8"/>
        <v>9.7714285714285722</v>
      </c>
    </row>
    <row r="138" spans="1:10">
      <c r="B138" t="s">
        <v>952</v>
      </c>
      <c r="C138" s="30" t="s">
        <v>27</v>
      </c>
      <c r="D138" s="13">
        <v>31.32</v>
      </c>
      <c r="E138" s="13">
        <v>49.9</v>
      </c>
      <c r="G138" s="17">
        <f t="shared" si="6"/>
        <v>48.184615384615384</v>
      </c>
      <c r="H138" s="27" t="str">
        <f t="shared" si="7"/>
        <v>POSITIVO</v>
      </c>
      <c r="J138" s="17">
        <f t="shared" si="8"/>
        <v>44.742857142857147</v>
      </c>
    </row>
    <row r="139" spans="1:10">
      <c r="B139" t="s">
        <v>953</v>
      </c>
      <c r="C139" s="30" t="s">
        <v>27</v>
      </c>
      <c r="D139" s="13">
        <v>33.479999999999997</v>
      </c>
      <c r="E139" s="13">
        <v>52.8</v>
      </c>
      <c r="G139" s="17">
        <f t="shared" si="6"/>
        <v>51.507692307692302</v>
      </c>
      <c r="H139" s="27" t="str">
        <f t="shared" si="7"/>
        <v>POSITIVO</v>
      </c>
      <c r="J139" s="17">
        <f t="shared" si="8"/>
        <v>47.828571428571429</v>
      </c>
    </row>
    <row r="140" spans="1:10">
      <c r="B140" t="s">
        <v>954</v>
      </c>
      <c r="C140" s="30" t="s">
        <v>27</v>
      </c>
      <c r="D140" s="13">
        <v>51.82</v>
      </c>
      <c r="E140" s="13">
        <v>79.900000000000006</v>
      </c>
      <c r="G140" s="17">
        <f t="shared" si="6"/>
        <v>79.723076923076917</v>
      </c>
      <c r="H140" s="27" t="str">
        <f t="shared" si="7"/>
        <v>POSITIVO</v>
      </c>
      <c r="J140" s="17">
        <f t="shared" si="8"/>
        <v>74.028571428571439</v>
      </c>
    </row>
    <row r="141" spans="1:10">
      <c r="B141" t="s">
        <v>955</v>
      </c>
      <c r="C141" s="30" t="s">
        <v>27</v>
      </c>
      <c r="D141" s="13">
        <v>38.21</v>
      </c>
      <c r="E141" s="13">
        <v>59.9</v>
      </c>
      <c r="G141" s="17">
        <f t="shared" si="6"/>
        <v>58.784615384615385</v>
      </c>
      <c r="H141" s="27" t="str">
        <f t="shared" si="7"/>
        <v>POSITIVO</v>
      </c>
      <c r="J141" s="17">
        <f t="shared" si="8"/>
        <v>54.585714285714289</v>
      </c>
    </row>
    <row r="142" spans="1:10">
      <c r="B142" t="s">
        <v>956</v>
      </c>
      <c r="C142" s="30" t="s">
        <v>27</v>
      </c>
      <c r="D142" s="13">
        <v>44.42</v>
      </c>
      <c r="E142" s="13">
        <v>73.650000000000006</v>
      </c>
      <c r="G142" s="17">
        <f t="shared" si="6"/>
        <v>68.338461538461544</v>
      </c>
      <c r="H142" s="27" t="str">
        <f t="shared" si="7"/>
        <v>POSITIVO</v>
      </c>
      <c r="J142" s="17">
        <f t="shared" si="8"/>
        <v>63.457142857142863</v>
      </c>
    </row>
    <row r="143" spans="1:10">
      <c r="A143" s="61" t="s">
        <v>2053</v>
      </c>
      <c r="B143" t="s">
        <v>2052</v>
      </c>
      <c r="C143" s="30" t="s">
        <v>27</v>
      </c>
      <c r="D143" s="13">
        <v>8.8000000000000007</v>
      </c>
      <c r="E143" s="13">
        <v>13.9</v>
      </c>
      <c r="G143" s="17">
        <f t="shared" si="6"/>
        <v>13.538461538461538</v>
      </c>
      <c r="H143" s="27" t="str">
        <f t="shared" si="7"/>
        <v>POSITIVO</v>
      </c>
      <c r="J143" s="17">
        <f t="shared" si="8"/>
        <v>12.571428571428573</v>
      </c>
    </row>
    <row r="144" spans="1:10">
      <c r="B144" t="s">
        <v>958</v>
      </c>
      <c r="C144" s="24" t="s">
        <v>27</v>
      </c>
      <c r="D144" s="25">
        <v>4.9000000000000004</v>
      </c>
      <c r="E144" s="26">
        <v>8</v>
      </c>
      <c r="G144" s="17">
        <f t="shared" si="6"/>
        <v>7.5384615384615383</v>
      </c>
      <c r="H144" s="27" t="str">
        <f t="shared" si="7"/>
        <v>POSITIVO</v>
      </c>
      <c r="J144" s="17">
        <f t="shared" si="8"/>
        <v>7.0000000000000009</v>
      </c>
    </row>
    <row r="145" spans="2:10">
      <c r="B145" t="s">
        <v>77</v>
      </c>
      <c r="C145" s="24" t="s">
        <v>27</v>
      </c>
      <c r="D145" s="25">
        <v>5.4</v>
      </c>
      <c r="E145" s="26">
        <v>9</v>
      </c>
      <c r="G145" s="17">
        <f t="shared" si="6"/>
        <v>8.3076923076923084</v>
      </c>
      <c r="H145" s="27" t="str">
        <f t="shared" si="7"/>
        <v>POSITIVO</v>
      </c>
      <c r="J145" s="17">
        <f t="shared" si="8"/>
        <v>7.7142857142857153</v>
      </c>
    </row>
    <row r="146" spans="2:10">
      <c r="B146" t="s">
        <v>959</v>
      </c>
      <c r="C146" s="24" t="s">
        <v>27</v>
      </c>
      <c r="D146" s="25">
        <v>4.5999999999999996</v>
      </c>
      <c r="E146" s="26">
        <v>7.5</v>
      </c>
      <c r="G146" s="17">
        <f t="shared" si="6"/>
        <v>7.0769230769230758</v>
      </c>
      <c r="H146" s="27" t="str">
        <f t="shared" si="7"/>
        <v>POSITIVO</v>
      </c>
      <c r="J146" s="17">
        <f t="shared" si="8"/>
        <v>6.5714285714285712</v>
      </c>
    </row>
    <row r="147" spans="2:10">
      <c r="B147" t="s">
        <v>1254</v>
      </c>
      <c r="C147" s="30" t="s">
        <v>27</v>
      </c>
      <c r="D147" s="13">
        <v>1.8</v>
      </c>
      <c r="E147" s="13">
        <v>5</v>
      </c>
      <c r="G147" s="17">
        <f t="shared" si="6"/>
        <v>2.7692307692307692</v>
      </c>
      <c r="H147" s="27" t="str">
        <f t="shared" si="7"/>
        <v>POSITIVO</v>
      </c>
      <c r="J147" s="17">
        <f t="shared" si="8"/>
        <v>2.5714285714285716</v>
      </c>
    </row>
    <row r="148" spans="2:10">
      <c r="B148" t="s">
        <v>78</v>
      </c>
      <c r="C148" s="24" t="s">
        <v>27</v>
      </c>
      <c r="D148" s="25">
        <v>18.5</v>
      </c>
      <c r="E148" s="26">
        <v>29.8</v>
      </c>
      <c r="G148" s="17">
        <f t="shared" si="6"/>
        <v>28.46153846153846</v>
      </c>
      <c r="H148" s="27" t="str">
        <f t="shared" si="7"/>
        <v>POSITIVO</v>
      </c>
      <c r="J148" s="17">
        <f t="shared" si="8"/>
        <v>26.428571428571431</v>
      </c>
    </row>
    <row r="149" spans="2:10">
      <c r="B149" t="s">
        <v>79</v>
      </c>
      <c r="C149" s="24" t="s">
        <v>27</v>
      </c>
      <c r="D149" s="25">
        <v>3</v>
      </c>
      <c r="E149" s="26">
        <v>7.8</v>
      </c>
      <c r="G149" s="17">
        <f t="shared" si="6"/>
        <v>4.615384615384615</v>
      </c>
      <c r="H149" s="27" t="str">
        <f t="shared" si="7"/>
        <v>POSITIVO</v>
      </c>
      <c r="J149" s="17">
        <f t="shared" si="8"/>
        <v>4.2857142857142856</v>
      </c>
    </row>
    <row r="150" spans="2:10">
      <c r="B150" t="s">
        <v>80</v>
      </c>
      <c r="C150" s="24" t="s">
        <v>27</v>
      </c>
      <c r="D150" s="25">
        <v>6.16</v>
      </c>
      <c r="E150" s="25">
        <v>14.2</v>
      </c>
      <c r="G150" s="17">
        <f t="shared" si="6"/>
        <v>9.476923076923077</v>
      </c>
      <c r="H150" s="27" t="str">
        <f t="shared" si="7"/>
        <v>POSITIVO</v>
      </c>
      <c r="J150" s="17">
        <f t="shared" si="8"/>
        <v>8.8000000000000007</v>
      </c>
    </row>
    <row r="151" spans="2:10">
      <c r="B151" t="s">
        <v>81</v>
      </c>
      <c r="C151" s="24" t="s">
        <v>27</v>
      </c>
      <c r="D151" s="25">
        <v>4.7699999999999996</v>
      </c>
      <c r="E151" s="25">
        <v>10.199999999999999</v>
      </c>
      <c r="G151" s="17">
        <f t="shared" si="6"/>
        <v>7.3384615384615373</v>
      </c>
      <c r="H151" s="27" t="str">
        <f t="shared" si="7"/>
        <v>POSITIVO</v>
      </c>
      <c r="J151" s="17">
        <f t="shared" si="8"/>
        <v>6.8142857142857141</v>
      </c>
    </row>
    <row r="152" spans="2:10">
      <c r="B152" t="s">
        <v>1686</v>
      </c>
      <c r="C152" s="30" t="s">
        <v>27</v>
      </c>
      <c r="D152" s="13">
        <v>2.7</v>
      </c>
      <c r="E152" s="13">
        <v>5</v>
      </c>
      <c r="G152" s="17">
        <f t="shared" si="6"/>
        <v>4.1538461538461542</v>
      </c>
      <c r="H152" s="27" t="str">
        <f t="shared" si="7"/>
        <v>POSITIVO</v>
      </c>
      <c r="J152" s="17">
        <f t="shared" si="8"/>
        <v>3.8571428571428577</v>
      </c>
    </row>
    <row r="153" spans="2:10">
      <c r="B153" t="s">
        <v>82</v>
      </c>
      <c r="C153" s="24" t="s">
        <v>27</v>
      </c>
      <c r="D153" s="25">
        <v>0.69</v>
      </c>
      <c r="E153" s="26">
        <v>1.2</v>
      </c>
      <c r="G153" s="17">
        <f t="shared" si="6"/>
        <v>1.0615384615384613</v>
      </c>
      <c r="H153" s="27" t="str">
        <f t="shared" si="7"/>
        <v>POSITIVO</v>
      </c>
      <c r="J153" s="17">
        <f t="shared" si="8"/>
        <v>0.98571428571428565</v>
      </c>
    </row>
    <row r="154" spans="2:10">
      <c r="B154" t="s">
        <v>1461</v>
      </c>
      <c r="D154" s="13">
        <v>0.99</v>
      </c>
      <c r="E154" s="13">
        <v>1.6</v>
      </c>
      <c r="G154" s="17">
        <f t="shared" si="6"/>
        <v>1.523076923076923</v>
      </c>
      <c r="H154" s="27" t="str">
        <f t="shared" si="7"/>
        <v>POSITIVO</v>
      </c>
      <c r="J154" s="17">
        <f t="shared" si="8"/>
        <v>1.4142857142857144</v>
      </c>
    </row>
    <row r="155" spans="2:10">
      <c r="B155" t="s">
        <v>1460</v>
      </c>
      <c r="C155" s="30" t="s">
        <v>27</v>
      </c>
      <c r="D155" s="13">
        <v>0.31</v>
      </c>
      <c r="E155" s="13">
        <v>0.8</v>
      </c>
      <c r="G155" s="17">
        <f t="shared" si="6"/>
        <v>0.47692307692307689</v>
      </c>
      <c r="H155" s="27" t="str">
        <f t="shared" si="7"/>
        <v>POSITIVO</v>
      </c>
      <c r="J155" s="17">
        <f t="shared" si="8"/>
        <v>0.44285714285714289</v>
      </c>
    </row>
    <row r="156" spans="2:10">
      <c r="B156" t="s">
        <v>1182</v>
      </c>
      <c r="C156" s="24" t="s">
        <v>27</v>
      </c>
      <c r="D156" s="25">
        <v>25.37</v>
      </c>
      <c r="E156" s="26">
        <v>40</v>
      </c>
      <c r="G156" s="17">
        <f t="shared" si="6"/>
        <v>39.030769230769231</v>
      </c>
      <c r="H156" s="27" t="str">
        <f t="shared" si="7"/>
        <v>POSITIVO</v>
      </c>
      <c r="J156" s="17">
        <f t="shared" si="8"/>
        <v>36.242857142857147</v>
      </c>
    </row>
    <row r="157" spans="2:10">
      <c r="B157" t="s">
        <v>1201</v>
      </c>
      <c r="C157" s="30" t="s">
        <v>27</v>
      </c>
      <c r="D157" s="13">
        <v>12</v>
      </c>
      <c r="E157" s="13">
        <v>19.5</v>
      </c>
      <c r="G157" s="17">
        <f t="shared" si="6"/>
        <v>18.46153846153846</v>
      </c>
      <c r="H157" s="27" t="str">
        <f t="shared" si="7"/>
        <v>POSITIVO</v>
      </c>
      <c r="J157" s="17">
        <f t="shared" si="8"/>
        <v>17.142857142857142</v>
      </c>
    </row>
    <row r="158" spans="2:10">
      <c r="B158" t="s">
        <v>1183</v>
      </c>
      <c r="C158" s="24" t="s">
        <v>27</v>
      </c>
      <c r="D158" s="25">
        <v>30.62</v>
      </c>
      <c r="E158" s="26">
        <v>48</v>
      </c>
      <c r="G158" s="17">
        <f t="shared" si="6"/>
        <v>47.107692307692311</v>
      </c>
      <c r="H158" s="27" t="str">
        <f t="shared" si="7"/>
        <v>POSITIVO</v>
      </c>
      <c r="J158" s="17">
        <f t="shared" si="8"/>
        <v>43.742857142857147</v>
      </c>
    </row>
    <row r="159" spans="2:10">
      <c r="B159" t="s">
        <v>1202</v>
      </c>
      <c r="C159" s="30" t="s">
        <v>27</v>
      </c>
      <c r="D159" s="13">
        <v>17.899999999999999</v>
      </c>
      <c r="E159" s="13">
        <v>28</v>
      </c>
      <c r="G159" s="17">
        <f t="shared" si="6"/>
        <v>27.538461538461537</v>
      </c>
      <c r="H159" s="27" t="str">
        <f t="shared" si="7"/>
        <v>POSITIVO</v>
      </c>
      <c r="J159" s="17">
        <f t="shared" si="8"/>
        <v>25.571428571428569</v>
      </c>
    </row>
    <row r="160" spans="2:10">
      <c r="B160" t="s">
        <v>83</v>
      </c>
      <c r="C160" s="24" t="s">
        <v>27</v>
      </c>
      <c r="D160" s="25">
        <v>26.9</v>
      </c>
      <c r="E160" s="26">
        <v>42</v>
      </c>
      <c r="G160" s="17">
        <f t="shared" si="6"/>
        <v>41.38461538461538</v>
      </c>
      <c r="H160" s="27" t="str">
        <f t="shared" si="7"/>
        <v>POSITIVO</v>
      </c>
      <c r="J160" s="17">
        <f t="shared" si="8"/>
        <v>38.428571428571431</v>
      </c>
    </row>
    <row r="161" spans="2:10">
      <c r="B161" t="s">
        <v>84</v>
      </c>
      <c r="C161" s="24" t="s">
        <v>27</v>
      </c>
      <c r="D161" s="25">
        <v>38.97</v>
      </c>
      <c r="E161" s="26">
        <v>60</v>
      </c>
      <c r="G161" s="17">
        <f t="shared" si="6"/>
        <v>59.95384615384615</v>
      </c>
      <c r="H161" s="27" t="str">
        <f t="shared" si="7"/>
        <v>POSITIVO</v>
      </c>
      <c r="J161" s="17">
        <f t="shared" si="8"/>
        <v>55.671428571428571</v>
      </c>
    </row>
    <row r="162" spans="2:10">
      <c r="B162" t="s">
        <v>85</v>
      </c>
      <c r="C162" s="24" t="s">
        <v>27</v>
      </c>
      <c r="D162" s="25">
        <v>107.9</v>
      </c>
      <c r="E162" s="25">
        <v>167</v>
      </c>
      <c r="G162" s="17">
        <f t="shared" si="6"/>
        <v>166</v>
      </c>
      <c r="H162" s="27" t="str">
        <f t="shared" si="7"/>
        <v>POSITIVO</v>
      </c>
      <c r="J162" s="17">
        <f t="shared" si="8"/>
        <v>154.14285714285717</v>
      </c>
    </row>
    <row r="163" spans="2:10">
      <c r="B163" t="s">
        <v>2363</v>
      </c>
      <c r="C163" s="30" t="s">
        <v>27</v>
      </c>
      <c r="D163" s="13">
        <v>133.99</v>
      </c>
      <c r="E163" s="13">
        <v>210</v>
      </c>
      <c r="G163" s="17">
        <f t="shared" si="6"/>
        <v>206.13846153846154</v>
      </c>
      <c r="H163" s="27" t="str">
        <f t="shared" si="7"/>
        <v>POSITIVO</v>
      </c>
      <c r="J163" s="17">
        <f t="shared" si="8"/>
        <v>191.41428571428574</v>
      </c>
    </row>
    <row r="164" spans="2:10">
      <c r="B164" t="s">
        <v>983</v>
      </c>
      <c r="C164" s="30" t="s">
        <v>27</v>
      </c>
      <c r="D164" s="13">
        <v>173.11</v>
      </c>
      <c r="E164" s="13">
        <v>272</v>
      </c>
      <c r="G164" s="17">
        <f t="shared" ref="G164:G224" si="9">(D164/65%)</f>
        <v>266.32307692307694</v>
      </c>
      <c r="H164" s="27" t="str">
        <f t="shared" ref="H164:H224" si="10">IF(E164&gt;=G164,"POSITIVO","NEGATIVO")</f>
        <v>POSITIVO</v>
      </c>
      <c r="J164" s="17">
        <f t="shared" ref="J164:J224" si="11">D164/70%</f>
        <v>247.30000000000004</v>
      </c>
    </row>
    <row r="165" spans="2:10">
      <c r="B165" t="s">
        <v>1333</v>
      </c>
      <c r="C165" s="30" t="s">
        <v>27</v>
      </c>
      <c r="D165" s="13">
        <v>77.239999999999995</v>
      </c>
      <c r="E165" s="13">
        <v>135</v>
      </c>
      <c r="G165" s="17">
        <f t="shared" si="9"/>
        <v>118.83076923076922</v>
      </c>
      <c r="H165" s="27" t="str">
        <f t="shared" si="10"/>
        <v>POSITIVO</v>
      </c>
      <c r="J165" s="17">
        <f t="shared" si="11"/>
        <v>110.34285714285714</v>
      </c>
    </row>
    <row r="166" spans="2:10">
      <c r="B166" t="s">
        <v>1493</v>
      </c>
      <c r="C166" s="30" t="s">
        <v>27</v>
      </c>
      <c r="D166" s="13">
        <v>694.16</v>
      </c>
      <c r="E166" s="13">
        <v>860</v>
      </c>
      <c r="G166" s="17">
        <f t="shared" si="9"/>
        <v>1067.9384615384615</v>
      </c>
      <c r="H166" s="27" t="str">
        <f t="shared" si="10"/>
        <v>NEGATIVO</v>
      </c>
      <c r="J166" s="17">
        <f t="shared" si="11"/>
        <v>991.65714285714284</v>
      </c>
    </row>
    <row r="167" spans="2:10">
      <c r="B167" t="s">
        <v>1489</v>
      </c>
      <c r="C167" s="30" t="s">
        <v>27</v>
      </c>
      <c r="D167" s="13">
        <v>180</v>
      </c>
      <c r="E167" s="13">
        <v>320</v>
      </c>
      <c r="G167" s="17">
        <f t="shared" si="9"/>
        <v>276.92307692307691</v>
      </c>
      <c r="H167" s="27" t="str">
        <f t="shared" si="10"/>
        <v>POSITIVO</v>
      </c>
      <c r="J167" s="17">
        <f t="shared" si="11"/>
        <v>257.14285714285717</v>
      </c>
    </row>
    <row r="168" spans="2:10">
      <c r="B168" t="s">
        <v>1487</v>
      </c>
      <c r="C168" s="30" t="s">
        <v>27</v>
      </c>
      <c r="D168" s="13">
        <v>294.54000000000002</v>
      </c>
      <c r="E168" s="13">
        <v>480</v>
      </c>
      <c r="G168" s="17">
        <f t="shared" si="9"/>
        <v>453.13846153846157</v>
      </c>
      <c r="H168" s="27" t="str">
        <f t="shared" si="10"/>
        <v>POSITIVO</v>
      </c>
      <c r="J168" s="17">
        <f t="shared" si="11"/>
        <v>420.7714285714286</v>
      </c>
    </row>
    <row r="169" spans="2:10">
      <c r="B169" t="s">
        <v>1488</v>
      </c>
      <c r="C169" s="30" t="s">
        <v>27</v>
      </c>
      <c r="D169" s="13">
        <v>226.17</v>
      </c>
      <c r="E169" s="13">
        <v>350</v>
      </c>
      <c r="G169" s="17">
        <f t="shared" si="9"/>
        <v>347.95384615384614</v>
      </c>
      <c r="H169" s="27" t="str">
        <f t="shared" si="10"/>
        <v>POSITIVO</v>
      </c>
      <c r="J169" s="17">
        <f t="shared" si="11"/>
        <v>323.10000000000002</v>
      </c>
    </row>
    <row r="170" spans="2:10">
      <c r="B170" t="s">
        <v>1332</v>
      </c>
      <c r="C170" s="30" t="s">
        <v>27</v>
      </c>
      <c r="D170" s="13">
        <v>239.9</v>
      </c>
      <c r="E170" s="13">
        <v>370</v>
      </c>
      <c r="G170" s="17">
        <f t="shared" si="9"/>
        <v>369.07692307692309</v>
      </c>
      <c r="H170" s="27" t="str">
        <f t="shared" si="10"/>
        <v>POSITIVO</v>
      </c>
      <c r="J170" s="17">
        <f t="shared" si="11"/>
        <v>342.71428571428572</v>
      </c>
    </row>
    <row r="171" spans="2:10">
      <c r="B171" t="s">
        <v>1331</v>
      </c>
      <c r="C171" s="24" t="s">
        <v>27</v>
      </c>
      <c r="D171" s="25">
        <v>124</v>
      </c>
      <c r="E171" s="26">
        <v>205</v>
      </c>
      <c r="G171" s="17">
        <f t="shared" si="9"/>
        <v>190.76923076923077</v>
      </c>
      <c r="H171" s="27" t="str">
        <f t="shared" si="10"/>
        <v>POSITIVO</v>
      </c>
      <c r="J171" s="17">
        <f t="shared" si="11"/>
        <v>177.14285714285717</v>
      </c>
    </row>
    <row r="172" spans="2:10">
      <c r="B172" t="s">
        <v>894</v>
      </c>
      <c r="C172" s="30" t="s">
        <v>27</v>
      </c>
      <c r="D172" s="13">
        <v>511.9</v>
      </c>
      <c r="E172" s="13">
        <v>790</v>
      </c>
      <c r="G172" s="17">
        <f t="shared" si="9"/>
        <v>787.53846153846143</v>
      </c>
      <c r="H172" s="27" t="str">
        <f t="shared" si="10"/>
        <v>POSITIVO</v>
      </c>
      <c r="J172" s="17">
        <f t="shared" si="11"/>
        <v>731.28571428571433</v>
      </c>
    </row>
    <row r="173" spans="2:10">
      <c r="B173" t="s">
        <v>1494</v>
      </c>
      <c r="C173" s="30" t="s">
        <v>27</v>
      </c>
      <c r="D173" s="13">
        <v>524.6</v>
      </c>
      <c r="E173" s="13">
        <v>810</v>
      </c>
      <c r="G173" s="17">
        <f t="shared" si="9"/>
        <v>807.07692307692309</v>
      </c>
      <c r="H173" s="27" t="str">
        <f t="shared" si="10"/>
        <v>POSITIVO</v>
      </c>
      <c r="J173" s="17">
        <f t="shared" si="11"/>
        <v>749.42857142857156</v>
      </c>
    </row>
    <row r="174" spans="2:10">
      <c r="B174" t="s">
        <v>2364</v>
      </c>
      <c r="C174" s="30" t="s">
        <v>27</v>
      </c>
      <c r="D174" s="13">
        <v>557.61</v>
      </c>
      <c r="E174" s="13">
        <v>860</v>
      </c>
      <c r="G174" s="17">
        <f t="shared" si="9"/>
        <v>857.86153846153843</v>
      </c>
      <c r="H174" s="27" t="str">
        <f t="shared" si="10"/>
        <v>POSITIVO</v>
      </c>
      <c r="J174" s="17">
        <f t="shared" si="11"/>
        <v>796.5857142857144</v>
      </c>
    </row>
    <row r="175" spans="2:10">
      <c r="B175" t="s">
        <v>1492</v>
      </c>
      <c r="C175" s="30" t="s">
        <v>27</v>
      </c>
      <c r="D175" s="13">
        <v>195.02</v>
      </c>
      <c r="E175" s="13">
        <v>320</v>
      </c>
      <c r="G175" s="17">
        <f t="shared" si="9"/>
        <v>300.03076923076924</v>
      </c>
      <c r="H175" s="27" t="str">
        <f t="shared" si="10"/>
        <v>POSITIVO</v>
      </c>
      <c r="J175" s="17">
        <f t="shared" si="11"/>
        <v>278.60000000000002</v>
      </c>
    </row>
    <row r="176" spans="2:10">
      <c r="B176" t="s">
        <v>895</v>
      </c>
      <c r="C176" s="30" t="s">
        <v>27</v>
      </c>
      <c r="D176" s="13">
        <v>429.48</v>
      </c>
      <c r="E176" s="13">
        <v>665</v>
      </c>
      <c r="G176" s="17">
        <f t="shared" si="9"/>
        <v>660.73846153846159</v>
      </c>
      <c r="H176" s="27" t="str">
        <f t="shared" si="10"/>
        <v>POSITIVO</v>
      </c>
      <c r="J176" s="17">
        <f t="shared" si="11"/>
        <v>613.5428571428572</v>
      </c>
    </row>
    <row r="177" spans="2:10">
      <c r="B177" t="s">
        <v>896</v>
      </c>
      <c r="C177" s="30" t="s">
        <v>27</v>
      </c>
      <c r="D177" s="13">
        <v>491.3</v>
      </c>
      <c r="E177" s="13">
        <v>762</v>
      </c>
      <c r="G177" s="17">
        <f t="shared" si="9"/>
        <v>755.84615384615381</v>
      </c>
      <c r="H177" s="27" t="str">
        <f t="shared" si="10"/>
        <v>POSITIVO</v>
      </c>
      <c r="J177" s="17">
        <f t="shared" si="11"/>
        <v>701.85714285714289</v>
      </c>
    </row>
    <row r="178" spans="2:10">
      <c r="B178" t="s">
        <v>1490</v>
      </c>
      <c r="C178" s="30" t="s">
        <v>27</v>
      </c>
      <c r="D178" s="13">
        <v>191.89</v>
      </c>
      <c r="E178" s="13">
        <v>300</v>
      </c>
      <c r="G178" s="17">
        <f t="shared" si="9"/>
        <v>295.21538461538461</v>
      </c>
      <c r="H178" s="27" t="str">
        <f t="shared" si="10"/>
        <v>POSITIVO</v>
      </c>
      <c r="J178" s="17">
        <f t="shared" si="11"/>
        <v>274.12857142857143</v>
      </c>
    </row>
    <row r="179" spans="2:10">
      <c r="B179" t="s">
        <v>1491</v>
      </c>
      <c r="C179" s="30" t="s">
        <v>27</v>
      </c>
      <c r="D179" s="13">
        <v>211.91</v>
      </c>
      <c r="E179" s="13">
        <v>330</v>
      </c>
      <c r="G179" s="17">
        <f t="shared" si="9"/>
        <v>326.01538461538462</v>
      </c>
      <c r="H179" s="27" t="str">
        <f t="shared" si="10"/>
        <v>POSITIVO</v>
      </c>
      <c r="J179" s="17">
        <f t="shared" si="11"/>
        <v>302.72857142857146</v>
      </c>
    </row>
    <row r="180" spans="2:10">
      <c r="B180" t="s">
        <v>1531</v>
      </c>
      <c r="C180" s="30" t="s">
        <v>27</v>
      </c>
      <c r="D180" s="13">
        <v>32</v>
      </c>
      <c r="E180" s="13">
        <v>50</v>
      </c>
      <c r="G180" s="17">
        <f t="shared" si="9"/>
        <v>49.230769230769226</v>
      </c>
      <c r="H180" s="27" t="str">
        <f t="shared" si="10"/>
        <v>POSITIVO</v>
      </c>
      <c r="J180" s="17">
        <f t="shared" si="11"/>
        <v>45.714285714285715</v>
      </c>
    </row>
    <row r="181" spans="2:10">
      <c r="B181" t="s">
        <v>1816</v>
      </c>
      <c r="C181" s="30" t="s">
        <v>27</v>
      </c>
      <c r="D181" s="13">
        <v>3.44</v>
      </c>
      <c r="E181" s="13">
        <v>8</v>
      </c>
      <c r="G181" s="17">
        <f t="shared" si="9"/>
        <v>5.2923076923076922</v>
      </c>
      <c r="H181" s="27" t="str">
        <f t="shared" si="10"/>
        <v>POSITIVO</v>
      </c>
      <c r="J181" s="17">
        <f t="shared" si="11"/>
        <v>4.9142857142857146</v>
      </c>
    </row>
    <row r="182" spans="2:10">
      <c r="B182" t="s">
        <v>86</v>
      </c>
      <c r="C182" s="24" t="s">
        <v>27</v>
      </c>
      <c r="D182" s="25">
        <v>6.71</v>
      </c>
      <c r="E182" s="26">
        <v>10.5</v>
      </c>
      <c r="G182" s="17">
        <f t="shared" si="9"/>
        <v>10.323076923076922</v>
      </c>
      <c r="H182" s="27" t="str">
        <f t="shared" si="10"/>
        <v>POSITIVO</v>
      </c>
      <c r="J182" s="17">
        <f t="shared" si="11"/>
        <v>9.5857142857142854</v>
      </c>
    </row>
    <row r="183" spans="2:10">
      <c r="B183" t="s">
        <v>1251</v>
      </c>
      <c r="C183" s="30" t="s">
        <v>27</v>
      </c>
      <c r="D183" s="13">
        <v>2.5</v>
      </c>
      <c r="E183" s="13">
        <v>5</v>
      </c>
      <c r="G183" s="17">
        <f t="shared" si="9"/>
        <v>3.8461538461538458</v>
      </c>
      <c r="H183" s="27" t="str">
        <f t="shared" si="10"/>
        <v>POSITIVO</v>
      </c>
      <c r="J183" s="17">
        <f t="shared" si="11"/>
        <v>3.5714285714285716</v>
      </c>
    </row>
    <row r="184" spans="2:10">
      <c r="B184" t="s">
        <v>87</v>
      </c>
      <c r="C184" s="24" t="s">
        <v>27</v>
      </c>
      <c r="D184" s="25">
        <v>1</v>
      </c>
      <c r="E184" s="26">
        <v>5</v>
      </c>
      <c r="G184" s="17">
        <f t="shared" si="9"/>
        <v>1.5384615384615383</v>
      </c>
      <c r="H184" s="27" t="str">
        <f t="shared" si="10"/>
        <v>POSITIVO</v>
      </c>
      <c r="J184" s="17">
        <f t="shared" si="11"/>
        <v>1.4285714285714286</v>
      </c>
    </row>
    <row r="185" spans="2:10">
      <c r="B185" t="s">
        <v>1057</v>
      </c>
      <c r="C185" s="30" t="s">
        <v>665</v>
      </c>
      <c r="D185" s="13">
        <v>149.66</v>
      </c>
      <c r="E185" s="13">
        <v>235</v>
      </c>
      <c r="G185" s="17">
        <f t="shared" si="9"/>
        <v>230.24615384615385</v>
      </c>
      <c r="H185" s="27" t="str">
        <f t="shared" si="10"/>
        <v>POSITIVO</v>
      </c>
      <c r="J185" s="17">
        <f t="shared" si="11"/>
        <v>213.8</v>
      </c>
    </row>
    <row r="186" spans="2:10">
      <c r="B186" t="s">
        <v>937</v>
      </c>
      <c r="C186" s="30" t="s">
        <v>665</v>
      </c>
      <c r="D186" s="13">
        <v>185.76</v>
      </c>
      <c r="E186" s="13">
        <v>297</v>
      </c>
      <c r="G186" s="17">
        <f t="shared" si="9"/>
        <v>285.78461538461534</v>
      </c>
      <c r="H186" s="27" t="str">
        <f t="shared" si="10"/>
        <v>POSITIVO</v>
      </c>
      <c r="J186" s="17">
        <f t="shared" si="11"/>
        <v>265.37142857142857</v>
      </c>
    </row>
    <row r="187" spans="2:10">
      <c r="B187" t="s">
        <v>936</v>
      </c>
      <c r="C187" s="30" t="s">
        <v>665</v>
      </c>
      <c r="D187" s="13">
        <v>131.19999999999999</v>
      </c>
      <c r="E187" s="13">
        <v>228</v>
      </c>
      <c r="G187" s="17">
        <f t="shared" si="9"/>
        <v>201.84615384615381</v>
      </c>
      <c r="H187" s="27" t="str">
        <f t="shared" si="10"/>
        <v>POSITIVO</v>
      </c>
      <c r="J187" s="17">
        <f t="shared" si="11"/>
        <v>187.42857142857142</v>
      </c>
    </row>
    <row r="188" spans="2:10">
      <c r="B188" t="s">
        <v>1060</v>
      </c>
      <c r="C188" s="30" t="s">
        <v>665</v>
      </c>
      <c r="D188" s="13">
        <v>199.64</v>
      </c>
      <c r="E188" s="13">
        <v>310</v>
      </c>
      <c r="G188" s="17">
        <f t="shared" si="9"/>
        <v>307.13846153846151</v>
      </c>
      <c r="H188" s="27" t="str">
        <f t="shared" si="10"/>
        <v>POSITIVO</v>
      </c>
      <c r="J188" s="17">
        <f t="shared" si="11"/>
        <v>285.2</v>
      </c>
    </row>
    <row r="189" spans="2:10">
      <c r="B189" t="s">
        <v>1059</v>
      </c>
      <c r="C189" s="30" t="s">
        <v>665</v>
      </c>
      <c r="D189" s="13">
        <v>214.93</v>
      </c>
      <c r="E189" s="13">
        <v>345.9</v>
      </c>
      <c r="G189" s="17">
        <f t="shared" si="9"/>
        <v>330.66153846153844</v>
      </c>
      <c r="H189" s="27" t="str">
        <f t="shared" si="10"/>
        <v>POSITIVO</v>
      </c>
      <c r="J189" s="17">
        <f t="shared" si="11"/>
        <v>307.04285714285714</v>
      </c>
    </row>
    <row r="190" spans="2:10">
      <c r="B190" t="s">
        <v>1614</v>
      </c>
      <c r="C190" s="30" t="s">
        <v>665</v>
      </c>
      <c r="D190" s="13">
        <v>200.96</v>
      </c>
      <c r="E190" s="13">
        <v>325</v>
      </c>
      <c r="G190" s="17">
        <f t="shared" si="9"/>
        <v>309.16923076923075</v>
      </c>
      <c r="H190" s="27" t="str">
        <f t="shared" si="10"/>
        <v>POSITIVO</v>
      </c>
      <c r="J190" s="17">
        <f t="shared" si="11"/>
        <v>287.08571428571429</v>
      </c>
    </row>
    <row r="191" spans="2:10">
      <c r="B191" t="s">
        <v>88</v>
      </c>
      <c r="C191" s="24" t="s">
        <v>46</v>
      </c>
      <c r="D191" s="25">
        <v>0.83</v>
      </c>
      <c r="E191" s="25">
        <v>1</v>
      </c>
      <c r="G191" s="17">
        <f t="shared" si="9"/>
        <v>1.2769230769230768</v>
      </c>
      <c r="H191" s="27" t="str">
        <f t="shared" si="10"/>
        <v>NEGATIVO</v>
      </c>
      <c r="J191" s="17">
        <f t="shared" si="11"/>
        <v>1.1857142857142857</v>
      </c>
    </row>
    <row r="192" spans="2:10">
      <c r="B192" t="s">
        <v>89</v>
      </c>
      <c r="C192" s="24" t="s">
        <v>46</v>
      </c>
      <c r="D192" s="25">
        <v>0.6</v>
      </c>
      <c r="E192" s="25">
        <v>0.8</v>
      </c>
      <c r="G192" s="17">
        <f t="shared" si="9"/>
        <v>0.92307692307692302</v>
      </c>
      <c r="H192" s="27" t="str">
        <f t="shared" si="10"/>
        <v>NEGATIVO</v>
      </c>
      <c r="J192" s="17">
        <f t="shared" si="11"/>
        <v>0.85714285714285721</v>
      </c>
    </row>
    <row r="193" spans="1:10">
      <c r="A193" s="61" t="s">
        <v>2064</v>
      </c>
      <c r="B193" t="s">
        <v>2063</v>
      </c>
      <c r="C193" s="24" t="s">
        <v>27</v>
      </c>
      <c r="D193" s="25">
        <v>35.9</v>
      </c>
      <c r="E193" s="26">
        <v>56</v>
      </c>
      <c r="G193" s="17">
        <f t="shared" si="9"/>
        <v>55.230769230769226</v>
      </c>
      <c r="H193" s="27" t="str">
        <f t="shared" si="10"/>
        <v>POSITIVO</v>
      </c>
      <c r="J193" s="17">
        <f t="shared" si="11"/>
        <v>51.285714285714285</v>
      </c>
    </row>
    <row r="194" spans="1:10">
      <c r="A194" s="61" t="s">
        <v>2057</v>
      </c>
      <c r="B194" t="s">
        <v>2056</v>
      </c>
      <c r="C194" s="30" t="s">
        <v>27</v>
      </c>
      <c r="D194" s="13">
        <v>43.9</v>
      </c>
      <c r="E194" s="13">
        <v>68</v>
      </c>
      <c r="G194" s="17">
        <f t="shared" si="9"/>
        <v>67.538461538461533</v>
      </c>
      <c r="H194" s="27" t="str">
        <f t="shared" si="10"/>
        <v>POSITIVO</v>
      </c>
      <c r="J194" s="17">
        <f t="shared" si="11"/>
        <v>62.714285714285715</v>
      </c>
    </row>
    <row r="195" spans="1:10">
      <c r="B195" t="s">
        <v>90</v>
      </c>
      <c r="C195" s="24" t="s">
        <v>27</v>
      </c>
      <c r="D195" s="25">
        <v>5.8</v>
      </c>
      <c r="E195" s="26">
        <v>9</v>
      </c>
      <c r="G195" s="17">
        <f t="shared" si="9"/>
        <v>8.9230769230769234</v>
      </c>
      <c r="H195" s="27" t="str">
        <f t="shared" si="10"/>
        <v>POSITIVO</v>
      </c>
      <c r="J195" s="17">
        <f t="shared" si="11"/>
        <v>8.2857142857142865</v>
      </c>
    </row>
    <row r="196" spans="1:10">
      <c r="B196" t="s">
        <v>997</v>
      </c>
      <c r="C196" s="30" t="s">
        <v>27</v>
      </c>
      <c r="D196" s="13">
        <v>10.58</v>
      </c>
      <c r="E196" s="13">
        <v>16.5</v>
      </c>
      <c r="G196" s="17">
        <f t="shared" si="9"/>
        <v>16.276923076923076</v>
      </c>
      <c r="H196" s="27" t="str">
        <f t="shared" si="10"/>
        <v>POSITIVO</v>
      </c>
      <c r="J196" s="17">
        <f t="shared" si="11"/>
        <v>15.114285714285716</v>
      </c>
    </row>
    <row r="197" spans="1:10">
      <c r="B197" t="s">
        <v>91</v>
      </c>
      <c r="C197" s="24" t="s">
        <v>27</v>
      </c>
      <c r="D197" s="25">
        <v>59.49</v>
      </c>
      <c r="E197" s="26">
        <v>92</v>
      </c>
      <c r="G197" s="17">
        <f t="shared" si="9"/>
        <v>91.523076923076928</v>
      </c>
      <c r="H197" s="27" t="str">
        <f t="shared" si="10"/>
        <v>POSITIVO</v>
      </c>
      <c r="J197" s="17">
        <f t="shared" si="11"/>
        <v>84.985714285714295</v>
      </c>
    </row>
    <row r="198" spans="1:10">
      <c r="B198" t="s">
        <v>1269</v>
      </c>
      <c r="C198" s="30" t="s">
        <v>27</v>
      </c>
      <c r="D198" s="13">
        <v>3.1</v>
      </c>
      <c r="E198" s="13">
        <v>5</v>
      </c>
      <c r="G198" s="17">
        <f t="shared" si="9"/>
        <v>4.7692307692307692</v>
      </c>
      <c r="H198" s="27" t="str">
        <f t="shared" si="10"/>
        <v>POSITIVO</v>
      </c>
      <c r="J198" s="17">
        <f t="shared" si="11"/>
        <v>4.4285714285714288</v>
      </c>
    </row>
    <row r="199" spans="1:10">
      <c r="B199" t="s">
        <v>2071</v>
      </c>
      <c r="C199" s="30" t="s">
        <v>27</v>
      </c>
      <c r="D199" s="13">
        <v>0.83</v>
      </c>
      <c r="E199" s="13">
        <v>1.3</v>
      </c>
      <c r="G199" s="17">
        <f t="shared" si="9"/>
        <v>1.2769230769230768</v>
      </c>
      <c r="H199" s="27" t="str">
        <f t="shared" si="10"/>
        <v>POSITIVO</v>
      </c>
      <c r="J199" s="17">
        <f t="shared" si="11"/>
        <v>1.1857142857142857</v>
      </c>
    </row>
    <row r="200" spans="1:10">
      <c r="B200" t="s">
        <v>2072</v>
      </c>
      <c r="C200" s="30" t="s">
        <v>27</v>
      </c>
      <c r="D200" s="13">
        <v>0.95</v>
      </c>
      <c r="E200" s="13">
        <v>1.5</v>
      </c>
      <c r="G200" s="17">
        <f t="shared" si="9"/>
        <v>1.4615384615384615</v>
      </c>
      <c r="H200" s="27" t="str">
        <f t="shared" si="10"/>
        <v>POSITIVO</v>
      </c>
      <c r="J200" s="17">
        <f t="shared" si="11"/>
        <v>1.3571428571428572</v>
      </c>
    </row>
    <row r="201" spans="1:10">
      <c r="B201" t="s">
        <v>2073</v>
      </c>
      <c r="C201" s="30" t="s">
        <v>27</v>
      </c>
      <c r="D201" s="13">
        <v>1.3</v>
      </c>
      <c r="E201" s="13">
        <v>2</v>
      </c>
      <c r="G201" s="17">
        <f t="shared" si="9"/>
        <v>2</v>
      </c>
      <c r="H201" s="27" t="str">
        <f t="shared" si="10"/>
        <v>POSITIVO</v>
      </c>
      <c r="J201" s="17">
        <f t="shared" si="11"/>
        <v>1.8571428571428574</v>
      </c>
    </row>
    <row r="202" spans="1:10">
      <c r="B202" t="s">
        <v>1879</v>
      </c>
      <c r="C202" s="30" t="s">
        <v>27</v>
      </c>
      <c r="D202" s="13">
        <v>2.6</v>
      </c>
      <c r="E202" s="13">
        <v>5</v>
      </c>
      <c r="G202" s="17">
        <f t="shared" si="9"/>
        <v>4</v>
      </c>
      <c r="H202" s="27" t="str">
        <f t="shared" si="10"/>
        <v>POSITIVO</v>
      </c>
      <c r="J202" s="17">
        <f t="shared" si="11"/>
        <v>3.7142857142857149</v>
      </c>
    </row>
    <row r="203" spans="1:10">
      <c r="B203" t="s">
        <v>1270</v>
      </c>
      <c r="C203" s="30" t="s">
        <v>27</v>
      </c>
      <c r="D203" s="13">
        <v>1.1499999999999999</v>
      </c>
      <c r="E203" s="13">
        <v>3</v>
      </c>
      <c r="G203" s="17">
        <f t="shared" si="9"/>
        <v>1.7692307692307689</v>
      </c>
      <c r="H203" s="27" t="str">
        <f t="shared" si="10"/>
        <v>POSITIVO</v>
      </c>
      <c r="J203" s="17">
        <f t="shared" si="11"/>
        <v>1.6428571428571428</v>
      </c>
    </row>
    <row r="204" spans="1:10">
      <c r="B204" t="s">
        <v>1232</v>
      </c>
      <c r="C204" s="30" t="s">
        <v>27</v>
      </c>
      <c r="D204" s="13">
        <v>30.12</v>
      </c>
      <c r="E204" s="13">
        <v>50</v>
      </c>
      <c r="G204" s="17">
        <f t="shared" si="9"/>
        <v>46.338461538461537</v>
      </c>
      <c r="H204" s="27" t="str">
        <f t="shared" si="10"/>
        <v>POSITIVO</v>
      </c>
      <c r="J204" s="17">
        <f t="shared" si="11"/>
        <v>43.028571428571432</v>
      </c>
    </row>
    <row r="205" spans="1:10">
      <c r="B205" t="s">
        <v>1382</v>
      </c>
      <c r="C205" s="30" t="s">
        <v>27</v>
      </c>
      <c r="D205" s="13">
        <v>80.02</v>
      </c>
      <c r="E205" s="13">
        <v>125</v>
      </c>
      <c r="G205" s="17">
        <f t="shared" si="9"/>
        <v>123.1076923076923</v>
      </c>
      <c r="H205" s="27" t="str">
        <f t="shared" si="10"/>
        <v>POSITIVO</v>
      </c>
      <c r="J205" s="17">
        <f t="shared" si="11"/>
        <v>114.31428571428572</v>
      </c>
    </row>
    <row r="206" spans="1:10">
      <c r="B206" t="s">
        <v>2477</v>
      </c>
      <c r="C206" s="30" t="s">
        <v>27</v>
      </c>
      <c r="D206" s="13">
        <v>3.71</v>
      </c>
      <c r="E206" s="13">
        <v>5.8</v>
      </c>
      <c r="G206" s="17">
        <f t="shared" si="9"/>
        <v>5.7076923076923078</v>
      </c>
      <c r="H206" s="27" t="str">
        <f t="shared" si="10"/>
        <v>POSITIVO</v>
      </c>
      <c r="J206" s="17">
        <f t="shared" si="11"/>
        <v>5.3000000000000007</v>
      </c>
    </row>
    <row r="207" spans="1:10">
      <c r="B207" t="s">
        <v>1000</v>
      </c>
      <c r="C207" s="24" t="s">
        <v>27</v>
      </c>
      <c r="D207" s="13">
        <v>42.99</v>
      </c>
      <c r="E207" s="13">
        <v>62</v>
      </c>
      <c r="G207" s="17">
        <f t="shared" si="9"/>
        <v>66.138461538461542</v>
      </c>
      <c r="H207" s="27" t="str">
        <f t="shared" si="10"/>
        <v>NEGATIVO</v>
      </c>
      <c r="J207" s="17">
        <f t="shared" si="11"/>
        <v>61.414285714285718</v>
      </c>
    </row>
    <row r="208" spans="1:10">
      <c r="B208" t="s">
        <v>92</v>
      </c>
      <c r="C208" s="24" t="s">
        <v>27</v>
      </c>
      <c r="D208" s="25">
        <v>6.58</v>
      </c>
      <c r="E208" s="25">
        <v>10.5</v>
      </c>
      <c r="G208" s="17">
        <f t="shared" si="9"/>
        <v>10.123076923076923</v>
      </c>
      <c r="H208" s="27" t="str">
        <f t="shared" si="10"/>
        <v>POSITIVO</v>
      </c>
      <c r="J208" s="17">
        <f t="shared" si="11"/>
        <v>9.4</v>
      </c>
    </row>
    <row r="209" spans="1:10">
      <c r="B209" t="s">
        <v>1702</v>
      </c>
      <c r="C209" s="30" t="s">
        <v>27</v>
      </c>
      <c r="D209" s="13">
        <v>13</v>
      </c>
      <c r="E209" s="13">
        <v>20.9</v>
      </c>
      <c r="G209" s="17">
        <f t="shared" si="9"/>
        <v>20</v>
      </c>
      <c r="H209" s="27" t="str">
        <f t="shared" si="10"/>
        <v>POSITIVO</v>
      </c>
      <c r="J209" s="17">
        <f t="shared" si="11"/>
        <v>18.571428571428573</v>
      </c>
    </row>
    <row r="210" spans="1:10">
      <c r="B210" t="s">
        <v>93</v>
      </c>
      <c r="C210" s="24" t="s">
        <v>27</v>
      </c>
      <c r="D210" s="25">
        <v>1.82</v>
      </c>
      <c r="E210" s="26">
        <v>3</v>
      </c>
      <c r="G210" s="17">
        <f t="shared" si="9"/>
        <v>2.8</v>
      </c>
      <c r="H210" s="27" t="str">
        <f t="shared" si="10"/>
        <v>POSITIVO</v>
      </c>
      <c r="J210" s="17">
        <f t="shared" si="11"/>
        <v>2.6</v>
      </c>
    </row>
    <row r="211" spans="1:10">
      <c r="B211" t="s">
        <v>94</v>
      </c>
      <c r="C211" s="24" t="s">
        <v>27</v>
      </c>
      <c r="D211" s="25">
        <v>5.68</v>
      </c>
      <c r="E211" s="26">
        <v>12</v>
      </c>
      <c r="G211" s="17">
        <f t="shared" si="9"/>
        <v>8.7384615384615376</v>
      </c>
      <c r="H211" s="27" t="str">
        <f t="shared" si="10"/>
        <v>POSITIVO</v>
      </c>
      <c r="J211" s="17">
        <f t="shared" si="11"/>
        <v>8.1142857142857139</v>
      </c>
    </row>
    <row r="212" spans="1:10">
      <c r="B212" t="s">
        <v>95</v>
      </c>
      <c r="C212" s="24" t="s">
        <v>27</v>
      </c>
      <c r="D212" s="25">
        <v>11.6</v>
      </c>
      <c r="E212" s="26">
        <v>18</v>
      </c>
      <c r="G212" s="17">
        <f t="shared" si="9"/>
        <v>17.846153846153847</v>
      </c>
      <c r="H212" s="27" t="str">
        <f t="shared" si="10"/>
        <v>POSITIVO</v>
      </c>
      <c r="J212" s="17">
        <f t="shared" si="11"/>
        <v>16.571428571428573</v>
      </c>
    </row>
    <row r="213" spans="1:10">
      <c r="B213" t="s">
        <v>943</v>
      </c>
      <c r="C213" s="30" t="s">
        <v>27</v>
      </c>
      <c r="D213" s="13">
        <v>7.63</v>
      </c>
      <c r="E213" s="13">
        <v>12.9</v>
      </c>
      <c r="G213" s="17">
        <f t="shared" si="9"/>
        <v>11.738461538461538</v>
      </c>
      <c r="H213" s="27" t="str">
        <f t="shared" si="10"/>
        <v>POSITIVO</v>
      </c>
      <c r="J213" s="17">
        <f t="shared" si="11"/>
        <v>10.9</v>
      </c>
    </row>
    <row r="214" spans="1:10">
      <c r="B214" t="s">
        <v>1061</v>
      </c>
      <c r="C214" s="30" t="s">
        <v>27</v>
      </c>
      <c r="D214" s="13">
        <v>5.71</v>
      </c>
      <c r="E214" s="13">
        <v>8.8000000000000007</v>
      </c>
      <c r="G214" s="17">
        <f t="shared" si="9"/>
        <v>8.7846153846153836</v>
      </c>
      <c r="H214" s="27" t="str">
        <f t="shared" si="10"/>
        <v>POSITIVO</v>
      </c>
      <c r="J214" s="17">
        <f t="shared" si="11"/>
        <v>8.1571428571428584</v>
      </c>
    </row>
    <row r="215" spans="1:10">
      <c r="B215" t="s">
        <v>942</v>
      </c>
      <c r="C215" s="30" t="s">
        <v>27</v>
      </c>
      <c r="D215" s="13">
        <v>5.85</v>
      </c>
      <c r="E215" s="13">
        <v>9</v>
      </c>
      <c r="G215" s="17">
        <f t="shared" si="9"/>
        <v>9</v>
      </c>
      <c r="H215" s="27" t="str">
        <f t="shared" si="10"/>
        <v>POSITIVO</v>
      </c>
      <c r="J215" s="17">
        <f t="shared" si="11"/>
        <v>8.3571428571428577</v>
      </c>
    </row>
    <row r="216" spans="1:10">
      <c r="B216" t="s">
        <v>1748</v>
      </c>
      <c r="C216" s="30" t="s">
        <v>27</v>
      </c>
      <c r="D216" s="13">
        <v>2.25</v>
      </c>
      <c r="E216" s="13">
        <v>3.5</v>
      </c>
      <c r="G216" s="17">
        <f t="shared" si="9"/>
        <v>3.4615384615384612</v>
      </c>
      <c r="H216" s="27" t="str">
        <f t="shared" si="10"/>
        <v>POSITIVO</v>
      </c>
      <c r="J216" s="17">
        <f t="shared" si="11"/>
        <v>3.2142857142857144</v>
      </c>
    </row>
    <row r="217" spans="1:10">
      <c r="A217" s="61">
        <v>4056807411545</v>
      </c>
      <c r="B217" t="s">
        <v>1997</v>
      </c>
      <c r="C217" s="30" t="s">
        <v>27</v>
      </c>
      <c r="D217" s="13">
        <v>1.31</v>
      </c>
      <c r="E217" s="13">
        <v>2.5</v>
      </c>
      <c r="G217" s="17">
        <f t="shared" si="9"/>
        <v>2.0153846153846153</v>
      </c>
      <c r="H217" s="27" t="str">
        <f t="shared" si="10"/>
        <v>POSITIVO</v>
      </c>
      <c r="J217" s="17">
        <f t="shared" si="11"/>
        <v>1.8714285714285717</v>
      </c>
    </row>
    <row r="218" spans="1:10">
      <c r="A218" s="61">
        <v>4056807411699</v>
      </c>
      <c r="B218" t="s">
        <v>1994</v>
      </c>
      <c r="C218" s="30" t="s">
        <v>27</v>
      </c>
      <c r="D218" s="13">
        <v>3.68</v>
      </c>
      <c r="E218" s="13">
        <v>10.5</v>
      </c>
      <c r="G218" s="17">
        <f t="shared" si="9"/>
        <v>5.6615384615384619</v>
      </c>
      <c r="H218" s="27" t="str">
        <f t="shared" si="10"/>
        <v>POSITIVO</v>
      </c>
      <c r="J218" s="17">
        <f t="shared" si="11"/>
        <v>5.257142857142858</v>
      </c>
    </row>
    <row r="219" spans="1:10">
      <c r="B219" t="s">
        <v>1456</v>
      </c>
      <c r="C219" s="30" t="s">
        <v>27</v>
      </c>
      <c r="D219" s="13">
        <v>7.2</v>
      </c>
      <c r="E219" s="13">
        <v>12</v>
      </c>
      <c r="G219" s="17">
        <f t="shared" si="9"/>
        <v>11.076923076923077</v>
      </c>
      <c r="H219" s="27" t="str">
        <f t="shared" si="10"/>
        <v>POSITIVO</v>
      </c>
      <c r="J219" s="17">
        <f t="shared" si="11"/>
        <v>10.285714285714286</v>
      </c>
    </row>
    <row r="220" spans="1:10">
      <c r="B220" t="s">
        <v>1453</v>
      </c>
      <c r="C220" s="30" t="s">
        <v>27</v>
      </c>
      <c r="D220" s="13">
        <v>6.8</v>
      </c>
      <c r="E220" s="13">
        <v>10.5</v>
      </c>
      <c r="G220" s="17">
        <f t="shared" si="9"/>
        <v>10.461538461538462</v>
      </c>
      <c r="H220" s="27" t="str">
        <f t="shared" si="10"/>
        <v>POSITIVO</v>
      </c>
      <c r="J220" s="17">
        <f t="shared" si="11"/>
        <v>9.7142857142857153</v>
      </c>
    </row>
    <row r="221" spans="1:10">
      <c r="B221" t="s">
        <v>1455</v>
      </c>
      <c r="C221" s="30" t="s">
        <v>27</v>
      </c>
      <c r="D221" s="13">
        <v>7.2</v>
      </c>
      <c r="E221" s="13">
        <v>12</v>
      </c>
      <c r="G221" s="17">
        <f t="shared" si="9"/>
        <v>11.076923076923077</v>
      </c>
      <c r="H221" s="27" t="str">
        <f t="shared" si="10"/>
        <v>POSITIVO</v>
      </c>
      <c r="J221" s="17">
        <f t="shared" si="11"/>
        <v>10.285714285714286</v>
      </c>
    </row>
    <row r="222" spans="1:10">
      <c r="B222" t="s">
        <v>1454</v>
      </c>
      <c r="C222" s="30" t="s">
        <v>27</v>
      </c>
      <c r="D222" s="13">
        <v>6.8</v>
      </c>
      <c r="E222" s="13">
        <v>10.5</v>
      </c>
      <c r="G222" s="17">
        <f t="shared" si="9"/>
        <v>10.461538461538462</v>
      </c>
      <c r="H222" s="27" t="str">
        <f t="shared" si="10"/>
        <v>POSITIVO</v>
      </c>
      <c r="J222" s="17">
        <f t="shared" si="11"/>
        <v>9.7142857142857153</v>
      </c>
    </row>
    <row r="223" spans="1:10">
      <c r="B223" t="s">
        <v>1303</v>
      </c>
      <c r="C223" s="30" t="s">
        <v>27</v>
      </c>
      <c r="D223" s="13">
        <v>6.08</v>
      </c>
      <c r="E223" s="13">
        <v>9.1999999999999993</v>
      </c>
      <c r="G223" s="17">
        <f t="shared" si="9"/>
        <v>9.3538461538461544</v>
      </c>
      <c r="H223" s="27" t="str">
        <f t="shared" si="10"/>
        <v>NEGATIVO</v>
      </c>
      <c r="J223" s="17">
        <f t="shared" si="11"/>
        <v>8.6857142857142868</v>
      </c>
    </row>
    <row r="224" spans="1:10">
      <c r="A224" s="61">
        <v>4056807120485</v>
      </c>
      <c r="B224" t="s">
        <v>1996</v>
      </c>
      <c r="C224" s="30" t="s">
        <v>27</v>
      </c>
      <c r="D224" s="13">
        <v>7.11</v>
      </c>
      <c r="E224" s="13">
        <v>11.5</v>
      </c>
      <c r="G224" s="17">
        <f t="shared" si="9"/>
        <v>10.938461538461539</v>
      </c>
      <c r="H224" s="27" t="str">
        <f t="shared" si="10"/>
        <v>POSITIVO</v>
      </c>
      <c r="J224" s="17">
        <f t="shared" si="11"/>
        <v>10.157142857142858</v>
      </c>
    </row>
    <row r="225" spans="1:10">
      <c r="B225" t="s">
        <v>1210</v>
      </c>
      <c r="C225" s="30" t="s">
        <v>27</v>
      </c>
      <c r="D225" s="13">
        <v>3.77</v>
      </c>
      <c r="E225" s="13">
        <v>7.9</v>
      </c>
      <c r="G225" s="17">
        <f t="shared" ref="G225:G277" si="12">(D225/65%)</f>
        <v>5.8</v>
      </c>
      <c r="H225" s="27" t="str">
        <f t="shared" ref="H225:H277" si="13">IF(E225&gt;=G225,"POSITIVO","NEGATIVO")</f>
        <v>POSITIVO</v>
      </c>
      <c r="J225" s="17">
        <f t="shared" ref="J225:J277" si="14">D225/70%</f>
        <v>5.3857142857142861</v>
      </c>
    </row>
    <row r="226" spans="1:10">
      <c r="B226" t="s">
        <v>1407</v>
      </c>
      <c r="C226" s="30" t="s">
        <v>27</v>
      </c>
      <c r="D226" s="13">
        <v>2.38</v>
      </c>
      <c r="E226" s="13">
        <v>3.9</v>
      </c>
      <c r="G226" s="17">
        <f t="shared" si="12"/>
        <v>3.6615384615384614</v>
      </c>
      <c r="H226" s="27" t="str">
        <f t="shared" si="13"/>
        <v>POSITIVO</v>
      </c>
      <c r="J226" s="17">
        <f t="shared" si="14"/>
        <v>3.4</v>
      </c>
    </row>
    <row r="227" spans="1:10">
      <c r="B227" t="s">
        <v>96</v>
      </c>
      <c r="C227" s="24" t="s">
        <v>27</v>
      </c>
      <c r="D227" s="25">
        <v>10</v>
      </c>
      <c r="E227" s="26">
        <v>15.4</v>
      </c>
      <c r="G227" s="17">
        <f t="shared" si="12"/>
        <v>15.384615384615383</v>
      </c>
      <c r="H227" s="27" t="str">
        <f t="shared" si="13"/>
        <v>POSITIVO</v>
      </c>
      <c r="J227" s="17">
        <f t="shared" si="14"/>
        <v>14.285714285714286</v>
      </c>
    </row>
    <row r="228" spans="1:10">
      <c r="B228" t="s">
        <v>97</v>
      </c>
      <c r="C228" s="24" t="s">
        <v>27</v>
      </c>
      <c r="D228" s="25">
        <v>3.44</v>
      </c>
      <c r="E228" s="26">
        <v>5.3</v>
      </c>
      <c r="G228" s="17">
        <f t="shared" si="12"/>
        <v>5.2923076923076922</v>
      </c>
      <c r="H228" s="27" t="str">
        <f t="shared" si="13"/>
        <v>POSITIVO</v>
      </c>
      <c r="J228" s="17">
        <f t="shared" si="14"/>
        <v>4.9142857142857146</v>
      </c>
    </row>
    <row r="229" spans="1:10">
      <c r="B229" t="s">
        <v>98</v>
      </c>
      <c r="C229" s="24" t="s">
        <v>27</v>
      </c>
      <c r="D229" s="25">
        <v>9.1999999999999993</v>
      </c>
      <c r="E229" s="26">
        <v>15.6</v>
      </c>
      <c r="G229" s="17">
        <f t="shared" si="12"/>
        <v>14.153846153846152</v>
      </c>
      <c r="H229" s="27" t="str">
        <f t="shared" si="13"/>
        <v>POSITIVO</v>
      </c>
      <c r="J229" s="17">
        <f t="shared" si="14"/>
        <v>13.142857142857142</v>
      </c>
    </row>
    <row r="230" spans="1:10">
      <c r="B230" t="s">
        <v>99</v>
      </c>
      <c r="C230" s="24" t="s">
        <v>27</v>
      </c>
      <c r="D230" s="25">
        <v>9.6199999999999992</v>
      </c>
      <c r="E230" s="26">
        <v>14.9</v>
      </c>
      <c r="G230" s="17">
        <f t="shared" si="12"/>
        <v>14.799999999999999</v>
      </c>
      <c r="H230" s="27" t="str">
        <f t="shared" si="13"/>
        <v>POSITIVO</v>
      </c>
      <c r="J230" s="17">
        <f t="shared" si="14"/>
        <v>13.742857142857142</v>
      </c>
    </row>
    <row r="231" spans="1:10">
      <c r="B231" t="s">
        <v>1406</v>
      </c>
      <c r="C231" s="30" t="s">
        <v>27</v>
      </c>
      <c r="D231" s="13">
        <v>4.04</v>
      </c>
      <c r="E231" s="13">
        <v>6.5</v>
      </c>
      <c r="G231" s="17">
        <f t="shared" si="12"/>
        <v>6.2153846153846155</v>
      </c>
      <c r="H231" s="27" t="str">
        <f t="shared" si="13"/>
        <v>POSITIVO</v>
      </c>
      <c r="J231" s="17">
        <f t="shared" si="14"/>
        <v>5.7714285714285722</v>
      </c>
    </row>
    <row r="232" spans="1:10">
      <c r="A232" s="61">
        <v>4046777131192</v>
      </c>
      <c r="B232" t="s">
        <v>1995</v>
      </c>
      <c r="C232" s="24" t="s">
        <v>27</v>
      </c>
      <c r="D232" s="13">
        <v>7.53</v>
      </c>
      <c r="E232" s="13">
        <v>12.5</v>
      </c>
      <c r="G232" s="17">
        <f t="shared" si="12"/>
        <v>11.584615384615384</v>
      </c>
      <c r="H232" s="27" t="str">
        <f t="shared" si="13"/>
        <v>POSITIVO</v>
      </c>
      <c r="J232" s="17">
        <f t="shared" si="14"/>
        <v>10.757142857142858</v>
      </c>
    </row>
    <row r="233" spans="1:10">
      <c r="B233" t="s">
        <v>100</v>
      </c>
      <c r="C233" s="24" t="s">
        <v>27</v>
      </c>
      <c r="D233" s="25">
        <v>16</v>
      </c>
      <c r="E233" s="26">
        <v>24.6</v>
      </c>
      <c r="G233" s="17">
        <f t="shared" si="12"/>
        <v>24.615384615384613</v>
      </c>
      <c r="H233" s="27" t="str">
        <f t="shared" si="13"/>
        <v>NEGATIVO</v>
      </c>
      <c r="J233" s="17">
        <f t="shared" si="14"/>
        <v>22.857142857142858</v>
      </c>
    </row>
    <row r="234" spans="1:10">
      <c r="B234" t="s">
        <v>101</v>
      </c>
      <c r="C234" s="24" t="s">
        <v>27</v>
      </c>
      <c r="D234" s="25">
        <v>12.66</v>
      </c>
      <c r="E234" s="26">
        <v>17.8</v>
      </c>
      <c r="G234" s="17">
        <f t="shared" si="12"/>
        <v>19.476923076923075</v>
      </c>
      <c r="H234" s="27" t="str">
        <f t="shared" si="13"/>
        <v>NEGATIVO</v>
      </c>
      <c r="J234" s="17">
        <f t="shared" si="14"/>
        <v>18.085714285714285</v>
      </c>
    </row>
    <row r="235" spans="1:10">
      <c r="B235" t="s">
        <v>855</v>
      </c>
      <c r="C235" s="30" t="s">
        <v>27</v>
      </c>
      <c r="D235" s="13">
        <v>22.67</v>
      </c>
      <c r="E235" s="13">
        <v>38</v>
      </c>
      <c r="G235" s="17">
        <f t="shared" si="12"/>
        <v>34.876923076923077</v>
      </c>
      <c r="H235" s="27" t="str">
        <f t="shared" si="13"/>
        <v>POSITIVO</v>
      </c>
      <c r="J235" s="17">
        <f t="shared" si="14"/>
        <v>32.385714285714293</v>
      </c>
    </row>
    <row r="236" spans="1:10">
      <c r="B236" t="s">
        <v>854</v>
      </c>
      <c r="C236" s="24" t="s">
        <v>27</v>
      </c>
      <c r="D236" s="25">
        <v>22.5</v>
      </c>
      <c r="E236" s="26">
        <v>35.9</v>
      </c>
      <c r="G236" s="17">
        <f t="shared" si="12"/>
        <v>34.615384615384613</v>
      </c>
      <c r="H236" s="27" t="str">
        <f t="shared" si="13"/>
        <v>POSITIVO</v>
      </c>
      <c r="J236" s="17">
        <f t="shared" si="14"/>
        <v>32.142857142857146</v>
      </c>
    </row>
    <row r="237" spans="1:10">
      <c r="B237" t="s">
        <v>1658</v>
      </c>
      <c r="C237" s="24" t="s">
        <v>27</v>
      </c>
      <c r="D237" s="25">
        <v>5.4</v>
      </c>
      <c r="E237" s="26">
        <v>9</v>
      </c>
      <c r="G237" s="17">
        <f t="shared" si="12"/>
        <v>8.3076923076923084</v>
      </c>
      <c r="H237" s="27" t="str">
        <f t="shared" si="13"/>
        <v>POSITIVO</v>
      </c>
      <c r="J237" s="17">
        <f t="shared" si="14"/>
        <v>7.7142857142857153</v>
      </c>
    </row>
    <row r="238" spans="1:10">
      <c r="B238" t="s">
        <v>857</v>
      </c>
      <c r="C238" s="24" t="s">
        <v>27</v>
      </c>
      <c r="D238" s="25">
        <v>0.4</v>
      </c>
      <c r="E238" s="26">
        <v>0.65</v>
      </c>
      <c r="G238" s="17">
        <f t="shared" si="12"/>
        <v>0.61538461538461542</v>
      </c>
      <c r="H238" s="27" t="str">
        <f t="shared" si="13"/>
        <v>POSITIVO</v>
      </c>
      <c r="J238" s="17">
        <f t="shared" si="14"/>
        <v>0.57142857142857151</v>
      </c>
    </row>
    <row r="239" spans="1:10">
      <c r="B239" t="s">
        <v>1604</v>
      </c>
      <c r="C239" s="30" t="s">
        <v>27</v>
      </c>
      <c r="D239" s="13">
        <v>0.55000000000000004</v>
      </c>
      <c r="E239" s="13">
        <v>0.85</v>
      </c>
      <c r="G239" s="17">
        <f t="shared" si="12"/>
        <v>0.84615384615384615</v>
      </c>
      <c r="H239" s="27" t="str">
        <f t="shared" si="13"/>
        <v>POSITIVO</v>
      </c>
      <c r="J239" s="17">
        <f t="shared" si="14"/>
        <v>0.78571428571428581</v>
      </c>
    </row>
    <row r="240" spans="1:10">
      <c r="B240" t="s">
        <v>1097</v>
      </c>
      <c r="C240" s="24" t="s">
        <v>27</v>
      </c>
      <c r="D240" s="13">
        <v>0.09</v>
      </c>
      <c r="E240" s="13">
        <v>0.15</v>
      </c>
      <c r="G240" s="17">
        <f t="shared" si="12"/>
        <v>0.13846153846153844</v>
      </c>
      <c r="H240" s="27" t="str">
        <f t="shared" si="13"/>
        <v>POSITIVO</v>
      </c>
      <c r="J240" s="17">
        <f t="shared" si="14"/>
        <v>0.12857142857142859</v>
      </c>
    </row>
    <row r="241" spans="2:10">
      <c r="B241" t="s">
        <v>856</v>
      </c>
      <c r="C241" s="24" t="s">
        <v>27</v>
      </c>
      <c r="D241" s="25">
        <v>0.3</v>
      </c>
      <c r="E241" s="26">
        <v>0.45</v>
      </c>
      <c r="G241" s="17">
        <f t="shared" si="12"/>
        <v>0.46153846153846151</v>
      </c>
      <c r="H241" s="27" t="str">
        <f t="shared" si="13"/>
        <v>NEGATIVO</v>
      </c>
      <c r="J241" s="17">
        <f t="shared" si="14"/>
        <v>0.4285714285714286</v>
      </c>
    </row>
    <row r="242" spans="2:10">
      <c r="B242" t="s">
        <v>102</v>
      </c>
      <c r="C242" s="24" t="s">
        <v>27</v>
      </c>
      <c r="D242" s="25">
        <v>1.51</v>
      </c>
      <c r="E242" s="26">
        <v>2.5</v>
      </c>
      <c r="G242" s="17">
        <f t="shared" si="12"/>
        <v>2.3230769230769228</v>
      </c>
      <c r="H242" s="27" t="str">
        <f t="shared" si="13"/>
        <v>POSITIVO</v>
      </c>
      <c r="J242" s="17">
        <f t="shared" si="14"/>
        <v>2.1571428571428575</v>
      </c>
    </row>
    <row r="243" spans="2:10">
      <c r="B243" t="s">
        <v>1073</v>
      </c>
      <c r="C243" s="30" t="s">
        <v>27</v>
      </c>
      <c r="D243" s="13">
        <v>3.9</v>
      </c>
      <c r="E243" s="13">
        <v>6</v>
      </c>
      <c r="G243" s="17">
        <f t="shared" si="12"/>
        <v>6</v>
      </c>
      <c r="H243" s="27" t="str">
        <f t="shared" si="13"/>
        <v>POSITIVO</v>
      </c>
      <c r="J243" s="17">
        <f t="shared" si="14"/>
        <v>5.5714285714285721</v>
      </c>
    </row>
    <row r="244" spans="2:10">
      <c r="B244" t="s">
        <v>103</v>
      </c>
      <c r="C244" s="24" t="s">
        <v>27</v>
      </c>
      <c r="D244" s="25">
        <v>0.1</v>
      </c>
      <c r="E244" s="26">
        <v>0.15</v>
      </c>
      <c r="G244" s="17">
        <f t="shared" si="12"/>
        <v>0.15384615384615385</v>
      </c>
      <c r="H244" s="27" t="str">
        <f t="shared" si="13"/>
        <v>NEGATIVO</v>
      </c>
      <c r="J244" s="17">
        <f t="shared" si="14"/>
        <v>0.14285714285714288</v>
      </c>
    </row>
    <row r="245" spans="2:10">
      <c r="B245" t="s">
        <v>104</v>
      </c>
      <c r="C245" s="24" t="s">
        <v>27</v>
      </c>
      <c r="D245" s="25">
        <v>0.05</v>
      </c>
      <c r="E245" s="26">
        <v>0.15</v>
      </c>
      <c r="G245" s="17">
        <f t="shared" si="12"/>
        <v>7.6923076923076927E-2</v>
      </c>
      <c r="H245" s="27" t="str">
        <f t="shared" si="13"/>
        <v>POSITIVO</v>
      </c>
      <c r="J245" s="17">
        <f t="shared" si="14"/>
        <v>7.1428571428571438E-2</v>
      </c>
    </row>
    <row r="246" spans="2:10">
      <c r="B246" t="s">
        <v>105</v>
      </c>
      <c r="C246" s="24" t="s">
        <v>27</v>
      </c>
      <c r="D246" s="25">
        <v>0.24</v>
      </c>
      <c r="E246" s="26">
        <v>0.4</v>
      </c>
      <c r="G246" s="17">
        <f t="shared" si="12"/>
        <v>0.3692307692307692</v>
      </c>
      <c r="H246" s="27" t="str">
        <f t="shared" si="13"/>
        <v>POSITIVO</v>
      </c>
      <c r="J246" s="17">
        <f t="shared" si="14"/>
        <v>0.34285714285714286</v>
      </c>
    </row>
    <row r="247" spans="2:10">
      <c r="B247" t="s">
        <v>106</v>
      </c>
      <c r="C247" s="24" t="s">
        <v>27</v>
      </c>
      <c r="D247" s="25">
        <v>0.32</v>
      </c>
      <c r="E247" s="26">
        <v>0.5</v>
      </c>
      <c r="G247" s="17">
        <f t="shared" si="12"/>
        <v>0.49230769230769228</v>
      </c>
      <c r="H247" s="27" t="str">
        <f t="shared" si="13"/>
        <v>POSITIVO</v>
      </c>
      <c r="J247" s="17">
        <f t="shared" si="14"/>
        <v>0.45714285714285718</v>
      </c>
    </row>
    <row r="248" spans="2:10">
      <c r="B248" t="s">
        <v>107</v>
      </c>
      <c r="C248" s="24" t="s">
        <v>27</v>
      </c>
      <c r="D248" s="25">
        <v>6.28</v>
      </c>
      <c r="E248" s="26">
        <v>8.5</v>
      </c>
      <c r="G248" s="17">
        <f t="shared" si="12"/>
        <v>9.661538461538461</v>
      </c>
      <c r="H248" s="27" t="str">
        <f t="shared" si="13"/>
        <v>NEGATIVO</v>
      </c>
      <c r="J248" s="17">
        <f t="shared" si="14"/>
        <v>8.9714285714285715</v>
      </c>
    </row>
    <row r="249" spans="2:10">
      <c r="B249" t="s">
        <v>108</v>
      </c>
      <c r="C249" s="24" t="s">
        <v>27</v>
      </c>
      <c r="D249" s="25">
        <v>14.28</v>
      </c>
      <c r="E249" s="26">
        <v>22</v>
      </c>
      <c r="G249" s="17">
        <f t="shared" si="12"/>
        <v>21.969230769230766</v>
      </c>
      <c r="H249" s="27" t="str">
        <f t="shared" si="13"/>
        <v>POSITIVO</v>
      </c>
      <c r="J249" s="17">
        <f t="shared" si="14"/>
        <v>20.400000000000002</v>
      </c>
    </row>
    <row r="250" spans="2:10">
      <c r="B250" t="s">
        <v>109</v>
      </c>
      <c r="C250" s="24" t="s">
        <v>27</v>
      </c>
      <c r="D250" s="25">
        <v>18.47</v>
      </c>
      <c r="E250" s="26">
        <v>29</v>
      </c>
      <c r="G250" s="17">
        <f t="shared" si="12"/>
        <v>28.415384615384614</v>
      </c>
      <c r="H250" s="27" t="str">
        <f t="shared" si="13"/>
        <v>POSITIVO</v>
      </c>
      <c r="J250" s="17">
        <f t="shared" si="14"/>
        <v>26.385714285714286</v>
      </c>
    </row>
    <row r="251" spans="2:10">
      <c r="B251" t="s">
        <v>1103</v>
      </c>
      <c r="C251" s="30" t="s">
        <v>27</v>
      </c>
      <c r="D251" s="13">
        <v>6.99</v>
      </c>
      <c r="E251" s="13">
        <v>15.8</v>
      </c>
      <c r="G251" s="17">
        <f t="shared" si="12"/>
        <v>10.753846153846153</v>
      </c>
      <c r="H251" s="27" t="str">
        <f t="shared" si="13"/>
        <v>POSITIVO</v>
      </c>
      <c r="J251" s="17">
        <f t="shared" si="14"/>
        <v>9.9857142857142858</v>
      </c>
    </row>
    <row r="252" spans="2:10">
      <c r="B252" t="s">
        <v>110</v>
      </c>
      <c r="C252" s="24" t="s">
        <v>27</v>
      </c>
      <c r="D252" s="25">
        <v>9</v>
      </c>
      <c r="E252" s="26">
        <v>15</v>
      </c>
      <c r="G252" s="17">
        <f t="shared" si="12"/>
        <v>13.846153846153845</v>
      </c>
      <c r="H252" s="27" t="str">
        <f t="shared" si="13"/>
        <v>POSITIVO</v>
      </c>
      <c r="J252" s="17">
        <f t="shared" si="14"/>
        <v>12.857142857142858</v>
      </c>
    </row>
    <row r="253" spans="2:10">
      <c r="B253" t="s">
        <v>1790</v>
      </c>
      <c r="C253" s="30" t="s">
        <v>27</v>
      </c>
      <c r="D253" s="13">
        <v>9.86</v>
      </c>
      <c r="E253" s="13">
        <v>16</v>
      </c>
      <c r="G253" s="17">
        <f t="shared" si="12"/>
        <v>15.169230769230769</v>
      </c>
      <c r="H253" s="27" t="str">
        <f t="shared" si="13"/>
        <v>POSITIVO</v>
      </c>
      <c r="J253" s="17">
        <f t="shared" si="14"/>
        <v>14.085714285714285</v>
      </c>
    </row>
    <row r="254" spans="2:10">
      <c r="B254" t="s">
        <v>1102</v>
      </c>
      <c r="C254" s="24" t="s">
        <v>27</v>
      </c>
      <c r="D254" s="25">
        <v>1.4</v>
      </c>
      <c r="E254" s="26">
        <v>2.2000000000000002</v>
      </c>
      <c r="G254" s="17">
        <f t="shared" si="12"/>
        <v>2.1538461538461537</v>
      </c>
      <c r="H254" s="27" t="str">
        <f t="shared" si="13"/>
        <v>POSITIVO</v>
      </c>
      <c r="J254" s="17">
        <f t="shared" si="14"/>
        <v>2</v>
      </c>
    </row>
    <row r="255" spans="2:10">
      <c r="B255" t="s">
        <v>111</v>
      </c>
      <c r="C255" s="24" t="s">
        <v>27</v>
      </c>
      <c r="D255" s="25">
        <v>12.9</v>
      </c>
      <c r="E255" s="26">
        <v>18.899999999999999</v>
      </c>
      <c r="G255" s="17">
        <f t="shared" si="12"/>
        <v>19.846153846153847</v>
      </c>
      <c r="H255" s="27" t="str">
        <f t="shared" si="13"/>
        <v>NEGATIVO</v>
      </c>
      <c r="J255" s="17">
        <f t="shared" si="14"/>
        <v>18.428571428571431</v>
      </c>
    </row>
    <row r="256" spans="2:10">
      <c r="B256" t="s">
        <v>1670</v>
      </c>
      <c r="C256" s="30" t="s">
        <v>27</v>
      </c>
      <c r="D256" s="13">
        <v>5.1100000000000003</v>
      </c>
      <c r="E256" s="13">
        <v>8</v>
      </c>
      <c r="G256" s="17">
        <f t="shared" si="12"/>
        <v>7.861538461538462</v>
      </c>
      <c r="H256" s="27" t="str">
        <f t="shared" si="13"/>
        <v>POSITIVO</v>
      </c>
      <c r="J256" s="17">
        <f t="shared" si="14"/>
        <v>7.3000000000000007</v>
      </c>
    </row>
    <row r="257" spans="1:10">
      <c r="B257" t="s">
        <v>1352</v>
      </c>
      <c r="C257" s="30" t="s">
        <v>27</v>
      </c>
      <c r="D257" s="13">
        <v>12.82</v>
      </c>
      <c r="E257" s="13">
        <v>20</v>
      </c>
      <c r="G257" s="17">
        <f t="shared" si="12"/>
        <v>19.723076923076924</v>
      </c>
      <c r="H257" s="27" t="str">
        <f t="shared" si="13"/>
        <v>POSITIVO</v>
      </c>
      <c r="J257" s="17">
        <f t="shared" si="14"/>
        <v>18.314285714285717</v>
      </c>
    </row>
    <row r="258" spans="1:10">
      <c r="B258" t="s">
        <v>1055</v>
      </c>
      <c r="C258" s="24" t="s">
        <v>27</v>
      </c>
      <c r="D258" s="25">
        <v>9.51</v>
      </c>
      <c r="E258" s="26">
        <v>15</v>
      </c>
      <c r="G258" s="17">
        <f t="shared" si="12"/>
        <v>14.63076923076923</v>
      </c>
      <c r="H258" s="27" t="str">
        <f t="shared" si="13"/>
        <v>POSITIVO</v>
      </c>
      <c r="J258" s="17">
        <f t="shared" si="14"/>
        <v>13.585714285714285</v>
      </c>
    </row>
    <row r="259" spans="1:10">
      <c r="A259" s="61" t="s">
        <v>2024</v>
      </c>
      <c r="B259" t="s">
        <v>2023</v>
      </c>
      <c r="C259" s="30" t="s">
        <v>27</v>
      </c>
      <c r="D259" s="13">
        <v>22.12</v>
      </c>
      <c r="E259" s="13">
        <v>35</v>
      </c>
      <c r="G259" s="17">
        <f t="shared" si="12"/>
        <v>34.030769230769231</v>
      </c>
      <c r="H259" s="27" t="str">
        <f t="shared" si="13"/>
        <v>POSITIVO</v>
      </c>
      <c r="J259" s="17">
        <f t="shared" si="14"/>
        <v>31.600000000000005</v>
      </c>
    </row>
    <row r="260" spans="1:10">
      <c r="A260" s="61" t="s">
        <v>2022</v>
      </c>
      <c r="B260" t="s">
        <v>2021</v>
      </c>
      <c r="C260" s="24" t="s">
        <v>27</v>
      </c>
      <c r="D260" s="25">
        <v>26.34</v>
      </c>
      <c r="E260" s="26">
        <v>42</v>
      </c>
      <c r="G260" s="17">
        <f t="shared" si="12"/>
        <v>40.523076923076921</v>
      </c>
      <c r="H260" s="27" t="str">
        <f t="shared" si="13"/>
        <v>POSITIVO</v>
      </c>
      <c r="J260" s="17">
        <f t="shared" si="14"/>
        <v>37.628571428571433</v>
      </c>
    </row>
    <row r="261" spans="1:10">
      <c r="B261" t="s">
        <v>1277</v>
      </c>
      <c r="C261" s="24" t="s">
        <v>27</v>
      </c>
      <c r="D261" s="25">
        <v>0.97</v>
      </c>
      <c r="E261" s="26">
        <v>1.5</v>
      </c>
      <c r="G261" s="17">
        <f t="shared" si="12"/>
        <v>1.4923076923076921</v>
      </c>
      <c r="H261" s="27" t="str">
        <f t="shared" si="13"/>
        <v>POSITIVO</v>
      </c>
      <c r="J261" s="17">
        <f t="shared" si="14"/>
        <v>1.3857142857142857</v>
      </c>
    </row>
    <row r="262" spans="1:10">
      <c r="B262" t="s">
        <v>1278</v>
      </c>
      <c r="C262" s="24" t="s">
        <v>27</v>
      </c>
      <c r="D262" s="25">
        <v>1.55</v>
      </c>
      <c r="E262" s="25">
        <v>2.5</v>
      </c>
      <c r="G262" s="17">
        <f t="shared" si="12"/>
        <v>2.3846153846153846</v>
      </c>
      <c r="H262" s="27" t="str">
        <f t="shared" si="13"/>
        <v>POSITIVO</v>
      </c>
      <c r="J262" s="17">
        <f t="shared" si="14"/>
        <v>2.2142857142857144</v>
      </c>
    </row>
    <row r="263" spans="1:10">
      <c r="B263" t="s">
        <v>1279</v>
      </c>
      <c r="C263" s="24" t="s">
        <v>27</v>
      </c>
      <c r="D263" s="25">
        <v>2.52</v>
      </c>
      <c r="E263" s="26">
        <v>3.9</v>
      </c>
      <c r="G263" s="17">
        <f t="shared" si="12"/>
        <v>3.8769230769230769</v>
      </c>
      <c r="H263" s="27" t="str">
        <f t="shared" si="13"/>
        <v>POSITIVO</v>
      </c>
      <c r="J263" s="17">
        <f t="shared" si="14"/>
        <v>3.6</v>
      </c>
    </row>
    <row r="264" spans="1:10">
      <c r="B264" t="s">
        <v>1127</v>
      </c>
      <c r="C264" s="24" t="s">
        <v>27</v>
      </c>
      <c r="D264" s="13">
        <v>3.85</v>
      </c>
      <c r="E264" s="13">
        <v>5.95</v>
      </c>
      <c r="G264" s="17">
        <f t="shared" si="12"/>
        <v>5.9230769230769234</v>
      </c>
      <c r="H264" s="27" t="str">
        <f t="shared" si="13"/>
        <v>POSITIVO</v>
      </c>
      <c r="J264" s="17">
        <f t="shared" si="14"/>
        <v>5.5000000000000009</v>
      </c>
    </row>
    <row r="265" spans="1:10">
      <c r="B265" t="s">
        <v>1280</v>
      </c>
      <c r="C265" s="24" t="s">
        <v>27</v>
      </c>
      <c r="D265" s="25">
        <v>6.41</v>
      </c>
      <c r="E265" s="26">
        <v>9.9</v>
      </c>
      <c r="G265" s="17">
        <f t="shared" si="12"/>
        <v>9.861538461538462</v>
      </c>
      <c r="H265" s="27" t="str">
        <f t="shared" si="13"/>
        <v>POSITIVO</v>
      </c>
      <c r="J265" s="17">
        <f t="shared" si="14"/>
        <v>9.1571428571428584</v>
      </c>
    </row>
    <row r="266" spans="1:10">
      <c r="B266" t="s">
        <v>1281</v>
      </c>
      <c r="C266" s="30" t="s">
        <v>27</v>
      </c>
      <c r="D266" s="13">
        <v>7.79</v>
      </c>
      <c r="E266" s="13">
        <v>12.4</v>
      </c>
      <c r="G266" s="17">
        <f t="shared" si="12"/>
        <v>11.984615384615385</v>
      </c>
      <c r="H266" s="27" t="str">
        <f t="shared" si="13"/>
        <v>POSITIVO</v>
      </c>
      <c r="J266" s="17">
        <f t="shared" si="14"/>
        <v>11.12857142857143</v>
      </c>
    </row>
    <row r="267" spans="1:10">
      <c r="B267" t="s">
        <v>1275</v>
      </c>
      <c r="C267" s="24" t="s">
        <v>27</v>
      </c>
      <c r="D267" s="25">
        <v>2.25</v>
      </c>
      <c r="E267" s="26">
        <v>3.5</v>
      </c>
      <c r="G267" s="17">
        <f t="shared" si="12"/>
        <v>3.4615384615384612</v>
      </c>
      <c r="H267" s="27" t="str">
        <f t="shared" si="13"/>
        <v>POSITIVO</v>
      </c>
      <c r="J267" s="17">
        <f t="shared" si="14"/>
        <v>3.2142857142857144</v>
      </c>
    </row>
    <row r="268" spans="1:10">
      <c r="B268" t="s">
        <v>1276</v>
      </c>
      <c r="C268" s="24" t="s">
        <v>27</v>
      </c>
      <c r="D268" s="25">
        <v>3.32</v>
      </c>
      <c r="E268" s="26">
        <v>5.2</v>
      </c>
      <c r="G268" s="17">
        <f t="shared" si="12"/>
        <v>5.1076923076923073</v>
      </c>
      <c r="H268" s="27" t="str">
        <f t="shared" si="13"/>
        <v>POSITIVO</v>
      </c>
      <c r="J268" s="17">
        <f t="shared" si="14"/>
        <v>4.7428571428571429</v>
      </c>
    </row>
    <row r="269" spans="1:10">
      <c r="B269" t="s">
        <v>112</v>
      </c>
      <c r="C269" s="24" t="s">
        <v>27</v>
      </c>
      <c r="D269" s="25">
        <v>2.8</v>
      </c>
      <c r="E269" s="26">
        <v>4.3499999999999996</v>
      </c>
      <c r="G269" s="17">
        <f t="shared" si="12"/>
        <v>4.3076923076923075</v>
      </c>
      <c r="H269" s="27" t="str">
        <f t="shared" si="13"/>
        <v>POSITIVO</v>
      </c>
      <c r="J269" s="17">
        <f t="shared" si="14"/>
        <v>4</v>
      </c>
    </row>
    <row r="270" spans="1:10">
      <c r="B270" t="s">
        <v>113</v>
      </c>
      <c r="C270" s="24" t="s">
        <v>27</v>
      </c>
      <c r="D270" s="25">
        <v>4.5999999999999996</v>
      </c>
      <c r="E270" s="26">
        <v>7.1</v>
      </c>
      <c r="G270" s="17">
        <f t="shared" si="12"/>
        <v>7.0769230769230758</v>
      </c>
      <c r="H270" s="27" t="str">
        <f t="shared" si="13"/>
        <v>POSITIVO</v>
      </c>
      <c r="J270" s="17">
        <f t="shared" si="14"/>
        <v>6.5714285714285712</v>
      </c>
    </row>
    <row r="271" spans="1:10">
      <c r="B271" t="s">
        <v>1282</v>
      </c>
      <c r="C271" s="24" t="s">
        <v>27</v>
      </c>
      <c r="D271" s="25">
        <v>2.08</v>
      </c>
      <c r="E271" s="26">
        <v>3.2</v>
      </c>
      <c r="G271" s="17">
        <f t="shared" si="12"/>
        <v>3.2</v>
      </c>
      <c r="H271" s="27" t="str">
        <f t="shared" si="13"/>
        <v>POSITIVO</v>
      </c>
      <c r="J271" s="17">
        <f t="shared" si="14"/>
        <v>2.9714285714285715</v>
      </c>
    </row>
    <row r="272" spans="1:10">
      <c r="B272" t="s">
        <v>114</v>
      </c>
      <c r="C272" s="24" t="s">
        <v>27</v>
      </c>
      <c r="D272" s="25">
        <v>49.2</v>
      </c>
      <c r="E272" s="25">
        <v>72</v>
      </c>
      <c r="G272" s="17">
        <f t="shared" si="12"/>
        <v>75.692307692307693</v>
      </c>
      <c r="H272" s="27" t="str">
        <f t="shared" si="13"/>
        <v>NEGATIVO</v>
      </c>
      <c r="J272" s="17">
        <f t="shared" si="14"/>
        <v>70.285714285714292</v>
      </c>
    </row>
    <row r="273" spans="1:10">
      <c r="B273" t="s">
        <v>115</v>
      </c>
      <c r="C273" s="24" t="s">
        <v>27</v>
      </c>
      <c r="D273" s="25">
        <v>26.4</v>
      </c>
      <c r="E273" s="26">
        <v>36.799999999999997</v>
      </c>
      <c r="G273" s="17">
        <f t="shared" si="12"/>
        <v>40.615384615384613</v>
      </c>
      <c r="H273" s="27" t="str">
        <f t="shared" si="13"/>
        <v>NEGATIVO</v>
      </c>
      <c r="J273" s="17">
        <f t="shared" si="14"/>
        <v>37.714285714285715</v>
      </c>
    </row>
    <row r="274" spans="1:10">
      <c r="B274" t="s">
        <v>1015</v>
      </c>
      <c r="C274" s="30" t="s">
        <v>27</v>
      </c>
      <c r="D274" s="13">
        <v>14.26</v>
      </c>
      <c r="E274" s="13">
        <v>22</v>
      </c>
      <c r="G274" s="17">
        <f t="shared" si="12"/>
        <v>21.938461538461539</v>
      </c>
      <c r="H274" s="27" t="str">
        <f t="shared" si="13"/>
        <v>POSITIVO</v>
      </c>
      <c r="J274" s="17">
        <f t="shared" si="14"/>
        <v>20.371428571428574</v>
      </c>
    </row>
    <row r="275" spans="1:10">
      <c r="B275" t="s">
        <v>1010</v>
      </c>
      <c r="C275" s="24" t="s">
        <v>27</v>
      </c>
      <c r="D275" s="25">
        <v>16.579999999999998</v>
      </c>
      <c r="E275" s="26">
        <v>26.8</v>
      </c>
      <c r="G275" s="17">
        <f t="shared" si="12"/>
        <v>25.507692307692306</v>
      </c>
      <c r="H275" s="27" t="str">
        <f t="shared" si="13"/>
        <v>POSITIVO</v>
      </c>
      <c r="J275" s="17">
        <f t="shared" si="14"/>
        <v>23.685714285714283</v>
      </c>
    </row>
    <row r="276" spans="1:10">
      <c r="B276" t="s">
        <v>1011</v>
      </c>
      <c r="C276" s="24" t="s">
        <v>27</v>
      </c>
      <c r="D276" s="25">
        <v>17.5</v>
      </c>
      <c r="E276" s="26">
        <v>30</v>
      </c>
      <c r="G276" s="17">
        <f t="shared" si="12"/>
        <v>26.923076923076923</v>
      </c>
      <c r="H276" s="27" t="str">
        <f t="shared" si="13"/>
        <v>POSITIVO</v>
      </c>
      <c r="J276" s="17">
        <f t="shared" si="14"/>
        <v>25</v>
      </c>
    </row>
    <row r="277" spans="1:10">
      <c r="B277" t="s">
        <v>1012</v>
      </c>
      <c r="C277" s="24" t="s">
        <v>27</v>
      </c>
      <c r="D277" s="25">
        <v>25.88</v>
      </c>
      <c r="E277" s="26">
        <v>40.799999999999997</v>
      </c>
      <c r="G277" s="17">
        <f t="shared" si="12"/>
        <v>39.815384615384616</v>
      </c>
      <c r="H277" s="27" t="str">
        <f t="shared" si="13"/>
        <v>POSITIVO</v>
      </c>
      <c r="J277" s="17">
        <f t="shared" si="14"/>
        <v>36.971428571428575</v>
      </c>
    </row>
    <row r="278" spans="1:10">
      <c r="B278" t="s">
        <v>1013</v>
      </c>
      <c r="C278" s="24" t="s">
        <v>27</v>
      </c>
      <c r="D278" s="25">
        <v>28.62</v>
      </c>
      <c r="E278" s="26">
        <v>45</v>
      </c>
      <c r="G278" s="17">
        <f t="shared" ref="G278:G335" si="15">(D278/65%)</f>
        <v>44.030769230769231</v>
      </c>
      <c r="H278" s="27" t="str">
        <f t="shared" ref="H278:H335" si="16">IF(E278&gt;=G278,"POSITIVO","NEGATIVO")</f>
        <v>POSITIVO</v>
      </c>
      <c r="J278" s="17">
        <f t="shared" ref="J278:J335" si="17">D278/70%</f>
        <v>40.885714285714293</v>
      </c>
    </row>
    <row r="279" spans="1:10">
      <c r="B279" t="s">
        <v>1014</v>
      </c>
      <c r="C279" s="24" t="s">
        <v>27</v>
      </c>
      <c r="D279" s="25">
        <v>41.13</v>
      </c>
      <c r="E279" s="26">
        <v>55.6</v>
      </c>
      <c r="G279" s="17">
        <f t="shared" si="15"/>
        <v>63.276923076923076</v>
      </c>
      <c r="H279" s="27" t="str">
        <f t="shared" si="16"/>
        <v>NEGATIVO</v>
      </c>
      <c r="J279" s="17">
        <f t="shared" si="17"/>
        <v>58.757142857142867</v>
      </c>
    </row>
    <row r="280" spans="1:10">
      <c r="B280" t="s">
        <v>116</v>
      </c>
      <c r="C280" s="24" t="s">
        <v>27</v>
      </c>
      <c r="D280" s="25">
        <v>6.4</v>
      </c>
      <c r="E280" s="26">
        <v>10.199999999999999</v>
      </c>
      <c r="G280" s="17">
        <f t="shared" si="15"/>
        <v>9.8461538461538467</v>
      </c>
      <c r="H280" s="27" t="str">
        <f t="shared" si="16"/>
        <v>POSITIVO</v>
      </c>
      <c r="J280" s="17">
        <f t="shared" si="17"/>
        <v>9.1428571428571441</v>
      </c>
    </row>
    <row r="281" spans="1:10">
      <c r="B281" t="s">
        <v>117</v>
      </c>
      <c r="C281" s="24" t="s">
        <v>27</v>
      </c>
      <c r="D281" s="25">
        <v>8.1999999999999993</v>
      </c>
      <c r="E281" s="26">
        <v>11.5</v>
      </c>
      <c r="G281" s="17">
        <f t="shared" si="15"/>
        <v>12.615384615384613</v>
      </c>
      <c r="H281" s="27" t="str">
        <f t="shared" si="16"/>
        <v>NEGATIVO</v>
      </c>
      <c r="J281" s="17">
        <f t="shared" si="17"/>
        <v>11.714285714285714</v>
      </c>
    </row>
    <row r="282" spans="1:10">
      <c r="B282" t="s">
        <v>754</v>
      </c>
      <c r="C282" s="24" t="s">
        <v>27</v>
      </c>
      <c r="D282" s="25">
        <v>12</v>
      </c>
      <c r="E282" s="26">
        <v>20</v>
      </c>
      <c r="G282" s="17">
        <f t="shared" si="15"/>
        <v>18.46153846153846</v>
      </c>
      <c r="H282" s="27" t="str">
        <f t="shared" si="16"/>
        <v>POSITIVO</v>
      </c>
      <c r="J282" s="17">
        <f t="shared" si="17"/>
        <v>17.142857142857142</v>
      </c>
    </row>
    <row r="283" spans="1:10">
      <c r="B283" t="s">
        <v>897</v>
      </c>
      <c r="C283" s="24" t="s">
        <v>27</v>
      </c>
      <c r="D283" s="13">
        <v>11.2</v>
      </c>
      <c r="E283" s="13">
        <v>17.899999999999999</v>
      </c>
      <c r="G283" s="17">
        <f t="shared" si="15"/>
        <v>17.23076923076923</v>
      </c>
      <c r="H283" s="27" t="str">
        <f t="shared" si="16"/>
        <v>POSITIVO</v>
      </c>
      <c r="J283" s="17">
        <f t="shared" si="17"/>
        <v>16</v>
      </c>
    </row>
    <row r="284" spans="1:10">
      <c r="B284" t="s">
        <v>898</v>
      </c>
      <c r="C284" s="24" t="s">
        <v>27</v>
      </c>
      <c r="D284" s="13">
        <v>18.899999999999999</v>
      </c>
      <c r="E284" s="13">
        <v>30</v>
      </c>
      <c r="G284" s="17">
        <f t="shared" si="15"/>
        <v>29.076923076923073</v>
      </c>
      <c r="H284" s="27" t="str">
        <f t="shared" si="16"/>
        <v>POSITIVO</v>
      </c>
      <c r="J284" s="17">
        <f t="shared" si="17"/>
        <v>27</v>
      </c>
    </row>
    <row r="285" spans="1:10">
      <c r="B285" t="s">
        <v>935</v>
      </c>
      <c r="C285" s="24" t="s">
        <v>27</v>
      </c>
      <c r="D285" s="13">
        <v>36.9</v>
      </c>
      <c r="E285" s="13">
        <v>58.9</v>
      </c>
      <c r="G285" s="17">
        <f t="shared" si="15"/>
        <v>56.769230769230766</v>
      </c>
      <c r="H285" s="27" t="str">
        <f t="shared" si="16"/>
        <v>POSITIVO</v>
      </c>
      <c r="J285" s="17">
        <f t="shared" si="17"/>
        <v>52.714285714285715</v>
      </c>
    </row>
    <row r="286" spans="1:10">
      <c r="B286" t="s">
        <v>1325</v>
      </c>
      <c r="C286" s="30" t="s">
        <v>46</v>
      </c>
      <c r="D286" s="13">
        <v>132.59</v>
      </c>
      <c r="E286" s="13">
        <v>205</v>
      </c>
      <c r="G286" s="17">
        <f t="shared" si="15"/>
        <v>203.98461538461538</v>
      </c>
      <c r="H286" s="27" t="str">
        <f t="shared" si="16"/>
        <v>POSITIVO</v>
      </c>
      <c r="J286" s="17">
        <f t="shared" si="17"/>
        <v>189.41428571428574</v>
      </c>
    </row>
    <row r="287" spans="1:10">
      <c r="B287" t="s">
        <v>1324</v>
      </c>
      <c r="C287" s="30" t="s">
        <v>46</v>
      </c>
      <c r="D287" s="13">
        <v>784.99</v>
      </c>
      <c r="E287" s="13">
        <v>1250</v>
      </c>
      <c r="G287" s="17">
        <f t="shared" si="15"/>
        <v>1207.676923076923</v>
      </c>
      <c r="H287" s="27" t="str">
        <f t="shared" si="16"/>
        <v>POSITIVO</v>
      </c>
      <c r="J287" s="17">
        <f t="shared" si="17"/>
        <v>1121.4142857142858</v>
      </c>
    </row>
    <row r="288" spans="1:10">
      <c r="A288" s="61" t="s">
        <v>2387</v>
      </c>
      <c r="B288" t="s">
        <v>2381</v>
      </c>
      <c r="C288" s="30" t="s">
        <v>27</v>
      </c>
      <c r="D288" s="13">
        <v>206.8</v>
      </c>
      <c r="E288" s="13">
        <v>320</v>
      </c>
      <c r="G288" s="17">
        <f t="shared" si="15"/>
        <v>318.15384615384619</v>
      </c>
      <c r="H288" s="27" t="str">
        <f t="shared" si="16"/>
        <v>POSITIVO</v>
      </c>
      <c r="J288" s="17">
        <f t="shared" si="17"/>
        <v>295.42857142857144</v>
      </c>
    </row>
    <row r="289" spans="1:10">
      <c r="B289" t="s">
        <v>1972</v>
      </c>
      <c r="C289" s="30" t="s">
        <v>27</v>
      </c>
      <c r="D289" s="13">
        <v>334.12</v>
      </c>
      <c r="E289" s="13">
        <v>515</v>
      </c>
      <c r="G289" s="17">
        <f t="shared" si="15"/>
        <v>514.03076923076924</v>
      </c>
      <c r="H289" s="27" t="str">
        <f t="shared" si="16"/>
        <v>POSITIVO</v>
      </c>
      <c r="J289" s="17">
        <f t="shared" si="17"/>
        <v>477.31428571428575</v>
      </c>
    </row>
    <row r="290" spans="1:10">
      <c r="B290" t="s">
        <v>118</v>
      </c>
      <c r="C290" s="24" t="s">
        <v>46</v>
      </c>
      <c r="D290" s="25">
        <v>305.82</v>
      </c>
      <c r="E290" s="26">
        <v>475</v>
      </c>
      <c r="G290" s="17">
        <f t="shared" si="15"/>
        <v>470.49230769230769</v>
      </c>
      <c r="H290" s="27" t="str">
        <f t="shared" si="16"/>
        <v>POSITIVO</v>
      </c>
      <c r="J290" s="17">
        <f t="shared" si="17"/>
        <v>436.8857142857143</v>
      </c>
    </row>
    <row r="291" spans="1:10">
      <c r="B291" t="s">
        <v>119</v>
      </c>
      <c r="C291" s="24" t="s">
        <v>46</v>
      </c>
      <c r="D291" s="25">
        <v>169</v>
      </c>
      <c r="E291" s="25">
        <v>260</v>
      </c>
      <c r="G291" s="17">
        <f t="shared" si="15"/>
        <v>260</v>
      </c>
      <c r="H291" s="27" t="str">
        <f t="shared" si="16"/>
        <v>POSITIVO</v>
      </c>
      <c r="J291" s="17">
        <f t="shared" si="17"/>
        <v>241.42857142857144</v>
      </c>
    </row>
    <row r="292" spans="1:10">
      <c r="B292" t="s">
        <v>120</v>
      </c>
      <c r="C292" s="24" t="s">
        <v>46</v>
      </c>
      <c r="D292" s="25">
        <v>179.34</v>
      </c>
      <c r="E292" s="25">
        <v>280</v>
      </c>
      <c r="G292" s="17">
        <f t="shared" si="15"/>
        <v>275.90769230769229</v>
      </c>
      <c r="H292" s="27" t="str">
        <f t="shared" si="16"/>
        <v>POSITIVO</v>
      </c>
      <c r="J292" s="17">
        <f t="shared" si="17"/>
        <v>256.20000000000005</v>
      </c>
    </row>
    <row r="293" spans="1:10">
      <c r="B293" t="s">
        <v>121</v>
      </c>
      <c r="C293" s="24" t="s">
        <v>46</v>
      </c>
      <c r="D293" s="25">
        <v>190</v>
      </c>
      <c r="E293" s="25">
        <v>300</v>
      </c>
      <c r="G293" s="17">
        <f t="shared" si="15"/>
        <v>292.30769230769232</v>
      </c>
      <c r="H293" s="27" t="str">
        <f t="shared" si="16"/>
        <v>POSITIVO</v>
      </c>
      <c r="J293" s="17">
        <f t="shared" si="17"/>
        <v>271.42857142857144</v>
      </c>
    </row>
    <row r="294" spans="1:10">
      <c r="B294" t="s">
        <v>1041</v>
      </c>
      <c r="C294" s="30" t="s">
        <v>27</v>
      </c>
      <c r="D294" s="13">
        <v>23.87</v>
      </c>
      <c r="E294" s="13">
        <v>38.9</v>
      </c>
      <c r="G294" s="17">
        <f t="shared" si="15"/>
        <v>36.723076923076924</v>
      </c>
      <c r="H294" s="27" t="str">
        <f t="shared" si="16"/>
        <v>POSITIVO</v>
      </c>
      <c r="J294" s="17">
        <f t="shared" si="17"/>
        <v>34.1</v>
      </c>
    </row>
    <row r="295" spans="1:10">
      <c r="B295" t="s">
        <v>122</v>
      </c>
      <c r="C295" s="24" t="s">
        <v>27</v>
      </c>
      <c r="D295" s="25">
        <v>29.84</v>
      </c>
      <c r="E295" s="26">
        <v>46</v>
      </c>
      <c r="G295" s="17">
        <f t="shared" si="15"/>
        <v>45.907692307692308</v>
      </c>
      <c r="H295" s="27" t="str">
        <f t="shared" si="16"/>
        <v>POSITIVO</v>
      </c>
      <c r="J295" s="17">
        <f t="shared" si="17"/>
        <v>42.628571428571433</v>
      </c>
    </row>
    <row r="296" spans="1:10">
      <c r="B296" t="s">
        <v>1040</v>
      </c>
      <c r="C296" s="30" t="s">
        <v>27</v>
      </c>
      <c r="D296" s="13">
        <v>65.760000000000005</v>
      </c>
      <c r="E296" s="13">
        <v>95.8</v>
      </c>
      <c r="G296" s="17">
        <f t="shared" si="15"/>
        <v>101.16923076923078</v>
      </c>
      <c r="H296" s="27" t="str">
        <f t="shared" si="16"/>
        <v>NEGATIVO</v>
      </c>
      <c r="J296" s="17">
        <f t="shared" si="17"/>
        <v>93.94285714285715</v>
      </c>
    </row>
    <row r="297" spans="1:10">
      <c r="B297" t="s">
        <v>1039</v>
      </c>
      <c r="C297" s="30" t="s">
        <v>27</v>
      </c>
      <c r="D297" s="13">
        <v>42.84</v>
      </c>
      <c r="E297" s="13">
        <v>66</v>
      </c>
      <c r="G297" s="17">
        <f t="shared" si="15"/>
        <v>65.907692307692315</v>
      </c>
      <c r="H297" s="27" t="str">
        <f t="shared" si="16"/>
        <v>POSITIVO</v>
      </c>
      <c r="J297" s="17">
        <f t="shared" si="17"/>
        <v>61.20000000000001</v>
      </c>
    </row>
    <row r="298" spans="1:10">
      <c r="B298" t="s">
        <v>1347</v>
      </c>
      <c r="C298" s="30" t="s">
        <v>27</v>
      </c>
      <c r="D298" s="34">
        <v>57.17</v>
      </c>
      <c r="E298" s="13">
        <v>92</v>
      </c>
      <c r="G298" s="17">
        <f t="shared" si="15"/>
        <v>87.953846153846158</v>
      </c>
      <c r="H298" s="27" t="str">
        <f t="shared" si="16"/>
        <v>POSITIVO</v>
      </c>
      <c r="J298" s="17">
        <f t="shared" si="17"/>
        <v>81.671428571428578</v>
      </c>
    </row>
    <row r="299" spans="1:10">
      <c r="B299" t="s">
        <v>1348</v>
      </c>
      <c r="C299" s="30" t="s">
        <v>27</v>
      </c>
      <c r="D299" s="13">
        <v>54.03</v>
      </c>
      <c r="E299" s="13">
        <v>90</v>
      </c>
      <c r="G299" s="17">
        <f t="shared" si="15"/>
        <v>83.123076923076923</v>
      </c>
      <c r="H299" s="27" t="str">
        <f t="shared" si="16"/>
        <v>POSITIVO</v>
      </c>
      <c r="J299" s="17">
        <f t="shared" si="17"/>
        <v>77.185714285714297</v>
      </c>
    </row>
    <row r="300" spans="1:10">
      <c r="B300" t="s">
        <v>878</v>
      </c>
      <c r="C300" s="30" t="s">
        <v>27</v>
      </c>
      <c r="D300" s="34">
        <v>105</v>
      </c>
      <c r="E300" s="13">
        <v>162</v>
      </c>
      <c r="G300" s="17">
        <f t="shared" si="15"/>
        <v>161.53846153846152</v>
      </c>
      <c r="H300" s="27" t="str">
        <f t="shared" si="16"/>
        <v>POSITIVO</v>
      </c>
      <c r="J300" s="17">
        <f t="shared" si="17"/>
        <v>150</v>
      </c>
    </row>
    <row r="301" spans="1:10">
      <c r="B301" t="s">
        <v>123</v>
      </c>
      <c r="C301" s="24" t="s">
        <v>27</v>
      </c>
      <c r="D301" s="25">
        <v>136.49</v>
      </c>
      <c r="E301" s="26">
        <v>210</v>
      </c>
      <c r="G301" s="17">
        <f t="shared" si="15"/>
        <v>209.98461538461538</v>
      </c>
      <c r="H301" s="27" t="str">
        <f t="shared" si="16"/>
        <v>POSITIVO</v>
      </c>
      <c r="J301" s="17">
        <f t="shared" si="17"/>
        <v>194.98571428571432</v>
      </c>
    </row>
    <row r="302" spans="1:10">
      <c r="B302" t="s">
        <v>124</v>
      </c>
      <c r="C302" s="24" t="s">
        <v>27</v>
      </c>
      <c r="D302" s="25">
        <v>70.89</v>
      </c>
      <c r="E302" s="26">
        <v>110</v>
      </c>
      <c r="G302" s="17">
        <f t="shared" si="15"/>
        <v>109.06153846153846</v>
      </c>
      <c r="H302" s="27" t="str">
        <f t="shared" si="16"/>
        <v>POSITIVO</v>
      </c>
      <c r="J302" s="17">
        <f t="shared" si="17"/>
        <v>101.27142857142857</v>
      </c>
    </row>
    <row r="303" spans="1:10">
      <c r="A303" s="61" t="s">
        <v>2409</v>
      </c>
      <c r="B303" t="s">
        <v>2408</v>
      </c>
      <c r="C303" s="24" t="s">
        <v>27</v>
      </c>
      <c r="D303" s="25">
        <v>1.05</v>
      </c>
      <c r="E303" s="26">
        <v>2</v>
      </c>
      <c r="G303" s="17">
        <f t="shared" si="15"/>
        <v>1.6153846153846154</v>
      </c>
      <c r="H303" s="27" t="str">
        <f t="shared" si="16"/>
        <v>POSITIVO</v>
      </c>
      <c r="J303" s="17">
        <f t="shared" si="17"/>
        <v>1.5000000000000002</v>
      </c>
    </row>
    <row r="304" spans="1:10">
      <c r="B304" t="s">
        <v>125</v>
      </c>
      <c r="C304" s="24" t="s">
        <v>27</v>
      </c>
      <c r="D304" s="25">
        <v>2.21</v>
      </c>
      <c r="E304" s="26">
        <v>3.5</v>
      </c>
      <c r="G304" s="17">
        <f t="shared" si="15"/>
        <v>3.4</v>
      </c>
      <c r="H304" s="27" t="str">
        <f t="shared" si="16"/>
        <v>POSITIVO</v>
      </c>
      <c r="J304" s="17">
        <f t="shared" si="17"/>
        <v>3.1571428571428575</v>
      </c>
    </row>
    <row r="305" spans="2:10">
      <c r="B305" t="s">
        <v>126</v>
      </c>
      <c r="C305" s="24" t="s">
        <v>27</v>
      </c>
      <c r="D305" s="25">
        <v>0.91</v>
      </c>
      <c r="E305" s="26">
        <v>1.5</v>
      </c>
      <c r="G305" s="17">
        <f t="shared" si="15"/>
        <v>1.4</v>
      </c>
      <c r="H305" s="27" t="str">
        <f t="shared" si="16"/>
        <v>POSITIVO</v>
      </c>
      <c r="J305" s="17">
        <f t="shared" si="17"/>
        <v>1.3</v>
      </c>
    </row>
    <row r="306" spans="2:10">
      <c r="B306" t="s">
        <v>840</v>
      </c>
      <c r="C306" s="24" t="s">
        <v>27</v>
      </c>
      <c r="D306" s="25">
        <v>109.9</v>
      </c>
      <c r="E306" s="25">
        <v>170</v>
      </c>
      <c r="G306" s="17">
        <f t="shared" si="15"/>
        <v>169.07692307692307</v>
      </c>
      <c r="H306" s="27" t="str">
        <f t="shared" si="16"/>
        <v>POSITIVO</v>
      </c>
      <c r="J306" s="17">
        <f t="shared" si="17"/>
        <v>157.00000000000003</v>
      </c>
    </row>
    <row r="307" spans="2:10">
      <c r="B307" t="s">
        <v>127</v>
      </c>
      <c r="C307" s="24" t="s">
        <v>27</v>
      </c>
      <c r="D307" s="25">
        <v>86.12</v>
      </c>
      <c r="E307" s="26">
        <v>145</v>
      </c>
      <c r="G307" s="17">
        <f t="shared" si="15"/>
        <v>132.49230769230769</v>
      </c>
      <c r="H307" s="27" t="str">
        <f t="shared" si="16"/>
        <v>POSITIVO</v>
      </c>
      <c r="J307" s="17">
        <f t="shared" si="17"/>
        <v>123.02857142857144</v>
      </c>
    </row>
    <row r="308" spans="2:10">
      <c r="B308" t="s">
        <v>1849</v>
      </c>
      <c r="C308" s="24" t="s">
        <v>27</v>
      </c>
      <c r="D308" s="25">
        <v>2.8</v>
      </c>
      <c r="E308" s="26">
        <v>6</v>
      </c>
      <c r="G308" s="17">
        <f t="shared" si="15"/>
        <v>4.3076923076923075</v>
      </c>
      <c r="H308" s="27" t="str">
        <f t="shared" si="16"/>
        <v>POSITIVO</v>
      </c>
      <c r="J308" s="17">
        <f t="shared" si="17"/>
        <v>4</v>
      </c>
    </row>
    <row r="309" spans="2:10">
      <c r="B309" t="s">
        <v>1563</v>
      </c>
      <c r="C309" s="24" t="s">
        <v>27</v>
      </c>
      <c r="D309" s="25">
        <v>8.9</v>
      </c>
      <c r="E309" s="26">
        <v>15.8</v>
      </c>
      <c r="G309" s="17">
        <f t="shared" si="15"/>
        <v>13.692307692307692</v>
      </c>
      <c r="H309" s="27" t="str">
        <f t="shared" si="16"/>
        <v>POSITIVO</v>
      </c>
      <c r="J309" s="17">
        <f t="shared" si="17"/>
        <v>12.714285714285715</v>
      </c>
    </row>
    <row r="310" spans="2:10">
      <c r="B310" t="s">
        <v>128</v>
      </c>
      <c r="C310" s="24" t="s">
        <v>27</v>
      </c>
      <c r="D310" s="25">
        <v>12.2</v>
      </c>
      <c r="E310" s="26">
        <v>19.5</v>
      </c>
      <c r="G310" s="17">
        <f t="shared" si="15"/>
        <v>18.769230769230766</v>
      </c>
      <c r="H310" s="27" t="str">
        <f t="shared" si="16"/>
        <v>POSITIVO</v>
      </c>
      <c r="J310" s="17">
        <f t="shared" si="17"/>
        <v>17.428571428571427</v>
      </c>
    </row>
    <row r="311" spans="2:10">
      <c r="B311" t="s">
        <v>129</v>
      </c>
      <c r="C311" s="24" t="s">
        <v>27</v>
      </c>
      <c r="D311" s="25">
        <v>63.29</v>
      </c>
      <c r="E311" s="26">
        <v>85.5</v>
      </c>
      <c r="G311" s="17">
        <f t="shared" si="15"/>
        <v>97.369230769230768</v>
      </c>
      <c r="H311" s="27" t="str">
        <f t="shared" si="16"/>
        <v>NEGATIVO</v>
      </c>
      <c r="J311" s="17">
        <f t="shared" si="17"/>
        <v>90.414285714285725</v>
      </c>
    </row>
    <row r="312" spans="2:10">
      <c r="B312" t="s">
        <v>130</v>
      </c>
      <c r="C312" s="24" t="s">
        <v>27</v>
      </c>
      <c r="D312" s="25">
        <v>37.89</v>
      </c>
      <c r="E312" s="26">
        <v>59</v>
      </c>
      <c r="G312" s="17">
        <f t="shared" si="15"/>
        <v>58.292307692307688</v>
      </c>
      <c r="H312" s="27" t="str">
        <f t="shared" si="16"/>
        <v>POSITIVO</v>
      </c>
      <c r="J312" s="17">
        <f t="shared" si="17"/>
        <v>54.128571428571433</v>
      </c>
    </row>
    <row r="313" spans="2:10">
      <c r="B313" t="s">
        <v>131</v>
      </c>
      <c r="C313" s="24" t="s">
        <v>27</v>
      </c>
      <c r="D313" s="25">
        <v>32.64</v>
      </c>
      <c r="E313" s="26">
        <v>51</v>
      </c>
      <c r="G313" s="17">
        <f t="shared" si="15"/>
        <v>50.215384615384615</v>
      </c>
      <c r="H313" s="27" t="str">
        <f t="shared" si="16"/>
        <v>POSITIVO</v>
      </c>
      <c r="J313" s="17">
        <f t="shared" si="17"/>
        <v>46.628571428571433</v>
      </c>
    </row>
    <row r="314" spans="2:10">
      <c r="B314" t="s">
        <v>1527</v>
      </c>
      <c r="C314" s="30" t="s">
        <v>27</v>
      </c>
      <c r="D314" s="13">
        <v>11.75</v>
      </c>
      <c r="E314" s="13">
        <v>19.899999999999999</v>
      </c>
      <c r="G314" s="17">
        <f t="shared" si="15"/>
        <v>18.076923076923077</v>
      </c>
      <c r="H314" s="27" t="str">
        <f t="shared" si="16"/>
        <v>POSITIVO</v>
      </c>
      <c r="J314" s="17">
        <f t="shared" si="17"/>
        <v>16.785714285714288</v>
      </c>
    </row>
    <row r="315" spans="2:10">
      <c r="B315" t="s">
        <v>1261</v>
      </c>
      <c r="C315" s="24" t="s">
        <v>27</v>
      </c>
      <c r="D315" s="25">
        <v>28.12</v>
      </c>
      <c r="E315" s="26">
        <v>45.8</v>
      </c>
      <c r="G315" s="17">
        <f t="shared" si="15"/>
        <v>43.261538461538464</v>
      </c>
      <c r="H315" s="27" t="str">
        <f t="shared" si="16"/>
        <v>POSITIVO</v>
      </c>
      <c r="J315" s="17">
        <f t="shared" si="17"/>
        <v>40.171428571428578</v>
      </c>
    </row>
    <row r="316" spans="2:10">
      <c r="B316" t="s">
        <v>1262</v>
      </c>
      <c r="C316" s="24" t="s">
        <v>27</v>
      </c>
      <c r="D316" s="25">
        <v>66.83</v>
      </c>
      <c r="E316" s="26">
        <v>91.5</v>
      </c>
      <c r="G316" s="17">
        <f t="shared" si="15"/>
        <v>102.81538461538462</v>
      </c>
      <c r="H316" s="27" t="str">
        <f t="shared" si="16"/>
        <v>NEGATIVO</v>
      </c>
      <c r="J316" s="17">
        <f t="shared" si="17"/>
        <v>95.471428571428575</v>
      </c>
    </row>
    <row r="317" spans="2:10">
      <c r="B317" t="s">
        <v>1528</v>
      </c>
      <c r="C317" s="30" t="s">
        <v>27</v>
      </c>
      <c r="D317" s="13">
        <v>15.37</v>
      </c>
      <c r="E317" s="13">
        <v>24.8</v>
      </c>
      <c r="G317" s="17">
        <f t="shared" si="15"/>
        <v>23.646153846153844</v>
      </c>
      <c r="H317" s="27" t="str">
        <f t="shared" si="16"/>
        <v>POSITIVO</v>
      </c>
      <c r="J317" s="17">
        <f t="shared" si="17"/>
        <v>21.957142857142859</v>
      </c>
    </row>
    <row r="318" spans="2:10">
      <c r="B318" t="s">
        <v>132</v>
      </c>
      <c r="C318" s="24" t="s">
        <v>46</v>
      </c>
      <c r="D318" s="25">
        <v>15.72</v>
      </c>
      <c r="E318" s="26">
        <v>20</v>
      </c>
      <c r="G318" s="17">
        <f t="shared" si="15"/>
        <v>24.184615384615384</v>
      </c>
      <c r="H318" s="27" t="str">
        <f t="shared" si="16"/>
        <v>NEGATIVO</v>
      </c>
      <c r="J318" s="17">
        <f t="shared" si="17"/>
        <v>22.457142857142859</v>
      </c>
    </row>
    <row r="319" spans="2:10">
      <c r="B319" t="s">
        <v>133</v>
      </c>
      <c r="C319" s="24" t="s">
        <v>46</v>
      </c>
      <c r="D319" s="25">
        <v>11.07</v>
      </c>
      <c r="E319" s="26">
        <v>16</v>
      </c>
      <c r="G319" s="17">
        <f t="shared" si="15"/>
        <v>17.030769230769231</v>
      </c>
      <c r="H319" s="27" t="str">
        <f t="shared" si="16"/>
        <v>NEGATIVO</v>
      </c>
      <c r="J319" s="17">
        <f t="shared" si="17"/>
        <v>15.814285714285715</v>
      </c>
    </row>
    <row r="320" spans="2:10">
      <c r="B320" t="s">
        <v>922</v>
      </c>
      <c r="C320" s="24" t="s">
        <v>46</v>
      </c>
      <c r="D320" s="25">
        <v>10.119999999999999</v>
      </c>
      <c r="E320" s="26">
        <v>15</v>
      </c>
      <c r="G320" s="17">
        <f t="shared" si="15"/>
        <v>15.569230769230767</v>
      </c>
      <c r="H320" s="27" t="str">
        <f t="shared" si="16"/>
        <v>NEGATIVO</v>
      </c>
      <c r="J320" s="17">
        <f t="shared" si="17"/>
        <v>14.457142857142857</v>
      </c>
    </row>
    <row r="321" spans="2:10">
      <c r="B321" t="s">
        <v>1730</v>
      </c>
      <c r="C321" s="30" t="s">
        <v>27</v>
      </c>
      <c r="D321" s="13">
        <v>39.9</v>
      </c>
      <c r="E321" s="13">
        <v>65</v>
      </c>
      <c r="G321" s="17">
        <f t="shared" si="15"/>
        <v>61.38461538461538</v>
      </c>
      <c r="H321" s="27" t="str">
        <f t="shared" si="16"/>
        <v>POSITIVO</v>
      </c>
      <c r="J321" s="17">
        <f t="shared" si="17"/>
        <v>57</v>
      </c>
    </row>
    <row r="322" spans="2:10">
      <c r="B322" t="s">
        <v>134</v>
      </c>
      <c r="C322" s="24" t="s">
        <v>46</v>
      </c>
      <c r="D322" s="25">
        <v>40.43</v>
      </c>
      <c r="E322" s="26">
        <v>72</v>
      </c>
      <c r="G322" s="17">
        <f t="shared" si="15"/>
        <v>62.199999999999996</v>
      </c>
      <c r="H322" s="27" t="str">
        <f t="shared" si="16"/>
        <v>POSITIVO</v>
      </c>
      <c r="J322" s="17">
        <f t="shared" si="17"/>
        <v>57.75714285714286</v>
      </c>
    </row>
    <row r="323" spans="2:10">
      <c r="B323" t="s">
        <v>135</v>
      </c>
      <c r="C323" s="24" t="s">
        <v>46</v>
      </c>
      <c r="D323" s="25">
        <v>142.35</v>
      </c>
      <c r="E323" s="26">
        <v>220</v>
      </c>
      <c r="G323" s="17">
        <f t="shared" si="15"/>
        <v>218.99999999999997</v>
      </c>
      <c r="H323" s="27" t="str">
        <f t="shared" si="16"/>
        <v>POSITIVO</v>
      </c>
      <c r="J323" s="17">
        <f t="shared" si="17"/>
        <v>203.35714285714286</v>
      </c>
    </row>
    <row r="324" spans="2:10">
      <c r="B324" t="s">
        <v>136</v>
      </c>
      <c r="C324" s="24" t="s">
        <v>46</v>
      </c>
      <c r="D324" s="25">
        <v>15.75</v>
      </c>
      <c r="E324" s="26">
        <v>34</v>
      </c>
      <c r="G324" s="17">
        <f t="shared" si="15"/>
        <v>24.23076923076923</v>
      </c>
      <c r="H324" s="27" t="str">
        <f t="shared" si="16"/>
        <v>POSITIVO</v>
      </c>
      <c r="J324" s="17">
        <f t="shared" si="17"/>
        <v>22.5</v>
      </c>
    </row>
    <row r="325" spans="2:10">
      <c r="B325" t="s">
        <v>137</v>
      </c>
      <c r="C325" s="24" t="s">
        <v>46</v>
      </c>
      <c r="D325" s="25">
        <v>33.47</v>
      </c>
      <c r="E325" s="26">
        <v>53</v>
      </c>
      <c r="G325" s="17">
        <f t="shared" si="15"/>
        <v>51.492307692307691</v>
      </c>
      <c r="H325" s="27" t="str">
        <f t="shared" si="16"/>
        <v>POSITIVO</v>
      </c>
      <c r="J325" s="17">
        <f t="shared" si="17"/>
        <v>47.814285714285717</v>
      </c>
    </row>
    <row r="326" spans="2:10">
      <c r="B326" t="s">
        <v>138</v>
      </c>
      <c r="C326" s="24" t="s">
        <v>46</v>
      </c>
      <c r="D326" s="25">
        <v>36.18</v>
      </c>
      <c r="E326" s="26">
        <v>62</v>
      </c>
      <c r="G326" s="17">
        <f t="shared" si="15"/>
        <v>55.661538461538463</v>
      </c>
      <c r="H326" s="27" t="str">
        <f t="shared" si="16"/>
        <v>POSITIVO</v>
      </c>
      <c r="J326" s="17">
        <f t="shared" si="17"/>
        <v>51.68571428571429</v>
      </c>
    </row>
    <row r="327" spans="2:10">
      <c r="B327" t="s">
        <v>1588</v>
      </c>
      <c r="C327" s="30" t="s">
        <v>46</v>
      </c>
      <c r="D327" s="13">
        <v>12.34</v>
      </c>
      <c r="E327" s="13">
        <v>23</v>
      </c>
      <c r="G327" s="17">
        <f t="shared" si="15"/>
        <v>18.984615384615385</v>
      </c>
      <c r="H327" s="27" t="str">
        <f t="shared" si="16"/>
        <v>POSITIVO</v>
      </c>
      <c r="J327" s="17">
        <f t="shared" si="17"/>
        <v>17.62857142857143</v>
      </c>
    </row>
    <row r="328" spans="2:10">
      <c r="B328" t="s">
        <v>1587</v>
      </c>
      <c r="C328" s="30" t="s">
        <v>46</v>
      </c>
      <c r="D328" s="13">
        <v>44.69</v>
      </c>
      <c r="E328" s="13">
        <v>70</v>
      </c>
      <c r="G328" s="17">
        <f t="shared" si="15"/>
        <v>68.753846153846155</v>
      </c>
      <c r="H328" s="27" t="str">
        <f t="shared" si="16"/>
        <v>POSITIVO</v>
      </c>
      <c r="J328" s="17">
        <f t="shared" si="17"/>
        <v>63.842857142857142</v>
      </c>
    </row>
    <row r="329" spans="2:10">
      <c r="B329" t="s">
        <v>1804</v>
      </c>
      <c r="C329" s="24" t="s">
        <v>27</v>
      </c>
      <c r="D329" s="25">
        <v>4.96</v>
      </c>
      <c r="E329" s="26">
        <v>8</v>
      </c>
      <c r="G329" s="17">
        <f t="shared" si="15"/>
        <v>7.6307692307692303</v>
      </c>
      <c r="H329" s="27" t="str">
        <f t="shared" si="16"/>
        <v>POSITIVO</v>
      </c>
      <c r="J329" s="17">
        <f t="shared" si="17"/>
        <v>7.0857142857142863</v>
      </c>
    </row>
    <row r="330" spans="2:10">
      <c r="B330" t="s">
        <v>1872</v>
      </c>
      <c r="C330" s="30" t="s">
        <v>27</v>
      </c>
      <c r="D330" s="13">
        <v>2.95</v>
      </c>
      <c r="E330" s="13">
        <v>5.2</v>
      </c>
      <c r="G330" s="17">
        <f t="shared" si="15"/>
        <v>4.5384615384615383</v>
      </c>
      <c r="H330" s="27" t="str">
        <f t="shared" si="16"/>
        <v>POSITIVO</v>
      </c>
      <c r="J330" s="17">
        <f t="shared" si="17"/>
        <v>4.2142857142857144</v>
      </c>
    </row>
    <row r="331" spans="2:10">
      <c r="B331" t="s">
        <v>139</v>
      </c>
      <c r="C331" s="24" t="s">
        <v>27</v>
      </c>
      <c r="D331" s="25">
        <v>4.9000000000000004</v>
      </c>
      <c r="E331" s="26">
        <v>9</v>
      </c>
      <c r="G331" s="17">
        <f t="shared" si="15"/>
        <v>7.5384615384615383</v>
      </c>
      <c r="H331" s="27" t="str">
        <f t="shared" si="16"/>
        <v>POSITIVO</v>
      </c>
      <c r="J331" s="17">
        <f t="shared" si="17"/>
        <v>7.0000000000000009</v>
      </c>
    </row>
    <row r="332" spans="2:10">
      <c r="B332" t="s">
        <v>928</v>
      </c>
      <c r="C332" s="30" t="s">
        <v>27</v>
      </c>
      <c r="D332" s="13">
        <v>16.899999999999999</v>
      </c>
      <c r="E332" s="13">
        <v>26.9</v>
      </c>
      <c r="G332" s="17">
        <f t="shared" si="15"/>
        <v>25.999999999999996</v>
      </c>
      <c r="H332" s="27" t="str">
        <f t="shared" si="16"/>
        <v>POSITIVO</v>
      </c>
      <c r="J332" s="17">
        <f t="shared" si="17"/>
        <v>24.142857142857142</v>
      </c>
    </row>
    <row r="333" spans="2:10">
      <c r="B333" t="s">
        <v>1848</v>
      </c>
      <c r="C333" s="30" t="s">
        <v>27</v>
      </c>
      <c r="D333" s="13">
        <v>1</v>
      </c>
      <c r="E333" s="13">
        <v>1.8</v>
      </c>
      <c r="G333" s="17">
        <f t="shared" si="15"/>
        <v>1.5384615384615383</v>
      </c>
      <c r="H333" s="27" t="str">
        <f t="shared" si="16"/>
        <v>POSITIVO</v>
      </c>
      <c r="J333" s="17">
        <f t="shared" si="17"/>
        <v>1.4285714285714286</v>
      </c>
    </row>
    <row r="334" spans="2:10">
      <c r="B334" t="s">
        <v>1257</v>
      </c>
      <c r="C334" s="30" t="s">
        <v>27</v>
      </c>
      <c r="D334" s="13">
        <v>1.37</v>
      </c>
      <c r="E334" s="13">
        <v>2.5</v>
      </c>
      <c r="G334" s="17">
        <f t="shared" si="15"/>
        <v>2.1076923076923078</v>
      </c>
      <c r="H334" s="27" t="str">
        <f t="shared" si="16"/>
        <v>POSITIVO</v>
      </c>
      <c r="J334" s="17">
        <f t="shared" si="17"/>
        <v>1.9571428571428575</v>
      </c>
    </row>
    <row r="335" spans="2:10">
      <c r="B335" t="s">
        <v>1603</v>
      </c>
      <c r="C335" s="30" t="s">
        <v>27</v>
      </c>
      <c r="D335" s="13">
        <v>1.85</v>
      </c>
      <c r="E335" s="13">
        <v>3</v>
      </c>
      <c r="G335" s="17">
        <f t="shared" si="15"/>
        <v>2.8461538461538463</v>
      </c>
      <c r="H335" s="27" t="str">
        <f t="shared" si="16"/>
        <v>POSITIVO</v>
      </c>
      <c r="J335" s="17">
        <f t="shared" si="17"/>
        <v>2.6428571428571432</v>
      </c>
    </row>
    <row r="336" spans="2:10">
      <c r="B336" t="s">
        <v>1258</v>
      </c>
      <c r="C336" s="30" t="s">
        <v>27</v>
      </c>
      <c r="D336" s="13">
        <v>2.19</v>
      </c>
      <c r="E336" s="13">
        <v>3.5</v>
      </c>
      <c r="G336" s="17">
        <f t="shared" ref="G336:G398" si="18">(D336/65%)</f>
        <v>3.3692307692307693</v>
      </c>
      <c r="H336" s="27" t="str">
        <f t="shared" ref="H336:H398" si="19">IF(E336&gt;=G336,"POSITIVO","NEGATIVO")</f>
        <v>POSITIVO</v>
      </c>
      <c r="J336" s="17">
        <f t="shared" ref="J336:J398" si="20">D336/70%</f>
        <v>3.1285714285714286</v>
      </c>
    </row>
    <row r="337" spans="2:10">
      <c r="B337" t="s">
        <v>140</v>
      </c>
      <c r="C337" s="24" t="s">
        <v>27</v>
      </c>
      <c r="D337" s="25">
        <v>8.27</v>
      </c>
      <c r="E337" s="25">
        <v>15</v>
      </c>
      <c r="G337" s="17">
        <f t="shared" si="18"/>
        <v>12.723076923076922</v>
      </c>
      <c r="H337" s="27" t="str">
        <f t="shared" si="19"/>
        <v>POSITIVO</v>
      </c>
      <c r="J337" s="17">
        <f t="shared" si="20"/>
        <v>11.814285714285715</v>
      </c>
    </row>
    <row r="338" spans="2:10">
      <c r="B338" t="s">
        <v>755</v>
      </c>
      <c r="C338" s="24" t="s">
        <v>27</v>
      </c>
      <c r="D338" s="25">
        <v>11.5</v>
      </c>
      <c r="E338" s="25">
        <v>18</v>
      </c>
      <c r="G338" s="17">
        <f t="shared" si="18"/>
        <v>17.692307692307693</v>
      </c>
      <c r="H338" s="27" t="str">
        <f t="shared" si="19"/>
        <v>POSITIVO</v>
      </c>
      <c r="J338" s="17">
        <f t="shared" si="20"/>
        <v>16.428571428571431</v>
      </c>
    </row>
    <row r="339" spans="2:10">
      <c r="B339" t="s">
        <v>756</v>
      </c>
      <c r="C339" s="24" t="s">
        <v>27</v>
      </c>
      <c r="D339" s="25">
        <v>7.65</v>
      </c>
      <c r="E339" s="25">
        <v>12.5</v>
      </c>
      <c r="G339" s="17">
        <f t="shared" si="18"/>
        <v>11.76923076923077</v>
      </c>
      <c r="H339" s="27" t="str">
        <f t="shared" si="19"/>
        <v>POSITIVO</v>
      </c>
      <c r="J339" s="17">
        <f t="shared" si="20"/>
        <v>10.928571428571431</v>
      </c>
    </row>
    <row r="340" spans="2:10">
      <c r="B340" t="s">
        <v>141</v>
      </c>
      <c r="C340" s="24" t="s">
        <v>27</v>
      </c>
      <c r="D340" s="25">
        <v>11.32</v>
      </c>
      <c r="E340" s="26">
        <v>18</v>
      </c>
      <c r="G340" s="17">
        <f t="shared" si="18"/>
        <v>17.415384615384614</v>
      </c>
      <c r="H340" s="27" t="str">
        <f t="shared" si="19"/>
        <v>POSITIVO</v>
      </c>
      <c r="J340" s="17">
        <f t="shared" si="20"/>
        <v>16.171428571428574</v>
      </c>
    </row>
    <row r="341" spans="2:10">
      <c r="B341" t="s">
        <v>757</v>
      </c>
      <c r="C341" s="24" t="s">
        <v>27</v>
      </c>
      <c r="D341" s="25">
        <v>11.8</v>
      </c>
      <c r="E341" s="26">
        <v>18.5</v>
      </c>
      <c r="G341" s="17">
        <f t="shared" si="18"/>
        <v>18.153846153846153</v>
      </c>
      <c r="H341" s="27" t="str">
        <f t="shared" si="19"/>
        <v>POSITIVO</v>
      </c>
      <c r="J341" s="17">
        <f t="shared" si="20"/>
        <v>16.857142857142858</v>
      </c>
    </row>
    <row r="342" spans="2:10">
      <c r="B342" t="s">
        <v>1064</v>
      </c>
      <c r="C342" s="24" t="s">
        <v>46</v>
      </c>
      <c r="D342" s="25">
        <v>1.85</v>
      </c>
      <c r="E342" s="26">
        <v>3</v>
      </c>
      <c r="G342" s="17">
        <f t="shared" si="18"/>
        <v>2.8461538461538463</v>
      </c>
      <c r="H342" s="27" t="str">
        <f t="shared" si="19"/>
        <v>POSITIVO</v>
      </c>
      <c r="J342" s="17">
        <f t="shared" si="20"/>
        <v>2.6428571428571432</v>
      </c>
    </row>
    <row r="343" spans="2:10">
      <c r="B343" t="s">
        <v>957</v>
      </c>
      <c r="C343" s="24" t="s">
        <v>27</v>
      </c>
      <c r="D343" s="25">
        <v>6.5</v>
      </c>
      <c r="E343" s="25">
        <v>10</v>
      </c>
      <c r="G343" s="17">
        <f t="shared" si="18"/>
        <v>10</v>
      </c>
      <c r="H343" s="27" t="str">
        <f t="shared" si="19"/>
        <v>POSITIVO</v>
      </c>
      <c r="J343" s="17">
        <f t="shared" si="20"/>
        <v>9.2857142857142865</v>
      </c>
    </row>
    <row r="344" spans="2:10">
      <c r="B344" t="s">
        <v>142</v>
      </c>
      <c r="C344" s="24" t="s">
        <v>27</v>
      </c>
      <c r="D344" s="25">
        <v>4.9000000000000004</v>
      </c>
      <c r="E344" s="25">
        <v>8</v>
      </c>
      <c r="G344" s="17">
        <f t="shared" si="18"/>
        <v>7.5384615384615383</v>
      </c>
      <c r="H344" s="27" t="str">
        <f t="shared" si="19"/>
        <v>POSITIVO</v>
      </c>
      <c r="J344" s="17">
        <f t="shared" si="20"/>
        <v>7.0000000000000009</v>
      </c>
    </row>
    <row r="345" spans="2:10">
      <c r="B345" t="s">
        <v>1231</v>
      </c>
      <c r="C345" s="30" t="s">
        <v>27</v>
      </c>
      <c r="D345" s="13">
        <v>152.66999999999999</v>
      </c>
      <c r="E345" s="13">
        <v>235</v>
      </c>
      <c r="G345" s="17">
        <f t="shared" si="18"/>
        <v>234.87692307692305</v>
      </c>
      <c r="H345" s="27" t="str">
        <f t="shared" si="19"/>
        <v>POSITIVO</v>
      </c>
      <c r="J345" s="17">
        <f t="shared" si="20"/>
        <v>218.1</v>
      </c>
    </row>
    <row r="346" spans="2:10">
      <c r="B346" t="s">
        <v>1831</v>
      </c>
      <c r="C346" s="30" t="s">
        <v>27</v>
      </c>
      <c r="D346" s="13">
        <v>247.26</v>
      </c>
      <c r="E346" s="13">
        <v>385</v>
      </c>
      <c r="G346" s="17">
        <f t="shared" si="18"/>
        <v>380.4</v>
      </c>
      <c r="H346" s="27" t="str">
        <f t="shared" si="19"/>
        <v>POSITIVO</v>
      </c>
      <c r="J346" s="17">
        <f t="shared" si="20"/>
        <v>353.22857142857146</v>
      </c>
    </row>
    <row r="347" spans="2:10">
      <c r="B347" t="s">
        <v>1058</v>
      </c>
      <c r="C347" s="24" t="s">
        <v>27</v>
      </c>
      <c r="D347" s="25">
        <v>5</v>
      </c>
      <c r="E347" s="26">
        <v>10</v>
      </c>
      <c r="G347" s="17">
        <f t="shared" si="18"/>
        <v>7.6923076923076916</v>
      </c>
      <c r="H347" s="27" t="str">
        <f t="shared" si="19"/>
        <v>POSITIVO</v>
      </c>
      <c r="J347" s="17">
        <f t="shared" si="20"/>
        <v>7.1428571428571432</v>
      </c>
    </row>
    <row r="348" spans="2:10">
      <c r="B348" t="s">
        <v>143</v>
      </c>
      <c r="C348" s="24" t="s">
        <v>27</v>
      </c>
      <c r="D348" s="25">
        <v>6.12</v>
      </c>
      <c r="E348" s="26">
        <v>12</v>
      </c>
      <c r="G348" s="17">
        <f t="shared" si="18"/>
        <v>9.4153846153846157</v>
      </c>
      <c r="H348" s="27" t="str">
        <f t="shared" si="19"/>
        <v>POSITIVO</v>
      </c>
      <c r="J348" s="17">
        <f t="shared" si="20"/>
        <v>8.7428571428571438</v>
      </c>
    </row>
    <row r="349" spans="2:10">
      <c r="B349" t="s">
        <v>144</v>
      </c>
      <c r="C349" s="24" t="s">
        <v>27</v>
      </c>
      <c r="D349" s="25">
        <v>6.06</v>
      </c>
      <c r="E349" s="26">
        <v>13</v>
      </c>
      <c r="G349" s="17">
        <f t="shared" si="18"/>
        <v>9.3230769230769219</v>
      </c>
      <c r="H349" s="27" t="str">
        <f t="shared" si="19"/>
        <v>POSITIVO</v>
      </c>
      <c r="J349" s="17">
        <f t="shared" si="20"/>
        <v>8.6571428571428566</v>
      </c>
    </row>
    <row r="350" spans="2:10">
      <c r="B350" t="s">
        <v>145</v>
      </c>
      <c r="C350" s="24" t="s">
        <v>27</v>
      </c>
      <c r="D350" s="25">
        <v>8.56</v>
      </c>
      <c r="E350" s="26">
        <v>15</v>
      </c>
      <c r="G350" s="17">
        <f t="shared" si="18"/>
        <v>13.16923076923077</v>
      </c>
      <c r="H350" s="27" t="str">
        <f t="shared" si="19"/>
        <v>POSITIVO</v>
      </c>
      <c r="J350" s="17">
        <f t="shared" si="20"/>
        <v>12.22857142857143</v>
      </c>
    </row>
    <row r="351" spans="2:10">
      <c r="B351" t="s">
        <v>146</v>
      </c>
      <c r="C351" s="24" t="s">
        <v>27</v>
      </c>
      <c r="D351" s="25">
        <v>3.51</v>
      </c>
      <c r="E351" s="26">
        <v>5.5</v>
      </c>
      <c r="G351" s="17">
        <f t="shared" si="18"/>
        <v>5.3999999999999995</v>
      </c>
      <c r="H351" s="27" t="str">
        <f t="shared" si="19"/>
        <v>POSITIVO</v>
      </c>
      <c r="J351" s="17">
        <f t="shared" si="20"/>
        <v>5.0142857142857142</v>
      </c>
    </row>
    <row r="352" spans="2:10">
      <c r="B352" t="s">
        <v>147</v>
      </c>
      <c r="C352" s="24" t="s">
        <v>27</v>
      </c>
      <c r="D352" s="25">
        <v>10.86</v>
      </c>
      <c r="E352" s="26">
        <v>18</v>
      </c>
      <c r="G352" s="17">
        <f t="shared" si="18"/>
        <v>16.707692307692305</v>
      </c>
      <c r="H352" s="27" t="str">
        <f t="shared" si="19"/>
        <v>POSITIVO</v>
      </c>
      <c r="J352" s="17">
        <f t="shared" si="20"/>
        <v>15.514285714285714</v>
      </c>
    </row>
    <row r="353" spans="2:10">
      <c r="B353" t="s">
        <v>148</v>
      </c>
      <c r="C353" s="24" t="s">
        <v>27</v>
      </c>
      <c r="D353" s="25">
        <v>7.59</v>
      </c>
      <c r="E353" s="26">
        <v>11.9</v>
      </c>
      <c r="G353" s="17">
        <f t="shared" si="18"/>
        <v>11.676923076923076</v>
      </c>
      <c r="H353" s="27" t="str">
        <f t="shared" si="19"/>
        <v>POSITIVO</v>
      </c>
      <c r="J353" s="17">
        <f t="shared" si="20"/>
        <v>10.842857142857143</v>
      </c>
    </row>
    <row r="354" spans="2:10">
      <c r="B354" t="s">
        <v>149</v>
      </c>
      <c r="C354" s="24" t="s">
        <v>27</v>
      </c>
      <c r="D354" s="25">
        <v>5</v>
      </c>
      <c r="E354" s="26">
        <v>7.8</v>
      </c>
      <c r="G354" s="17">
        <f t="shared" si="18"/>
        <v>7.6923076923076916</v>
      </c>
      <c r="H354" s="27" t="str">
        <f t="shared" si="19"/>
        <v>POSITIVO</v>
      </c>
      <c r="J354" s="17">
        <f t="shared" si="20"/>
        <v>7.1428571428571432</v>
      </c>
    </row>
    <row r="355" spans="2:10">
      <c r="B355" t="s">
        <v>150</v>
      </c>
      <c r="C355" s="24" t="s">
        <v>27</v>
      </c>
      <c r="D355" s="25">
        <v>6.64</v>
      </c>
      <c r="E355" s="26">
        <v>10.5</v>
      </c>
      <c r="G355" s="17">
        <f t="shared" si="18"/>
        <v>10.215384615384615</v>
      </c>
      <c r="H355" s="27" t="str">
        <f t="shared" si="19"/>
        <v>POSITIVO</v>
      </c>
      <c r="J355" s="17">
        <f t="shared" si="20"/>
        <v>9.4857142857142858</v>
      </c>
    </row>
    <row r="356" spans="2:10">
      <c r="B356" t="s">
        <v>1922</v>
      </c>
      <c r="C356" s="24" t="s">
        <v>27</v>
      </c>
      <c r="D356" s="25">
        <v>8.14</v>
      </c>
      <c r="E356" s="26">
        <v>13</v>
      </c>
      <c r="G356" s="17">
        <f t="shared" si="18"/>
        <v>12.523076923076923</v>
      </c>
      <c r="H356" s="27" t="str">
        <f t="shared" si="19"/>
        <v>POSITIVO</v>
      </c>
      <c r="J356" s="17">
        <f t="shared" si="20"/>
        <v>11.62857142857143</v>
      </c>
    </row>
    <row r="357" spans="2:10">
      <c r="B357" t="s">
        <v>1265</v>
      </c>
      <c r="C357" s="30" t="s">
        <v>27</v>
      </c>
      <c r="D357" s="13">
        <v>14.31</v>
      </c>
      <c r="E357" s="13">
        <v>22.5</v>
      </c>
      <c r="G357" s="17">
        <f t="shared" si="18"/>
        <v>22.015384615384615</v>
      </c>
      <c r="H357" s="27" t="str">
        <f t="shared" si="19"/>
        <v>POSITIVO</v>
      </c>
      <c r="J357" s="17">
        <f t="shared" si="20"/>
        <v>20.442857142857147</v>
      </c>
    </row>
    <row r="358" spans="2:10">
      <c r="B358" t="s">
        <v>151</v>
      </c>
      <c r="C358" s="24" t="s">
        <v>27</v>
      </c>
      <c r="D358" s="25">
        <v>7.75</v>
      </c>
      <c r="E358" s="26">
        <v>11.95</v>
      </c>
      <c r="G358" s="17">
        <f t="shared" si="18"/>
        <v>11.923076923076923</v>
      </c>
      <c r="H358" s="27" t="str">
        <f t="shared" si="19"/>
        <v>POSITIVO</v>
      </c>
      <c r="J358" s="17">
        <f t="shared" si="20"/>
        <v>11.071428571428573</v>
      </c>
    </row>
    <row r="359" spans="2:10">
      <c r="B359" t="s">
        <v>932</v>
      </c>
      <c r="C359" s="30" t="s">
        <v>27</v>
      </c>
      <c r="D359" s="13">
        <v>22.9</v>
      </c>
      <c r="E359" s="13">
        <v>36.9</v>
      </c>
      <c r="G359" s="17">
        <f t="shared" si="18"/>
        <v>35.230769230769226</v>
      </c>
      <c r="H359" s="27" t="str">
        <f t="shared" si="19"/>
        <v>POSITIVO</v>
      </c>
      <c r="J359" s="17">
        <f t="shared" si="20"/>
        <v>32.714285714285715</v>
      </c>
    </row>
    <row r="360" spans="2:10">
      <c r="B360" t="s">
        <v>152</v>
      </c>
      <c r="C360" s="24" t="s">
        <v>27</v>
      </c>
      <c r="D360" s="25">
        <v>107.16</v>
      </c>
      <c r="E360" s="26">
        <v>165</v>
      </c>
      <c r="G360" s="17">
        <f t="shared" si="18"/>
        <v>164.86153846153846</v>
      </c>
      <c r="H360" s="27" t="str">
        <f t="shared" si="19"/>
        <v>POSITIVO</v>
      </c>
      <c r="J360" s="17">
        <f t="shared" si="20"/>
        <v>153.08571428571429</v>
      </c>
    </row>
    <row r="361" spans="2:10">
      <c r="B361" t="s">
        <v>153</v>
      </c>
      <c r="C361" s="24" t="s">
        <v>27</v>
      </c>
      <c r="D361" s="25">
        <v>4.6900000000000004</v>
      </c>
      <c r="E361" s="26">
        <v>8</v>
      </c>
      <c r="G361" s="17">
        <f t="shared" si="18"/>
        <v>7.2153846153846155</v>
      </c>
      <c r="H361" s="27" t="str">
        <f t="shared" si="19"/>
        <v>POSITIVO</v>
      </c>
      <c r="J361" s="17">
        <f t="shared" si="20"/>
        <v>6.7000000000000011</v>
      </c>
    </row>
    <row r="362" spans="2:10">
      <c r="B362" t="s">
        <v>154</v>
      </c>
      <c r="C362" s="24" t="s">
        <v>27</v>
      </c>
      <c r="D362" s="25">
        <v>2.17</v>
      </c>
      <c r="E362" s="26">
        <v>5</v>
      </c>
      <c r="G362" s="17">
        <f t="shared" si="18"/>
        <v>3.3384615384615381</v>
      </c>
      <c r="H362" s="27" t="str">
        <f t="shared" si="19"/>
        <v>POSITIVO</v>
      </c>
      <c r="J362" s="17">
        <f t="shared" si="20"/>
        <v>3.1</v>
      </c>
    </row>
    <row r="363" spans="2:10">
      <c r="B363" t="s">
        <v>1356</v>
      </c>
      <c r="C363" s="30" t="s">
        <v>27</v>
      </c>
      <c r="D363" s="13">
        <v>45.07</v>
      </c>
      <c r="E363" s="13">
        <v>73</v>
      </c>
      <c r="G363" s="17">
        <f t="shared" si="18"/>
        <v>69.33846153846153</v>
      </c>
      <c r="H363" s="27" t="str">
        <f t="shared" si="19"/>
        <v>POSITIVO</v>
      </c>
      <c r="J363" s="17">
        <f t="shared" si="20"/>
        <v>64.385714285714286</v>
      </c>
    </row>
    <row r="364" spans="2:10">
      <c r="B364" t="s">
        <v>155</v>
      </c>
      <c r="C364" s="24" t="s">
        <v>27</v>
      </c>
      <c r="D364" s="25">
        <v>16.899999999999999</v>
      </c>
      <c r="E364" s="26">
        <v>27</v>
      </c>
      <c r="G364" s="17">
        <f t="shared" si="18"/>
        <v>25.999999999999996</v>
      </c>
      <c r="H364" s="27" t="str">
        <f t="shared" si="19"/>
        <v>POSITIVO</v>
      </c>
      <c r="J364" s="17">
        <f t="shared" si="20"/>
        <v>24.142857142857142</v>
      </c>
    </row>
    <row r="365" spans="2:10">
      <c r="B365" t="s">
        <v>156</v>
      </c>
      <c r="C365" s="24" t="s">
        <v>27</v>
      </c>
      <c r="D365" s="25">
        <v>23.9</v>
      </c>
      <c r="E365" s="26">
        <v>35</v>
      </c>
      <c r="G365" s="17">
        <f t="shared" si="18"/>
        <v>36.769230769230766</v>
      </c>
      <c r="H365" s="27" t="str">
        <f t="shared" si="19"/>
        <v>NEGATIVO</v>
      </c>
      <c r="J365" s="17">
        <f t="shared" si="20"/>
        <v>34.142857142857146</v>
      </c>
    </row>
    <row r="366" spans="2:10">
      <c r="B366" t="s">
        <v>157</v>
      </c>
      <c r="C366" s="24" t="s">
        <v>27</v>
      </c>
      <c r="D366" s="25">
        <v>21.9</v>
      </c>
      <c r="E366" s="26">
        <v>30.5</v>
      </c>
      <c r="G366" s="17">
        <f t="shared" si="18"/>
        <v>33.692307692307686</v>
      </c>
      <c r="H366" s="27" t="str">
        <f t="shared" si="19"/>
        <v>NEGATIVO</v>
      </c>
      <c r="J366" s="17">
        <f t="shared" si="20"/>
        <v>31.285714285714285</v>
      </c>
    </row>
    <row r="367" spans="2:10">
      <c r="B367" t="s">
        <v>1108</v>
      </c>
      <c r="C367" s="30" t="s">
        <v>27</v>
      </c>
      <c r="D367" s="13">
        <v>19.899999999999999</v>
      </c>
      <c r="E367" s="13">
        <v>32</v>
      </c>
      <c r="G367" s="17">
        <f t="shared" si="18"/>
        <v>30.615384615384613</v>
      </c>
      <c r="H367" s="27" t="str">
        <f t="shared" si="19"/>
        <v>POSITIVO</v>
      </c>
      <c r="J367" s="17">
        <f t="shared" si="20"/>
        <v>28.428571428571427</v>
      </c>
    </row>
    <row r="368" spans="2:10">
      <c r="B368" t="s">
        <v>158</v>
      </c>
      <c r="C368" s="24" t="s">
        <v>27</v>
      </c>
      <c r="D368" s="25">
        <v>17.899999999999999</v>
      </c>
      <c r="E368" s="26">
        <v>28</v>
      </c>
      <c r="G368" s="17">
        <f t="shared" si="18"/>
        <v>27.538461538461537</v>
      </c>
      <c r="H368" s="27" t="str">
        <f t="shared" si="19"/>
        <v>POSITIVO</v>
      </c>
      <c r="J368" s="17">
        <f t="shared" si="20"/>
        <v>25.571428571428569</v>
      </c>
    </row>
    <row r="369" spans="1:10">
      <c r="B369" t="s">
        <v>159</v>
      </c>
      <c r="C369" s="24" t="s">
        <v>27</v>
      </c>
      <c r="D369" s="25">
        <v>17.899999999999999</v>
      </c>
      <c r="E369" s="26">
        <v>26.5</v>
      </c>
      <c r="G369" s="17">
        <f t="shared" si="18"/>
        <v>27.538461538461537</v>
      </c>
      <c r="H369" s="27" t="str">
        <f t="shared" si="19"/>
        <v>NEGATIVO</v>
      </c>
      <c r="J369" s="17">
        <f t="shared" si="20"/>
        <v>25.571428571428569</v>
      </c>
    </row>
    <row r="370" spans="1:10">
      <c r="B370" t="s">
        <v>160</v>
      </c>
      <c r="C370" s="24" t="s">
        <v>27</v>
      </c>
      <c r="D370" s="25">
        <v>18.899999999999999</v>
      </c>
      <c r="E370" s="26">
        <v>27.8</v>
      </c>
      <c r="G370" s="17">
        <f t="shared" si="18"/>
        <v>29.076923076923073</v>
      </c>
      <c r="H370" s="27" t="str">
        <f t="shared" si="19"/>
        <v>NEGATIVO</v>
      </c>
      <c r="J370" s="17">
        <f t="shared" si="20"/>
        <v>27</v>
      </c>
    </row>
    <row r="371" spans="1:10">
      <c r="B371" t="s">
        <v>161</v>
      </c>
      <c r="C371" s="24" t="s">
        <v>27</v>
      </c>
      <c r="D371" s="25">
        <v>18.899999999999999</v>
      </c>
      <c r="E371" s="26">
        <v>30</v>
      </c>
      <c r="G371" s="17">
        <f t="shared" si="18"/>
        <v>29.076923076923073</v>
      </c>
      <c r="H371" s="27" t="str">
        <f t="shared" si="19"/>
        <v>POSITIVO</v>
      </c>
      <c r="J371" s="17">
        <f t="shared" si="20"/>
        <v>27</v>
      </c>
    </row>
    <row r="372" spans="1:10">
      <c r="B372" t="s">
        <v>162</v>
      </c>
      <c r="C372" s="24" t="s">
        <v>27</v>
      </c>
      <c r="D372" s="25">
        <v>32.9</v>
      </c>
      <c r="E372" s="26">
        <v>51</v>
      </c>
      <c r="G372" s="17">
        <f t="shared" si="18"/>
        <v>50.615384615384613</v>
      </c>
      <c r="H372" s="27" t="str">
        <f t="shared" si="19"/>
        <v>POSITIVO</v>
      </c>
      <c r="J372" s="17">
        <f t="shared" si="20"/>
        <v>47</v>
      </c>
    </row>
    <row r="373" spans="1:10">
      <c r="B373" t="s">
        <v>1197</v>
      </c>
      <c r="C373" s="30" t="s">
        <v>27</v>
      </c>
      <c r="D373" s="13">
        <v>6.4</v>
      </c>
      <c r="E373" s="13">
        <v>10</v>
      </c>
      <c r="G373" s="17">
        <f t="shared" si="18"/>
        <v>9.8461538461538467</v>
      </c>
      <c r="H373" s="27" t="str">
        <f t="shared" si="19"/>
        <v>POSITIVO</v>
      </c>
      <c r="J373" s="17">
        <f t="shared" si="20"/>
        <v>9.1428571428571441</v>
      </c>
    </row>
    <row r="374" spans="1:10">
      <c r="B374" t="s">
        <v>1198</v>
      </c>
      <c r="C374" s="30" t="s">
        <v>27</v>
      </c>
      <c r="D374" s="13">
        <v>7.8</v>
      </c>
      <c r="E374" s="13">
        <v>12.5</v>
      </c>
      <c r="G374" s="17">
        <f t="shared" si="18"/>
        <v>12</v>
      </c>
      <c r="H374" s="27" t="str">
        <f t="shared" si="19"/>
        <v>POSITIVO</v>
      </c>
      <c r="J374" s="17">
        <f t="shared" si="20"/>
        <v>11.142857142857144</v>
      </c>
    </row>
    <row r="375" spans="1:10">
      <c r="A375" s="61" t="s">
        <v>2018</v>
      </c>
      <c r="B375" t="s">
        <v>1982</v>
      </c>
      <c r="C375" s="24" t="s">
        <v>27</v>
      </c>
      <c r="D375" s="25">
        <v>28.5</v>
      </c>
      <c r="E375" s="26">
        <v>45</v>
      </c>
      <c r="G375" s="17">
        <f t="shared" si="18"/>
        <v>43.846153846153847</v>
      </c>
      <c r="H375" s="27" t="str">
        <f t="shared" si="19"/>
        <v>POSITIVO</v>
      </c>
      <c r="J375" s="17">
        <f t="shared" si="20"/>
        <v>40.714285714285715</v>
      </c>
    </row>
    <row r="376" spans="1:10">
      <c r="B376" t="s">
        <v>163</v>
      </c>
      <c r="C376" s="24" t="s">
        <v>27</v>
      </c>
      <c r="D376" s="25">
        <v>18.37</v>
      </c>
      <c r="E376" s="26">
        <v>29</v>
      </c>
      <c r="G376" s="17">
        <f t="shared" si="18"/>
        <v>28.261538461538461</v>
      </c>
      <c r="H376" s="27" t="str">
        <f t="shared" si="19"/>
        <v>POSITIVO</v>
      </c>
      <c r="J376" s="17">
        <f t="shared" si="20"/>
        <v>26.242857142857147</v>
      </c>
    </row>
    <row r="377" spans="1:10">
      <c r="B377" t="s">
        <v>1089</v>
      </c>
      <c r="C377" s="30" t="s">
        <v>27</v>
      </c>
      <c r="D377" s="13">
        <v>13.1</v>
      </c>
      <c r="E377" s="13">
        <v>21</v>
      </c>
      <c r="G377" s="17">
        <f t="shared" si="18"/>
        <v>20.153846153846153</v>
      </c>
      <c r="H377" s="27" t="str">
        <f t="shared" si="19"/>
        <v>POSITIVO</v>
      </c>
      <c r="J377" s="17">
        <f t="shared" si="20"/>
        <v>18.714285714285715</v>
      </c>
    </row>
    <row r="378" spans="1:10">
      <c r="B378" t="s">
        <v>1090</v>
      </c>
      <c r="C378" s="30" t="s">
        <v>27</v>
      </c>
      <c r="D378" s="13">
        <v>13.3</v>
      </c>
      <c r="E378" s="13">
        <v>21</v>
      </c>
      <c r="G378" s="17">
        <f t="shared" si="18"/>
        <v>20.461538461538463</v>
      </c>
      <c r="H378" s="27" t="str">
        <f t="shared" si="19"/>
        <v>POSITIVO</v>
      </c>
      <c r="J378" s="17">
        <f t="shared" si="20"/>
        <v>19.000000000000004</v>
      </c>
    </row>
    <row r="379" spans="1:10">
      <c r="B379" t="s">
        <v>1496</v>
      </c>
      <c r="C379" s="30" t="s">
        <v>27</v>
      </c>
      <c r="D379" s="13">
        <v>14.2</v>
      </c>
      <c r="E379" s="13">
        <v>22</v>
      </c>
      <c r="G379" s="17">
        <f t="shared" si="18"/>
        <v>21.846153846153843</v>
      </c>
      <c r="H379" s="27" t="str">
        <f t="shared" si="19"/>
        <v>POSITIVO</v>
      </c>
      <c r="J379" s="17">
        <f t="shared" si="20"/>
        <v>20.285714285714285</v>
      </c>
    </row>
    <row r="380" spans="1:10">
      <c r="B380" t="s">
        <v>902</v>
      </c>
      <c r="C380" s="30" t="s">
        <v>27</v>
      </c>
      <c r="D380" s="13">
        <v>12.7</v>
      </c>
      <c r="E380" s="13">
        <v>20</v>
      </c>
      <c r="G380" s="17">
        <f t="shared" si="18"/>
        <v>19.538461538461537</v>
      </c>
      <c r="H380" s="27" t="str">
        <f t="shared" si="19"/>
        <v>POSITIVO</v>
      </c>
      <c r="J380" s="17">
        <f t="shared" si="20"/>
        <v>18.142857142857142</v>
      </c>
    </row>
    <row r="381" spans="1:10">
      <c r="B381" t="s">
        <v>1459</v>
      </c>
      <c r="C381" s="30" t="s">
        <v>27</v>
      </c>
      <c r="D381" s="13">
        <v>12.8</v>
      </c>
      <c r="E381" s="13">
        <v>20</v>
      </c>
      <c r="G381" s="17">
        <f t="shared" si="18"/>
        <v>19.692307692307693</v>
      </c>
      <c r="H381" s="27" t="str">
        <f t="shared" si="19"/>
        <v>POSITIVO</v>
      </c>
      <c r="J381" s="17">
        <f t="shared" si="20"/>
        <v>18.285714285714288</v>
      </c>
    </row>
    <row r="382" spans="1:10">
      <c r="B382" t="s">
        <v>903</v>
      </c>
      <c r="C382" s="30" t="s">
        <v>27</v>
      </c>
      <c r="D382" s="13">
        <v>12.9</v>
      </c>
      <c r="E382" s="13">
        <v>20</v>
      </c>
      <c r="G382" s="17">
        <f t="shared" si="18"/>
        <v>19.846153846153847</v>
      </c>
      <c r="H382" s="27" t="str">
        <f t="shared" si="19"/>
        <v>POSITIVO</v>
      </c>
      <c r="J382" s="17">
        <f t="shared" si="20"/>
        <v>18.428571428571431</v>
      </c>
    </row>
    <row r="383" spans="1:10">
      <c r="B383" t="s">
        <v>1179</v>
      </c>
      <c r="C383" s="30" t="s">
        <v>27</v>
      </c>
      <c r="D383" s="13">
        <v>27.02</v>
      </c>
      <c r="E383" s="13">
        <v>42</v>
      </c>
      <c r="G383" s="17">
        <f t="shared" si="18"/>
        <v>41.569230769230764</v>
      </c>
      <c r="H383" s="27" t="str">
        <f t="shared" si="19"/>
        <v>POSITIVO</v>
      </c>
      <c r="J383" s="17">
        <f t="shared" si="20"/>
        <v>38.6</v>
      </c>
    </row>
    <row r="384" spans="1:10">
      <c r="B384" t="s">
        <v>164</v>
      </c>
      <c r="C384" s="24" t="s">
        <v>27</v>
      </c>
      <c r="D384" s="25">
        <v>6.8</v>
      </c>
      <c r="E384" s="26">
        <v>10.5</v>
      </c>
      <c r="G384" s="17">
        <f t="shared" si="18"/>
        <v>10.461538461538462</v>
      </c>
      <c r="H384" s="27" t="str">
        <f t="shared" si="19"/>
        <v>POSITIVO</v>
      </c>
      <c r="J384" s="17">
        <f t="shared" si="20"/>
        <v>9.7142857142857153</v>
      </c>
    </row>
    <row r="385" spans="1:10">
      <c r="B385" t="s">
        <v>1026</v>
      </c>
      <c r="C385" s="24" t="s">
        <v>27</v>
      </c>
      <c r="D385" s="13">
        <v>5.75</v>
      </c>
      <c r="E385" s="13">
        <v>8.9</v>
      </c>
      <c r="G385" s="17">
        <f t="shared" si="18"/>
        <v>8.8461538461538467</v>
      </c>
      <c r="H385" s="27" t="str">
        <f t="shared" si="19"/>
        <v>POSITIVO</v>
      </c>
      <c r="J385" s="17">
        <f t="shared" si="20"/>
        <v>8.2142857142857153</v>
      </c>
    </row>
    <row r="386" spans="1:10">
      <c r="B386" t="s">
        <v>1572</v>
      </c>
      <c r="C386" s="30" t="s">
        <v>27</v>
      </c>
      <c r="D386" s="13">
        <v>6.61</v>
      </c>
      <c r="E386" s="13">
        <v>10.9</v>
      </c>
      <c r="G386" s="17">
        <f t="shared" si="18"/>
        <v>10.169230769230769</v>
      </c>
      <c r="H386" s="27" t="str">
        <f t="shared" si="19"/>
        <v>POSITIVO</v>
      </c>
      <c r="J386" s="17">
        <f t="shared" si="20"/>
        <v>9.4428571428571431</v>
      </c>
    </row>
    <row r="387" spans="1:10">
      <c r="B387" t="s">
        <v>165</v>
      </c>
      <c r="C387" s="24" t="s">
        <v>27</v>
      </c>
      <c r="D387" s="25">
        <v>7.05</v>
      </c>
      <c r="E387" s="26">
        <v>10.9</v>
      </c>
      <c r="G387" s="17">
        <f t="shared" si="18"/>
        <v>10.846153846153845</v>
      </c>
      <c r="H387" s="27" t="str">
        <f t="shared" si="19"/>
        <v>POSITIVO</v>
      </c>
      <c r="J387" s="17">
        <f t="shared" si="20"/>
        <v>10.071428571428571</v>
      </c>
    </row>
    <row r="388" spans="1:10">
      <c r="B388" t="s">
        <v>1027</v>
      </c>
      <c r="C388" s="24" t="s">
        <v>27</v>
      </c>
      <c r="D388" s="13">
        <v>8.6</v>
      </c>
      <c r="E388" s="13">
        <v>13.5</v>
      </c>
      <c r="G388" s="17">
        <f t="shared" si="18"/>
        <v>13.23076923076923</v>
      </c>
      <c r="H388" s="27" t="str">
        <f t="shared" si="19"/>
        <v>POSITIVO</v>
      </c>
      <c r="J388" s="17">
        <f t="shared" si="20"/>
        <v>12.285714285714286</v>
      </c>
    </row>
    <row r="389" spans="1:10">
      <c r="B389" t="s">
        <v>1941</v>
      </c>
      <c r="C389" s="30" t="s">
        <v>27</v>
      </c>
      <c r="D389" s="13">
        <v>10.57</v>
      </c>
      <c r="E389" s="13">
        <v>16.5</v>
      </c>
      <c r="G389" s="17">
        <f t="shared" si="18"/>
        <v>16.261538461538461</v>
      </c>
      <c r="H389" s="27" t="str">
        <f t="shared" si="19"/>
        <v>POSITIVO</v>
      </c>
      <c r="J389" s="17">
        <f t="shared" si="20"/>
        <v>15.100000000000001</v>
      </c>
    </row>
    <row r="390" spans="1:10">
      <c r="B390" t="s">
        <v>1940</v>
      </c>
      <c r="C390" s="30" t="s">
        <v>27</v>
      </c>
      <c r="D390" s="13">
        <v>11.75</v>
      </c>
      <c r="E390" s="13">
        <v>18.2</v>
      </c>
      <c r="G390" s="17">
        <f t="shared" si="18"/>
        <v>18.076923076923077</v>
      </c>
      <c r="H390" s="27" t="str">
        <f t="shared" si="19"/>
        <v>POSITIVO</v>
      </c>
      <c r="J390" s="17">
        <f t="shared" si="20"/>
        <v>16.785714285714288</v>
      </c>
    </row>
    <row r="391" spans="1:10">
      <c r="B391" t="s">
        <v>1824</v>
      </c>
      <c r="C391" s="30" t="s">
        <v>27</v>
      </c>
      <c r="D391" s="13">
        <v>17.62</v>
      </c>
      <c r="E391" s="13">
        <v>28</v>
      </c>
      <c r="G391" s="17">
        <f t="shared" si="18"/>
        <v>27.107692307692307</v>
      </c>
      <c r="H391" s="27" t="str">
        <f t="shared" si="19"/>
        <v>POSITIVO</v>
      </c>
      <c r="J391" s="17">
        <f t="shared" si="20"/>
        <v>25.171428571428574</v>
      </c>
    </row>
    <row r="392" spans="1:10">
      <c r="B392" t="s">
        <v>1825</v>
      </c>
      <c r="C392" s="30" t="s">
        <v>27</v>
      </c>
      <c r="D392" s="13">
        <v>22.32</v>
      </c>
      <c r="E392" s="13">
        <v>34.5</v>
      </c>
      <c r="G392" s="17">
        <f t="shared" si="18"/>
        <v>34.338461538461537</v>
      </c>
      <c r="H392" s="27" t="str">
        <f t="shared" si="19"/>
        <v>POSITIVO</v>
      </c>
      <c r="J392" s="17">
        <f t="shared" si="20"/>
        <v>31.88571428571429</v>
      </c>
    </row>
    <row r="393" spans="1:10">
      <c r="B393" t="s">
        <v>166</v>
      </c>
      <c r="C393" s="24" t="s">
        <v>27</v>
      </c>
      <c r="D393" s="25">
        <v>5.28</v>
      </c>
      <c r="E393" s="26">
        <v>7.9</v>
      </c>
      <c r="G393" s="17">
        <f t="shared" si="18"/>
        <v>8.1230769230769226</v>
      </c>
      <c r="H393" s="27" t="str">
        <f t="shared" si="19"/>
        <v>NEGATIVO</v>
      </c>
      <c r="J393" s="17">
        <f t="shared" si="20"/>
        <v>7.5428571428571436</v>
      </c>
    </row>
    <row r="394" spans="1:10">
      <c r="B394" t="s">
        <v>167</v>
      </c>
      <c r="C394" s="24" t="s">
        <v>27</v>
      </c>
      <c r="D394" s="25">
        <v>67.87</v>
      </c>
      <c r="E394" s="26">
        <v>96</v>
      </c>
      <c r="G394" s="17">
        <f t="shared" si="18"/>
        <v>104.41538461538462</v>
      </c>
      <c r="H394" s="27" t="str">
        <f t="shared" si="19"/>
        <v>NEGATIVO</v>
      </c>
      <c r="J394" s="17">
        <f t="shared" si="20"/>
        <v>96.95714285714287</v>
      </c>
    </row>
    <row r="395" spans="1:10">
      <c r="B395" t="s">
        <v>168</v>
      </c>
      <c r="C395" s="24" t="s">
        <v>27</v>
      </c>
      <c r="D395" s="25">
        <v>88.41</v>
      </c>
      <c r="E395" s="26">
        <v>105</v>
      </c>
      <c r="G395" s="17">
        <f t="shared" si="18"/>
        <v>136.01538461538462</v>
      </c>
      <c r="H395" s="27" t="str">
        <f t="shared" si="19"/>
        <v>NEGATIVO</v>
      </c>
      <c r="J395" s="17">
        <f t="shared" si="20"/>
        <v>126.3</v>
      </c>
    </row>
    <row r="396" spans="1:10">
      <c r="B396" t="s">
        <v>1813</v>
      </c>
      <c r="C396" s="30" t="s">
        <v>27</v>
      </c>
      <c r="D396" s="13">
        <v>24.92</v>
      </c>
      <c r="E396" s="13">
        <v>39.9</v>
      </c>
      <c r="G396" s="17">
        <f t="shared" si="18"/>
        <v>38.338461538461537</v>
      </c>
      <c r="H396" s="27" t="str">
        <f t="shared" si="19"/>
        <v>POSITIVO</v>
      </c>
      <c r="J396" s="17">
        <f t="shared" si="20"/>
        <v>35.6</v>
      </c>
    </row>
    <row r="397" spans="1:10">
      <c r="A397" s="61" t="s">
        <v>2003</v>
      </c>
      <c r="B397" t="s">
        <v>2001</v>
      </c>
      <c r="C397" s="30" t="s">
        <v>27</v>
      </c>
      <c r="D397" s="13">
        <v>41.18</v>
      </c>
      <c r="E397" s="13">
        <v>63.9</v>
      </c>
      <c r="G397" s="17">
        <f t="shared" si="18"/>
        <v>63.353846153846149</v>
      </c>
      <c r="H397" s="27" t="str">
        <f t="shared" si="19"/>
        <v>POSITIVO</v>
      </c>
      <c r="J397" s="17">
        <f t="shared" si="20"/>
        <v>58.828571428571429</v>
      </c>
    </row>
    <row r="398" spans="1:10">
      <c r="A398" s="61" t="s">
        <v>2004</v>
      </c>
      <c r="B398" t="s">
        <v>2002</v>
      </c>
      <c r="C398" s="30" t="s">
        <v>27</v>
      </c>
      <c r="D398" s="13">
        <v>52.5</v>
      </c>
      <c r="E398" s="13">
        <v>82</v>
      </c>
      <c r="G398" s="17">
        <f t="shared" si="18"/>
        <v>80.769230769230759</v>
      </c>
      <c r="H398" s="27" t="str">
        <f t="shared" si="19"/>
        <v>POSITIVO</v>
      </c>
      <c r="J398" s="17">
        <f t="shared" si="20"/>
        <v>75</v>
      </c>
    </row>
    <row r="399" spans="1:10">
      <c r="A399" s="61">
        <v>9100200081159</v>
      </c>
      <c r="B399" t="s">
        <v>2005</v>
      </c>
      <c r="C399" s="30" t="s">
        <v>27</v>
      </c>
      <c r="D399" s="13">
        <v>96.5</v>
      </c>
      <c r="E399" s="13">
        <v>149.9</v>
      </c>
      <c r="G399" s="17">
        <f t="shared" ref="G399:G452" si="21">(D399/65%)</f>
        <v>148.46153846153845</v>
      </c>
      <c r="H399" s="27" t="str">
        <f t="shared" ref="H399:H452" si="22">IF(E399&gt;=G399,"POSITIVO","NEGATIVO")</f>
        <v>POSITIVO</v>
      </c>
      <c r="J399" s="17">
        <f t="shared" ref="J399:J452" si="23">D399/70%</f>
        <v>137.85714285714286</v>
      </c>
    </row>
    <row r="400" spans="1:10">
      <c r="B400" t="s">
        <v>169</v>
      </c>
      <c r="C400" s="24" t="s">
        <v>27</v>
      </c>
      <c r="D400" s="25">
        <v>16.2</v>
      </c>
      <c r="E400" s="26">
        <v>25</v>
      </c>
      <c r="G400" s="17">
        <f t="shared" si="21"/>
        <v>24.92307692307692</v>
      </c>
      <c r="H400" s="27" t="str">
        <f t="shared" si="22"/>
        <v>POSITIVO</v>
      </c>
      <c r="J400" s="17">
        <f t="shared" si="23"/>
        <v>23.142857142857142</v>
      </c>
    </row>
    <row r="401" spans="2:10">
      <c r="B401" t="s">
        <v>170</v>
      </c>
      <c r="C401" s="24" t="s">
        <v>27</v>
      </c>
      <c r="D401" s="25">
        <v>17.2</v>
      </c>
      <c r="E401" s="26">
        <v>26.5</v>
      </c>
      <c r="G401" s="17">
        <f t="shared" si="21"/>
        <v>26.46153846153846</v>
      </c>
      <c r="H401" s="27" t="str">
        <f t="shared" si="22"/>
        <v>POSITIVO</v>
      </c>
      <c r="J401" s="17">
        <f t="shared" si="23"/>
        <v>24.571428571428573</v>
      </c>
    </row>
    <row r="402" spans="2:10">
      <c r="B402" t="s">
        <v>758</v>
      </c>
      <c r="C402" s="24" t="s">
        <v>27</v>
      </c>
      <c r="D402" s="25">
        <v>18.899999999999999</v>
      </c>
      <c r="E402" s="26">
        <v>30</v>
      </c>
      <c r="G402" s="17">
        <f t="shared" si="21"/>
        <v>29.076923076923073</v>
      </c>
      <c r="H402" s="27" t="str">
        <f t="shared" si="22"/>
        <v>POSITIVO</v>
      </c>
      <c r="J402" s="17">
        <f t="shared" si="23"/>
        <v>27</v>
      </c>
    </row>
    <row r="403" spans="2:10">
      <c r="B403" t="s">
        <v>171</v>
      </c>
      <c r="C403" s="24" t="s">
        <v>27</v>
      </c>
      <c r="D403" s="25">
        <v>21.53</v>
      </c>
      <c r="E403" s="26">
        <v>34</v>
      </c>
      <c r="G403" s="17">
        <f t="shared" si="21"/>
        <v>33.123076923076923</v>
      </c>
      <c r="H403" s="27" t="str">
        <f t="shared" si="22"/>
        <v>POSITIVO</v>
      </c>
      <c r="J403" s="17">
        <f t="shared" si="23"/>
        <v>30.75714285714286</v>
      </c>
    </row>
    <row r="404" spans="2:10">
      <c r="B404" t="s">
        <v>1316</v>
      </c>
      <c r="C404" s="30" t="s">
        <v>27</v>
      </c>
      <c r="D404" s="13">
        <v>22.67</v>
      </c>
      <c r="E404" s="13">
        <v>35</v>
      </c>
      <c r="G404" s="17">
        <f t="shared" si="21"/>
        <v>34.876923076923077</v>
      </c>
      <c r="H404" s="27" t="str">
        <f t="shared" si="22"/>
        <v>POSITIVO</v>
      </c>
      <c r="J404" s="17">
        <f t="shared" si="23"/>
        <v>32.385714285714293</v>
      </c>
    </row>
    <row r="405" spans="2:10">
      <c r="B405" t="s">
        <v>759</v>
      </c>
      <c r="C405" s="24" t="s">
        <v>27</v>
      </c>
      <c r="D405" s="25">
        <v>24.5</v>
      </c>
      <c r="E405" s="26">
        <v>38</v>
      </c>
      <c r="G405" s="17">
        <f t="shared" si="21"/>
        <v>37.692307692307693</v>
      </c>
      <c r="H405" s="27" t="str">
        <f t="shared" si="22"/>
        <v>POSITIVO</v>
      </c>
      <c r="J405" s="17">
        <f t="shared" si="23"/>
        <v>35</v>
      </c>
    </row>
    <row r="406" spans="2:10">
      <c r="B406" t="s">
        <v>760</v>
      </c>
      <c r="C406" s="24" t="s">
        <v>27</v>
      </c>
      <c r="D406" s="25">
        <v>15.8</v>
      </c>
      <c r="E406" s="26">
        <v>25</v>
      </c>
      <c r="G406" s="17">
        <f t="shared" si="21"/>
        <v>24.307692307692307</v>
      </c>
      <c r="H406" s="27" t="str">
        <f t="shared" si="22"/>
        <v>POSITIVO</v>
      </c>
      <c r="J406" s="17">
        <f t="shared" si="23"/>
        <v>22.571428571428573</v>
      </c>
    </row>
    <row r="407" spans="2:10">
      <c r="B407" t="s">
        <v>172</v>
      </c>
      <c r="C407" s="24" t="s">
        <v>27</v>
      </c>
      <c r="D407" s="25">
        <v>7.84</v>
      </c>
      <c r="E407" s="26">
        <v>14</v>
      </c>
      <c r="G407" s="17">
        <f t="shared" si="21"/>
        <v>12.061538461538461</v>
      </c>
      <c r="H407" s="27" t="str">
        <f t="shared" si="22"/>
        <v>POSITIVO</v>
      </c>
      <c r="J407" s="17">
        <f t="shared" si="23"/>
        <v>11.200000000000001</v>
      </c>
    </row>
    <row r="408" spans="2:10">
      <c r="B408" t="s">
        <v>173</v>
      </c>
      <c r="C408" s="24" t="s">
        <v>27</v>
      </c>
      <c r="D408" s="25">
        <v>7.84</v>
      </c>
      <c r="E408" s="26">
        <v>14</v>
      </c>
      <c r="G408" s="17">
        <f t="shared" si="21"/>
        <v>12.061538461538461</v>
      </c>
      <c r="H408" s="27" t="str">
        <f t="shared" si="22"/>
        <v>POSITIVO</v>
      </c>
      <c r="J408" s="17">
        <f t="shared" si="23"/>
        <v>11.200000000000001</v>
      </c>
    </row>
    <row r="409" spans="2:10">
      <c r="B409" t="s">
        <v>174</v>
      </c>
      <c r="C409" s="24" t="s">
        <v>27</v>
      </c>
      <c r="D409" s="25">
        <v>14.99</v>
      </c>
      <c r="E409" s="26">
        <v>32</v>
      </c>
      <c r="G409" s="17">
        <f t="shared" si="21"/>
        <v>23.061538461538461</v>
      </c>
      <c r="H409" s="27" t="str">
        <f t="shared" si="22"/>
        <v>POSITIVO</v>
      </c>
      <c r="J409" s="17">
        <f t="shared" si="23"/>
        <v>21.414285714285715</v>
      </c>
    </row>
    <row r="410" spans="2:10">
      <c r="B410" t="s">
        <v>1511</v>
      </c>
      <c r="C410" s="30" t="s">
        <v>27</v>
      </c>
      <c r="D410" s="13">
        <v>5.57</v>
      </c>
      <c r="E410" s="13">
        <v>10</v>
      </c>
      <c r="G410" s="17">
        <f t="shared" si="21"/>
        <v>8.569230769230769</v>
      </c>
      <c r="H410" s="27" t="str">
        <f t="shared" si="22"/>
        <v>POSITIVO</v>
      </c>
      <c r="J410" s="17">
        <f t="shared" si="23"/>
        <v>7.9571428571428582</v>
      </c>
    </row>
    <row r="411" spans="2:10">
      <c r="B411" t="s">
        <v>761</v>
      </c>
      <c r="C411" s="24" t="s">
        <v>27</v>
      </c>
      <c r="D411" s="25">
        <v>7.5</v>
      </c>
      <c r="E411" s="26">
        <v>11.6</v>
      </c>
      <c r="G411" s="17">
        <f t="shared" si="21"/>
        <v>11.538461538461538</v>
      </c>
      <c r="H411" s="27" t="str">
        <f t="shared" si="22"/>
        <v>POSITIVO</v>
      </c>
      <c r="J411" s="17">
        <f t="shared" si="23"/>
        <v>10.714285714285715</v>
      </c>
    </row>
    <row r="412" spans="2:10">
      <c r="B412" t="s">
        <v>175</v>
      </c>
      <c r="C412" s="24" t="s">
        <v>27</v>
      </c>
      <c r="D412" s="25">
        <v>10.98</v>
      </c>
      <c r="E412" s="26">
        <v>17</v>
      </c>
      <c r="G412" s="17">
        <f t="shared" si="21"/>
        <v>16.892307692307693</v>
      </c>
      <c r="H412" s="27" t="str">
        <f t="shared" si="22"/>
        <v>POSITIVO</v>
      </c>
      <c r="J412" s="17">
        <f t="shared" si="23"/>
        <v>15.685714285714287</v>
      </c>
    </row>
    <row r="413" spans="2:10">
      <c r="B413" t="s">
        <v>176</v>
      </c>
      <c r="C413" s="24" t="s">
        <v>27</v>
      </c>
      <c r="D413" s="25">
        <v>6.27</v>
      </c>
      <c r="E413" s="26">
        <v>10</v>
      </c>
      <c r="G413" s="17">
        <f t="shared" si="21"/>
        <v>9.6461538461538456</v>
      </c>
      <c r="H413" s="27" t="str">
        <f t="shared" si="22"/>
        <v>POSITIVO</v>
      </c>
      <c r="J413" s="17">
        <f t="shared" si="23"/>
        <v>8.9571428571428573</v>
      </c>
    </row>
    <row r="414" spans="2:10">
      <c r="B414" t="s">
        <v>1317</v>
      </c>
      <c r="C414" s="30" t="s">
        <v>27</v>
      </c>
      <c r="D414" s="13">
        <v>8.3000000000000007</v>
      </c>
      <c r="E414" s="13">
        <v>14</v>
      </c>
      <c r="G414" s="17">
        <f t="shared" si="21"/>
        <v>12.76923076923077</v>
      </c>
      <c r="H414" s="27" t="str">
        <f t="shared" si="22"/>
        <v>POSITIVO</v>
      </c>
      <c r="J414" s="17">
        <f t="shared" si="23"/>
        <v>11.857142857142859</v>
      </c>
    </row>
    <row r="415" spans="2:10">
      <c r="B415" t="s">
        <v>177</v>
      </c>
      <c r="C415" s="24" t="s">
        <v>27</v>
      </c>
      <c r="D415" s="25">
        <v>6.9</v>
      </c>
      <c r="E415" s="26">
        <v>11.9</v>
      </c>
      <c r="G415" s="17">
        <f t="shared" si="21"/>
        <v>10.615384615384615</v>
      </c>
      <c r="H415" s="27" t="str">
        <f t="shared" si="22"/>
        <v>POSITIVO</v>
      </c>
      <c r="J415" s="17">
        <f t="shared" si="23"/>
        <v>9.8571428571428577</v>
      </c>
    </row>
    <row r="416" spans="2:10">
      <c r="B416" t="s">
        <v>1573</v>
      </c>
      <c r="C416" s="30" t="s">
        <v>27</v>
      </c>
      <c r="D416" s="13">
        <v>6.95</v>
      </c>
      <c r="E416" s="13">
        <v>11</v>
      </c>
      <c r="G416" s="17">
        <f t="shared" si="21"/>
        <v>10.692307692307692</v>
      </c>
      <c r="H416" s="27" t="str">
        <f t="shared" si="22"/>
        <v>POSITIVO</v>
      </c>
      <c r="J416" s="17">
        <f t="shared" si="23"/>
        <v>9.9285714285714288</v>
      </c>
    </row>
    <row r="417" spans="1:10">
      <c r="B417" t="s">
        <v>1315</v>
      </c>
      <c r="C417" s="30" t="s">
        <v>27</v>
      </c>
      <c r="D417" s="13">
        <v>6.8</v>
      </c>
      <c r="E417" s="13">
        <v>12</v>
      </c>
      <c r="G417" s="17">
        <f t="shared" si="21"/>
        <v>10.461538461538462</v>
      </c>
      <c r="H417" s="27" t="str">
        <f t="shared" si="22"/>
        <v>POSITIVO</v>
      </c>
      <c r="J417" s="17">
        <f t="shared" si="23"/>
        <v>9.7142857142857153</v>
      </c>
    </row>
    <row r="418" spans="1:10">
      <c r="B418" t="s">
        <v>1082</v>
      </c>
      <c r="C418" s="24" t="s">
        <v>27</v>
      </c>
      <c r="D418" s="25">
        <v>9.8000000000000007</v>
      </c>
      <c r="E418" s="26">
        <v>15</v>
      </c>
      <c r="G418" s="17">
        <f t="shared" si="21"/>
        <v>15.076923076923077</v>
      </c>
      <c r="H418" s="27" t="str">
        <f t="shared" si="22"/>
        <v>NEGATIVO</v>
      </c>
      <c r="J418" s="17">
        <f t="shared" si="23"/>
        <v>14.000000000000002</v>
      </c>
    </row>
    <row r="419" spans="1:10">
      <c r="A419" s="61" t="s">
        <v>2411</v>
      </c>
      <c r="B419" t="s">
        <v>2410</v>
      </c>
      <c r="C419" s="30" t="s">
        <v>27</v>
      </c>
      <c r="D419" s="13">
        <v>13.99</v>
      </c>
      <c r="E419" s="13">
        <v>23</v>
      </c>
      <c r="G419" s="17">
        <f t="shared" si="21"/>
        <v>21.523076923076921</v>
      </c>
      <c r="H419" s="27" t="str">
        <f t="shared" si="22"/>
        <v>POSITIVO</v>
      </c>
      <c r="J419" s="17">
        <f t="shared" si="23"/>
        <v>19.985714285714288</v>
      </c>
    </row>
    <row r="420" spans="1:10">
      <c r="B420" t="s">
        <v>1687</v>
      </c>
      <c r="C420" s="30" t="s">
        <v>27</v>
      </c>
      <c r="D420" s="13">
        <v>16.989999999999998</v>
      </c>
      <c r="E420" s="13">
        <v>57</v>
      </c>
      <c r="G420" s="17">
        <f t="shared" si="21"/>
        <v>26.138461538461534</v>
      </c>
      <c r="H420" s="27" t="str">
        <f t="shared" si="22"/>
        <v>POSITIVO</v>
      </c>
      <c r="J420" s="17">
        <f t="shared" si="23"/>
        <v>24.271428571428572</v>
      </c>
    </row>
    <row r="421" spans="1:10">
      <c r="B421" t="s">
        <v>178</v>
      </c>
      <c r="C421" s="24" t="s">
        <v>27</v>
      </c>
      <c r="D421" s="25">
        <v>13.5</v>
      </c>
      <c r="E421" s="26">
        <v>20</v>
      </c>
      <c r="G421" s="17">
        <f t="shared" si="21"/>
        <v>20.76923076923077</v>
      </c>
      <c r="H421" s="27" t="str">
        <f t="shared" si="22"/>
        <v>NEGATIVO</v>
      </c>
      <c r="J421" s="17">
        <f t="shared" si="23"/>
        <v>19.285714285714288</v>
      </c>
    </row>
    <row r="422" spans="1:10">
      <c r="B422" t="s">
        <v>1162</v>
      </c>
      <c r="C422" s="24" t="s">
        <v>27</v>
      </c>
      <c r="D422" s="25">
        <v>16.989999999999998</v>
      </c>
      <c r="E422" s="26">
        <v>27</v>
      </c>
      <c r="G422" s="17">
        <f t="shared" si="21"/>
        <v>26.138461538461534</v>
      </c>
      <c r="H422" s="27" t="str">
        <f t="shared" si="22"/>
        <v>POSITIVO</v>
      </c>
      <c r="J422" s="17">
        <f t="shared" si="23"/>
        <v>24.271428571428572</v>
      </c>
    </row>
    <row r="423" spans="1:10">
      <c r="B423" t="s">
        <v>1235</v>
      </c>
      <c r="C423" s="30" t="s">
        <v>27</v>
      </c>
      <c r="D423" s="13">
        <v>21.95</v>
      </c>
      <c r="E423" s="13">
        <v>34</v>
      </c>
      <c r="G423" s="17">
        <f t="shared" si="21"/>
        <v>33.769230769230766</v>
      </c>
      <c r="H423" s="27" t="str">
        <f t="shared" si="22"/>
        <v>POSITIVO</v>
      </c>
      <c r="J423" s="17">
        <f t="shared" si="23"/>
        <v>31.357142857142858</v>
      </c>
    </row>
    <row r="424" spans="1:10">
      <c r="B424" t="s">
        <v>179</v>
      </c>
      <c r="C424" s="24" t="s">
        <v>27</v>
      </c>
      <c r="D424" s="25">
        <v>14.5</v>
      </c>
      <c r="E424" s="26">
        <v>23</v>
      </c>
      <c r="G424" s="17">
        <f t="shared" si="21"/>
        <v>22.307692307692307</v>
      </c>
      <c r="H424" s="27" t="str">
        <f t="shared" si="22"/>
        <v>POSITIVO</v>
      </c>
      <c r="J424" s="17">
        <f t="shared" si="23"/>
        <v>20.714285714285715</v>
      </c>
    </row>
    <row r="425" spans="1:10">
      <c r="B425" t="s">
        <v>1016</v>
      </c>
      <c r="C425" s="24" t="s">
        <v>27</v>
      </c>
      <c r="D425" s="25">
        <v>20</v>
      </c>
      <c r="E425" s="13">
        <v>31</v>
      </c>
      <c r="G425" s="17">
        <f t="shared" si="21"/>
        <v>30.769230769230766</v>
      </c>
      <c r="H425" s="27" t="str">
        <f t="shared" si="22"/>
        <v>POSITIVO</v>
      </c>
      <c r="J425" s="17">
        <f t="shared" si="23"/>
        <v>28.571428571428573</v>
      </c>
    </row>
    <row r="426" spans="1:10">
      <c r="B426" t="s">
        <v>2319</v>
      </c>
      <c r="C426" s="30" t="s">
        <v>46</v>
      </c>
      <c r="D426" s="13">
        <v>578.73</v>
      </c>
      <c r="E426" s="13">
        <v>895</v>
      </c>
      <c r="G426" s="17">
        <f t="shared" si="21"/>
        <v>890.35384615384612</v>
      </c>
      <c r="H426" s="27" t="str">
        <f t="shared" si="22"/>
        <v>POSITIVO</v>
      </c>
      <c r="J426" s="17">
        <f t="shared" si="23"/>
        <v>826.75714285714298</v>
      </c>
    </row>
    <row r="427" spans="1:10">
      <c r="B427" t="s">
        <v>984</v>
      </c>
      <c r="C427" s="30" t="s">
        <v>27</v>
      </c>
      <c r="D427" s="13">
        <v>110</v>
      </c>
      <c r="E427" s="13">
        <v>170</v>
      </c>
      <c r="G427" s="17">
        <f t="shared" si="21"/>
        <v>169.23076923076923</v>
      </c>
      <c r="H427" s="27" t="str">
        <f t="shared" si="22"/>
        <v>POSITIVO</v>
      </c>
      <c r="J427" s="17">
        <f t="shared" si="23"/>
        <v>157.14285714285714</v>
      </c>
    </row>
    <row r="428" spans="1:10">
      <c r="B428" t="s">
        <v>2315</v>
      </c>
      <c r="C428" s="30" t="s">
        <v>46</v>
      </c>
      <c r="D428" s="13">
        <v>550.46</v>
      </c>
      <c r="E428" s="13">
        <v>850</v>
      </c>
      <c r="G428" s="17">
        <f t="shared" si="21"/>
        <v>846.86153846153854</v>
      </c>
      <c r="H428" s="27" t="str">
        <f t="shared" si="22"/>
        <v>POSITIVO</v>
      </c>
      <c r="J428" s="17">
        <f t="shared" si="23"/>
        <v>786.37142857142862</v>
      </c>
    </row>
    <row r="429" spans="1:10">
      <c r="B429" t="s">
        <v>180</v>
      </c>
      <c r="C429" s="24" t="s">
        <v>27</v>
      </c>
      <c r="D429" s="25">
        <v>140</v>
      </c>
      <c r="E429" s="26">
        <v>190</v>
      </c>
      <c r="G429" s="17">
        <f t="shared" si="21"/>
        <v>215.38461538461539</v>
      </c>
      <c r="H429" s="27" t="str">
        <f t="shared" si="22"/>
        <v>NEGATIVO</v>
      </c>
      <c r="J429" s="17">
        <f t="shared" si="23"/>
        <v>200</v>
      </c>
    </row>
    <row r="430" spans="1:10">
      <c r="B430" t="s">
        <v>2322</v>
      </c>
      <c r="C430" s="30" t="s">
        <v>46</v>
      </c>
      <c r="D430" s="13">
        <v>589.74</v>
      </c>
      <c r="E430" s="13">
        <v>910</v>
      </c>
      <c r="G430" s="17">
        <f t="shared" si="21"/>
        <v>907.29230769230765</v>
      </c>
      <c r="H430" s="27" t="str">
        <f t="shared" si="22"/>
        <v>POSITIVO</v>
      </c>
      <c r="J430" s="17">
        <f t="shared" si="23"/>
        <v>842.48571428571438</v>
      </c>
    </row>
    <row r="431" spans="1:10">
      <c r="B431" t="s">
        <v>181</v>
      </c>
      <c r="C431" s="24" t="s">
        <v>27</v>
      </c>
      <c r="D431" s="25">
        <v>120</v>
      </c>
      <c r="E431" s="26">
        <v>160</v>
      </c>
      <c r="G431" s="17">
        <f t="shared" si="21"/>
        <v>184.61538461538461</v>
      </c>
      <c r="H431" s="27" t="str">
        <f t="shared" si="22"/>
        <v>NEGATIVO</v>
      </c>
      <c r="J431" s="17">
        <f t="shared" si="23"/>
        <v>171.42857142857144</v>
      </c>
    </row>
    <row r="432" spans="1:10">
      <c r="B432" t="s">
        <v>2317</v>
      </c>
      <c r="C432" s="30" t="s">
        <v>46</v>
      </c>
      <c r="D432" s="13">
        <v>550.46</v>
      </c>
      <c r="E432" s="13">
        <v>850</v>
      </c>
      <c r="G432" s="17">
        <f t="shared" si="21"/>
        <v>846.86153846153854</v>
      </c>
      <c r="H432" s="27" t="str">
        <f t="shared" si="22"/>
        <v>POSITIVO</v>
      </c>
      <c r="J432" s="17">
        <f t="shared" si="23"/>
        <v>786.37142857142862</v>
      </c>
    </row>
    <row r="433" spans="1:10">
      <c r="B433" t="s">
        <v>182</v>
      </c>
      <c r="C433" s="24" t="s">
        <v>27</v>
      </c>
      <c r="D433" s="25">
        <v>40</v>
      </c>
      <c r="E433" s="26">
        <v>70</v>
      </c>
      <c r="G433" s="17">
        <f t="shared" si="21"/>
        <v>61.538461538461533</v>
      </c>
      <c r="H433" s="27" t="str">
        <f t="shared" si="22"/>
        <v>POSITIVO</v>
      </c>
      <c r="J433" s="17">
        <f t="shared" si="23"/>
        <v>57.142857142857146</v>
      </c>
    </row>
    <row r="434" spans="1:10">
      <c r="B434" t="s">
        <v>183</v>
      </c>
      <c r="C434" s="24" t="s">
        <v>27</v>
      </c>
      <c r="D434" s="25">
        <v>70</v>
      </c>
      <c r="E434" s="26">
        <v>100</v>
      </c>
      <c r="G434" s="17">
        <f t="shared" si="21"/>
        <v>107.69230769230769</v>
      </c>
      <c r="H434" s="27" t="str">
        <f t="shared" si="22"/>
        <v>NEGATIVO</v>
      </c>
      <c r="J434" s="17">
        <f t="shared" si="23"/>
        <v>100</v>
      </c>
    </row>
    <row r="435" spans="1:10">
      <c r="B435" t="s">
        <v>1815</v>
      </c>
      <c r="C435" s="30" t="s">
        <v>27</v>
      </c>
      <c r="D435" s="13">
        <v>33.93</v>
      </c>
      <c r="E435" s="13">
        <v>53</v>
      </c>
      <c r="G435" s="17">
        <f t="shared" si="21"/>
        <v>52.199999999999996</v>
      </c>
      <c r="H435" s="27" t="str">
        <f t="shared" si="22"/>
        <v>POSITIVO</v>
      </c>
      <c r="J435" s="17">
        <f t="shared" si="23"/>
        <v>48.471428571428575</v>
      </c>
    </row>
    <row r="436" spans="1:10">
      <c r="B436" t="s">
        <v>184</v>
      </c>
      <c r="C436" s="24" t="s">
        <v>27</v>
      </c>
      <c r="D436" s="25">
        <v>34.880000000000003</v>
      </c>
      <c r="E436" s="26">
        <v>55</v>
      </c>
      <c r="G436" s="17">
        <f t="shared" si="21"/>
        <v>53.661538461538463</v>
      </c>
      <c r="H436" s="27" t="str">
        <f t="shared" si="22"/>
        <v>POSITIVO</v>
      </c>
      <c r="J436" s="17">
        <f t="shared" si="23"/>
        <v>49.828571428571436</v>
      </c>
    </row>
    <row r="437" spans="1:10">
      <c r="B437" t="s">
        <v>846</v>
      </c>
      <c r="C437" s="30" t="s">
        <v>27</v>
      </c>
      <c r="D437" s="13">
        <v>50.9</v>
      </c>
      <c r="E437" s="13">
        <v>83</v>
      </c>
      <c r="G437" s="17">
        <f t="shared" si="21"/>
        <v>78.307692307692307</v>
      </c>
      <c r="H437" s="27" t="str">
        <f t="shared" si="22"/>
        <v>POSITIVO</v>
      </c>
      <c r="J437" s="17">
        <f t="shared" si="23"/>
        <v>72.714285714285722</v>
      </c>
    </row>
    <row r="438" spans="1:10">
      <c r="B438" t="s">
        <v>185</v>
      </c>
      <c r="C438" s="24" t="s">
        <v>27</v>
      </c>
      <c r="D438" s="25">
        <v>51.99</v>
      </c>
      <c r="E438" s="26">
        <v>75</v>
      </c>
      <c r="G438" s="17">
        <f t="shared" si="21"/>
        <v>79.984615384615381</v>
      </c>
      <c r="H438" s="27" t="str">
        <f t="shared" si="22"/>
        <v>NEGATIVO</v>
      </c>
      <c r="J438" s="17">
        <f t="shared" si="23"/>
        <v>74.271428571428572</v>
      </c>
    </row>
    <row r="439" spans="1:10">
      <c r="B439" t="s">
        <v>1163</v>
      </c>
      <c r="C439" s="24" t="s">
        <v>27</v>
      </c>
      <c r="D439" s="13">
        <v>85.9</v>
      </c>
      <c r="E439" s="13">
        <v>148</v>
      </c>
      <c r="G439" s="17">
        <f t="shared" si="21"/>
        <v>132.15384615384616</v>
      </c>
      <c r="H439" s="27" t="str">
        <f t="shared" si="22"/>
        <v>POSITIVO</v>
      </c>
      <c r="J439" s="17">
        <f t="shared" si="23"/>
        <v>122.71428571428574</v>
      </c>
    </row>
    <row r="440" spans="1:10">
      <c r="B440" t="s">
        <v>186</v>
      </c>
      <c r="C440" s="24" t="s">
        <v>27</v>
      </c>
      <c r="D440" s="25">
        <v>26.42</v>
      </c>
      <c r="E440" s="26">
        <v>41</v>
      </c>
      <c r="G440" s="17">
        <f t="shared" si="21"/>
        <v>40.646153846153844</v>
      </c>
      <c r="H440" s="27" t="str">
        <f t="shared" si="22"/>
        <v>POSITIVO</v>
      </c>
      <c r="J440" s="17">
        <f t="shared" si="23"/>
        <v>37.742857142857147</v>
      </c>
    </row>
    <row r="441" spans="1:10">
      <c r="B441" t="s">
        <v>1738</v>
      </c>
      <c r="C441" s="30" t="s">
        <v>46</v>
      </c>
      <c r="D441" s="13">
        <v>26</v>
      </c>
      <c r="E441" s="13">
        <v>35</v>
      </c>
      <c r="G441" s="17">
        <f t="shared" si="21"/>
        <v>40</v>
      </c>
      <c r="H441" s="27" t="str">
        <f t="shared" si="22"/>
        <v>NEGATIVO</v>
      </c>
      <c r="J441" s="17">
        <f t="shared" si="23"/>
        <v>37.142857142857146</v>
      </c>
    </row>
    <row r="442" spans="1:10">
      <c r="B442" t="s">
        <v>187</v>
      </c>
      <c r="C442" s="24" t="s">
        <v>46</v>
      </c>
      <c r="D442" s="25">
        <v>28.5</v>
      </c>
      <c r="E442" s="25">
        <v>40</v>
      </c>
      <c r="G442" s="17">
        <f t="shared" si="21"/>
        <v>43.846153846153847</v>
      </c>
      <c r="H442" s="27" t="str">
        <f t="shared" si="22"/>
        <v>NEGATIVO</v>
      </c>
      <c r="J442" s="17">
        <f t="shared" si="23"/>
        <v>40.714285714285715</v>
      </c>
    </row>
    <row r="443" spans="1:10">
      <c r="B443" t="s">
        <v>188</v>
      </c>
      <c r="C443" s="24" t="s">
        <v>46</v>
      </c>
      <c r="D443" s="25">
        <v>16.8</v>
      </c>
      <c r="E443" s="25">
        <v>22</v>
      </c>
      <c r="G443" s="17">
        <f t="shared" si="21"/>
        <v>25.846153846153847</v>
      </c>
      <c r="H443" s="27" t="str">
        <f t="shared" si="22"/>
        <v>NEGATIVO</v>
      </c>
      <c r="J443" s="17">
        <f t="shared" si="23"/>
        <v>24.000000000000004</v>
      </c>
    </row>
    <row r="444" spans="1:10">
      <c r="B444" t="s">
        <v>189</v>
      </c>
      <c r="C444" s="24" t="s">
        <v>46</v>
      </c>
      <c r="D444" s="25">
        <v>30.9</v>
      </c>
      <c r="E444" s="25">
        <v>40</v>
      </c>
      <c r="G444" s="17">
        <f t="shared" si="21"/>
        <v>47.538461538461533</v>
      </c>
      <c r="H444" s="27" t="str">
        <f t="shared" si="22"/>
        <v>NEGATIVO</v>
      </c>
      <c r="J444" s="17">
        <f t="shared" si="23"/>
        <v>44.142857142857146</v>
      </c>
    </row>
    <row r="445" spans="1:10">
      <c r="B445" t="s">
        <v>2314</v>
      </c>
      <c r="C445" s="30" t="s">
        <v>27</v>
      </c>
      <c r="D445" s="13">
        <v>30.6</v>
      </c>
      <c r="E445" s="13">
        <v>37</v>
      </c>
      <c r="G445" s="17">
        <f t="shared" si="21"/>
        <v>47.07692307692308</v>
      </c>
      <c r="H445" s="27" t="str">
        <f t="shared" si="22"/>
        <v>NEGATIVO</v>
      </c>
      <c r="J445" s="17">
        <f t="shared" si="23"/>
        <v>43.714285714285722</v>
      </c>
    </row>
    <row r="446" spans="1:10">
      <c r="A446" s="61" t="s">
        <v>2387</v>
      </c>
      <c r="B446" t="s">
        <v>2383</v>
      </c>
      <c r="D446" s="13">
        <v>548.79999999999995</v>
      </c>
      <c r="E446" s="13">
        <v>790</v>
      </c>
      <c r="G446" s="17">
        <f t="shared" si="21"/>
        <v>844.30769230769226</v>
      </c>
      <c r="H446" s="27" t="str">
        <f t="shared" si="22"/>
        <v>NEGATIVO</v>
      </c>
      <c r="J446" s="17">
        <f t="shared" si="23"/>
        <v>784</v>
      </c>
    </row>
    <row r="447" spans="1:10">
      <c r="B447" t="s">
        <v>1424</v>
      </c>
      <c r="C447" s="24" t="s">
        <v>27</v>
      </c>
      <c r="D447" s="13">
        <v>16.38</v>
      </c>
      <c r="E447" s="13">
        <v>26.9</v>
      </c>
      <c r="G447" s="17">
        <f t="shared" si="21"/>
        <v>25.2</v>
      </c>
      <c r="H447" s="27" t="str">
        <f t="shared" si="22"/>
        <v>POSITIVO</v>
      </c>
      <c r="J447" s="17">
        <f t="shared" si="23"/>
        <v>23.4</v>
      </c>
    </row>
    <row r="448" spans="1:10">
      <c r="B448" t="s">
        <v>1423</v>
      </c>
      <c r="C448" s="24" t="s">
        <v>27</v>
      </c>
      <c r="D448" s="25">
        <v>9.85</v>
      </c>
      <c r="E448" s="26">
        <v>18.5</v>
      </c>
      <c r="G448" s="17">
        <f t="shared" si="21"/>
        <v>15.153846153846153</v>
      </c>
      <c r="H448" s="27" t="str">
        <f t="shared" si="22"/>
        <v>POSITIVO</v>
      </c>
      <c r="J448" s="17">
        <f t="shared" si="23"/>
        <v>14.071428571428571</v>
      </c>
    </row>
    <row r="449" spans="1:10">
      <c r="B449" t="s">
        <v>1084</v>
      </c>
      <c r="C449" s="24" t="s">
        <v>27</v>
      </c>
      <c r="D449" s="25">
        <v>20.34</v>
      </c>
      <c r="E449" s="26">
        <v>32</v>
      </c>
      <c r="G449" s="17">
        <f t="shared" si="21"/>
        <v>31.292307692307691</v>
      </c>
      <c r="H449" s="27" t="str">
        <f t="shared" si="22"/>
        <v>POSITIVO</v>
      </c>
      <c r="J449" s="17">
        <f t="shared" si="23"/>
        <v>29.05714285714286</v>
      </c>
    </row>
    <row r="450" spans="1:10">
      <c r="B450" t="s">
        <v>1085</v>
      </c>
      <c r="C450" s="30" t="s">
        <v>27</v>
      </c>
      <c r="D450" s="13">
        <v>132.34</v>
      </c>
      <c r="E450" s="13">
        <v>204.9</v>
      </c>
      <c r="G450" s="17">
        <f t="shared" si="21"/>
        <v>203.6</v>
      </c>
      <c r="H450" s="27" t="str">
        <f t="shared" si="22"/>
        <v>POSITIVO</v>
      </c>
      <c r="J450" s="17">
        <f t="shared" si="23"/>
        <v>189.05714285714288</v>
      </c>
    </row>
    <row r="451" spans="1:10">
      <c r="A451" s="61" t="s">
        <v>2529</v>
      </c>
      <c r="B451" t="s">
        <v>1567</v>
      </c>
      <c r="C451" s="30" t="s">
        <v>27</v>
      </c>
      <c r="D451" s="13">
        <v>9.43</v>
      </c>
      <c r="E451" s="13">
        <v>15.9</v>
      </c>
      <c r="G451" s="17">
        <f t="shared" si="21"/>
        <v>14.507692307692306</v>
      </c>
      <c r="H451" s="27" t="str">
        <f t="shared" si="22"/>
        <v>POSITIVO</v>
      </c>
      <c r="J451" s="17">
        <f t="shared" si="23"/>
        <v>13.471428571428572</v>
      </c>
    </row>
    <row r="452" spans="1:10">
      <c r="B452" t="s">
        <v>1086</v>
      </c>
      <c r="C452" s="24" t="s">
        <v>27</v>
      </c>
      <c r="D452" s="25">
        <v>24.65</v>
      </c>
      <c r="E452" s="26">
        <v>38</v>
      </c>
      <c r="G452" s="17">
        <f t="shared" si="21"/>
        <v>37.92307692307692</v>
      </c>
      <c r="H452" s="27" t="str">
        <f t="shared" si="22"/>
        <v>POSITIVO</v>
      </c>
      <c r="J452" s="17">
        <f t="shared" si="23"/>
        <v>35.214285714285715</v>
      </c>
    </row>
    <row r="453" spans="1:10">
      <c r="B453" t="s">
        <v>1393</v>
      </c>
      <c r="C453" s="24" t="s">
        <v>27</v>
      </c>
      <c r="D453" s="25">
        <v>6.5</v>
      </c>
      <c r="E453" s="26">
        <v>12</v>
      </c>
      <c r="G453" s="17">
        <f t="shared" ref="G453:G508" si="24">(D453/65%)</f>
        <v>10</v>
      </c>
      <c r="H453" s="27" t="str">
        <f t="shared" ref="H453:H508" si="25">IF(E453&gt;=G453,"POSITIVO","NEGATIVO")</f>
        <v>POSITIVO</v>
      </c>
      <c r="J453" s="17">
        <f t="shared" ref="J453:J508" si="26">D453/70%</f>
        <v>9.2857142857142865</v>
      </c>
    </row>
    <row r="454" spans="1:10">
      <c r="B454" t="s">
        <v>1596</v>
      </c>
      <c r="C454" s="24" t="s">
        <v>27</v>
      </c>
      <c r="D454" s="25">
        <v>4.17</v>
      </c>
      <c r="E454" s="26">
        <v>7</v>
      </c>
      <c r="G454" s="17">
        <f t="shared" si="24"/>
        <v>6.4153846153846148</v>
      </c>
      <c r="H454" s="27" t="str">
        <f t="shared" si="25"/>
        <v>POSITIVO</v>
      </c>
      <c r="J454" s="17">
        <f t="shared" si="26"/>
        <v>5.9571428571428573</v>
      </c>
    </row>
    <row r="455" spans="1:10">
      <c r="B455" t="s">
        <v>1597</v>
      </c>
      <c r="C455" s="30" t="s">
        <v>27</v>
      </c>
      <c r="D455" s="13">
        <v>4.95</v>
      </c>
      <c r="E455" s="13">
        <v>8.5</v>
      </c>
      <c r="G455" s="17">
        <f t="shared" si="24"/>
        <v>7.615384615384615</v>
      </c>
      <c r="H455" s="27" t="str">
        <f t="shared" si="25"/>
        <v>POSITIVO</v>
      </c>
      <c r="J455" s="17">
        <f t="shared" si="26"/>
        <v>7.0714285714285721</v>
      </c>
    </row>
    <row r="456" spans="1:10">
      <c r="B456" t="s">
        <v>190</v>
      </c>
      <c r="C456" s="24" t="s">
        <v>27</v>
      </c>
      <c r="D456" s="25">
        <v>5.0199999999999996</v>
      </c>
      <c r="E456" s="26">
        <v>7.25</v>
      </c>
      <c r="G456" s="17">
        <f t="shared" si="24"/>
        <v>7.7230769230769223</v>
      </c>
      <c r="H456" s="27" t="str">
        <f t="shared" si="25"/>
        <v>NEGATIVO</v>
      </c>
      <c r="J456" s="17">
        <f t="shared" si="26"/>
        <v>7.1714285714285717</v>
      </c>
    </row>
    <row r="457" spans="1:10">
      <c r="B457" t="s">
        <v>191</v>
      </c>
      <c r="C457" s="24" t="s">
        <v>27</v>
      </c>
      <c r="D457" s="25">
        <v>28.72</v>
      </c>
      <c r="E457" s="26">
        <v>36.799999999999997</v>
      </c>
      <c r="G457" s="17">
        <f t="shared" si="24"/>
        <v>44.184615384615384</v>
      </c>
      <c r="H457" s="27" t="str">
        <f t="shared" si="25"/>
        <v>NEGATIVO</v>
      </c>
      <c r="J457" s="17">
        <f t="shared" si="26"/>
        <v>41.028571428571432</v>
      </c>
    </row>
    <row r="458" spans="1:10">
      <c r="A458" s="61" t="s">
        <v>2530</v>
      </c>
      <c r="B458" t="s">
        <v>1100</v>
      </c>
      <c r="C458" s="30" t="s">
        <v>27</v>
      </c>
      <c r="D458" s="13">
        <v>3.99</v>
      </c>
      <c r="E458" s="13">
        <v>8</v>
      </c>
      <c r="G458" s="17">
        <f t="shared" si="24"/>
        <v>6.1384615384615389</v>
      </c>
      <c r="H458" s="27" t="str">
        <f t="shared" si="25"/>
        <v>POSITIVO</v>
      </c>
      <c r="J458" s="17">
        <f t="shared" si="26"/>
        <v>5.7000000000000011</v>
      </c>
    </row>
    <row r="459" spans="1:10">
      <c r="B459" t="s">
        <v>1101</v>
      </c>
      <c r="C459" s="24" t="s">
        <v>27</v>
      </c>
      <c r="D459" s="25">
        <v>14.13</v>
      </c>
      <c r="E459" s="26">
        <v>22</v>
      </c>
      <c r="G459" s="17">
        <f t="shared" si="24"/>
        <v>21.738461538461539</v>
      </c>
      <c r="H459" s="27" t="str">
        <f t="shared" si="25"/>
        <v>POSITIVO</v>
      </c>
      <c r="J459" s="17">
        <f t="shared" si="26"/>
        <v>20.185714285714287</v>
      </c>
    </row>
    <row r="460" spans="1:10">
      <c r="B460" t="s">
        <v>192</v>
      </c>
      <c r="C460" s="24" t="s">
        <v>27</v>
      </c>
      <c r="D460" s="25">
        <v>66.83</v>
      </c>
      <c r="E460" s="26">
        <v>110</v>
      </c>
      <c r="G460" s="17">
        <f t="shared" si="24"/>
        <v>102.81538461538462</v>
      </c>
      <c r="H460" s="27" t="str">
        <f t="shared" si="25"/>
        <v>POSITIVO</v>
      </c>
      <c r="J460" s="17">
        <f t="shared" si="26"/>
        <v>95.471428571428575</v>
      </c>
    </row>
    <row r="461" spans="1:10">
      <c r="B461" t="s">
        <v>762</v>
      </c>
      <c r="C461" s="24" t="s">
        <v>46</v>
      </c>
      <c r="D461" s="25">
        <v>77.989999999999995</v>
      </c>
      <c r="E461" s="26">
        <v>120</v>
      </c>
      <c r="G461" s="17">
        <f t="shared" si="24"/>
        <v>119.98461538461537</v>
      </c>
      <c r="H461" s="27" t="str">
        <f t="shared" si="25"/>
        <v>POSITIVO</v>
      </c>
      <c r="J461" s="17">
        <f t="shared" si="26"/>
        <v>111.41428571428571</v>
      </c>
    </row>
    <row r="462" spans="1:10">
      <c r="B462" t="s">
        <v>763</v>
      </c>
      <c r="C462" s="24" t="s">
        <v>46</v>
      </c>
      <c r="D462" s="25">
        <v>67.7</v>
      </c>
      <c r="E462" s="26">
        <v>105</v>
      </c>
      <c r="G462" s="17">
        <f t="shared" si="24"/>
        <v>104.15384615384616</v>
      </c>
      <c r="H462" s="27" t="str">
        <f t="shared" si="25"/>
        <v>POSITIVO</v>
      </c>
      <c r="J462" s="17">
        <f t="shared" si="26"/>
        <v>96.714285714285722</v>
      </c>
    </row>
    <row r="463" spans="1:10">
      <c r="B463" t="s">
        <v>193</v>
      </c>
      <c r="C463" s="24" t="s">
        <v>27</v>
      </c>
      <c r="D463" s="25">
        <v>0.33</v>
      </c>
      <c r="E463" s="26">
        <v>0.8</v>
      </c>
      <c r="G463" s="17">
        <f t="shared" si="24"/>
        <v>0.50769230769230766</v>
      </c>
      <c r="H463" s="27" t="str">
        <f t="shared" si="25"/>
        <v>POSITIVO</v>
      </c>
      <c r="J463" s="17">
        <f t="shared" si="26"/>
        <v>0.47142857142857147</v>
      </c>
    </row>
    <row r="464" spans="1:10">
      <c r="B464" t="s">
        <v>1298</v>
      </c>
      <c r="C464" s="30" t="s">
        <v>27</v>
      </c>
      <c r="D464" s="13">
        <v>1.24</v>
      </c>
      <c r="E464" s="13">
        <v>2.5</v>
      </c>
      <c r="G464" s="17">
        <f t="shared" si="24"/>
        <v>1.9076923076923076</v>
      </c>
      <c r="H464" s="27" t="str">
        <f t="shared" si="25"/>
        <v>POSITIVO</v>
      </c>
      <c r="J464" s="17">
        <f t="shared" si="26"/>
        <v>1.7714285714285716</v>
      </c>
    </row>
    <row r="465" spans="2:10">
      <c r="B465" t="s">
        <v>1299</v>
      </c>
      <c r="C465" s="30" t="s">
        <v>27</v>
      </c>
      <c r="D465" s="13">
        <v>1.85</v>
      </c>
      <c r="E465" s="13">
        <v>3</v>
      </c>
      <c r="G465" s="17">
        <f t="shared" si="24"/>
        <v>2.8461538461538463</v>
      </c>
      <c r="H465" s="27" t="str">
        <f t="shared" si="25"/>
        <v>POSITIVO</v>
      </c>
      <c r="J465" s="17">
        <f t="shared" si="26"/>
        <v>2.6428571428571432</v>
      </c>
    </row>
    <row r="466" spans="2:10">
      <c r="B466" t="s">
        <v>2070</v>
      </c>
      <c r="C466" s="30" t="s">
        <v>27</v>
      </c>
      <c r="D466" s="13">
        <v>6.9</v>
      </c>
      <c r="E466" s="13">
        <v>10.8</v>
      </c>
      <c r="G466" s="17">
        <f t="shared" si="24"/>
        <v>10.615384615384615</v>
      </c>
      <c r="H466" s="27" t="str">
        <f t="shared" si="25"/>
        <v>POSITIVO</v>
      </c>
      <c r="J466" s="17">
        <f t="shared" si="26"/>
        <v>9.8571428571428577</v>
      </c>
    </row>
    <row r="467" spans="2:10">
      <c r="B467" t="s">
        <v>2069</v>
      </c>
      <c r="C467" s="30" t="s">
        <v>27</v>
      </c>
      <c r="D467" s="13">
        <v>12.99</v>
      </c>
      <c r="E467" s="13">
        <v>20</v>
      </c>
      <c r="G467" s="17">
        <f t="shared" si="24"/>
        <v>19.984615384615385</v>
      </c>
      <c r="H467" s="27" t="str">
        <f t="shared" si="25"/>
        <v>POSITIVO</v>
      </c>
      <c r="J467" s="17">
        <f t="shared" si="26"/>
        <v>18.557142857142857</v>
      </c>
    </row>
    <row r="468" spans="2:10">
      <c r="B468" t="s">
        <v>194</v>
      </c>
      <c r="C468" s="24" t="s">
        <v>27</v>
      </c>
      <c r="D468" s="25">
        <v>4.18</v>
      </c>
      <c r="E468" s="26">
        <v>6.5</v>
      </c>
      <c r="G468" s="17">
        <f t="shared" si="24"/>
        <v>6.4307692307692301</v>
      </c>
      <c r="H468" s="27" t="str">
        <f t="shared" si="25"/>
        <v>POSITIVO</v>
      </c>
      <c r="J468" s="17">
        <f t="shared" si="26"/>
        <v>5.9714285714285715</v>
      </c>
    </row>
    <row r="469" spans="2:10">
      <c r="B469" t="s">
        <v>195</v>
      </c>
      <c r="C469" s="24" t="s">
        <v>27</v>
      </c>
      <c r="D469" s="25">
        <v>2.96</v>
      </c>
      <c r="E469" s="26">
        <v>5</v>
      </c>
      <c r="G469" s="17">
        <f t="shared" si="24"/>
        <v>4.5538461538461537</v>
      </c>
      <c r="H469" s="27" t="str">
        <f t="shared" si="25"/>
        <v>POSITIVO</v>
      </c>
      <c r="J469" s="17">
        <f t="shared" si="26"/>
        <v>4.2285714285714286</v>
      </c>
    </row>
    <row r="470" spans="2:10">
      <c r="B470" t="s">
        <v>844</v>
      </c>
      <c r="C470" s="24" t="s">
        <v>27</v>
      </c>
      <c r="D470" s="25">
        <v>0.69</v>
      </c>
      <c r="E470" s="25">
        <v>1</v>
      </c>
      <c r="G470" s="17">
        <f t="shared" si="24"/>
        <v>1.0615384615384613</v>
      </c>
      <c r="H470" s="27" t="str">
        <f t="shared" si="25"/>
        <v>NEGATIVO</v>
      </c>
      <c r="J470" s="17">
        <f t="shared" si="26"/>
        <v>0.98571428571428565</v>
      </c>
    </row>
    <row r="471" spans="2:10">
      <c r="B471" t="s">
        <v>843</v>
      </c>
      <c r="C471" s="24" t="s">
        <v>27</v>
      </c>
      <c r="D471" s="25">
        <v>0.48</v>
      </c>
      <c r="E471" s="26">
        <v>1</v>
      </c>
      <c r="G471" s="17">
        <f t="shared" si="24"/>
        <v>0.73846153846153839</v>
      </c>
      <c r="H471" s="27" t="str">
        <f t="shared" si="25"/>
        <v>POSITIVO</v>
      </c>
      <c r="J471" s="17">
        <f t="shared" si="26"/>
        <v>0.68571428571428572</v>
      </c>
    </row>
    <row r="472" spans="2:10">
      <c r="B472" t="s">
        <v>842</v>
      </c>
      <c r="C472" s="24" t="s">
        <v>27</v>
      </c>
      <c r="D472" s="25">
        <v>1.4</v>
      </c>
      <c r="E472" s="25">
        <v>2.5</v>
      </c>
      <c r="G472" s="17">
        <f t="shared" si="24"/>
        <v>2.1538461538461537</v>
      </c>
      <c r="H472" s="27" t="str">
        <f t="shared" si="25"/>
        <v>POSITIVO</v>
      </c>
      <c r="J472" s="17">
        <f t="shared" si="26"/>
        <v>2</v>
      </c>
    </row>
    <row r="473" spans="2:10">
      <c r="B473" t="s">
        <v>196</v>
      </c>
      <c r="C473" s="24" t="s">
        <v>27</v>
      </c>
      <c r="D473" s="25">
        <v>4.05</v>
      </c>
      <c r="E473" s="25">
        <v>6.7</v>
      </c>
      <c r="G473" s="17">
        <f t="shared" si="24"/>
        <v>6.2307692307692299</v>
      </c>
      <c r="H473" s="27" t="str">
        <f t="shared" si="25"/>
        <v>POSITIVO</v>
      </c>
      <c r="J473" s="17">
        <f t="shared" si="26"/>
        <v>5.7857142857142856</v>
      </c>
    </row>
    <row r="474" spans="2:10">
      <c r="B474" t="s">
        <v>845</v>
      </c>
      <c r="C474" s="30" t="s">
        <v>27</v>
      </c>
      <c r="D474" s="13">
        <v>2.9</v>
      </c>
      <c r="E474" s="13">
        <v>4.5</v>
      </c>
      <c r="G474" s="17">
        <f t="shared" si="24"/>
        <v>4.4615384615384617</v>
      </c>
      <c r="H474" s="27" t="str">
        <f t="shared" si="25"/>
        <v>POSITIVO</v>
      </c>
      <c r="J474" s="17">
        <f t="shared" si="26"/>
        <v>4.1428571428571432</v>
      </c>
    </row>
    <row r="475" spans="2:10">
      <c r="B475" t="s">
        <v>1221</v>
      </c>
      <c r="C475" s="24" t="s">
        <v>27</v>
      </c>
      <c r="D475" s="25">
        <v>4.99</v>
      </c>
      <c r="E475" s="26">
        <v>8</v>
      </c>
      <c r="G475" s="17">
        <f t="shared" si="24"/>
        <v>7.6769230769230772</v>
      </c>
      <c r="H475" s="27" t="str">
        <f t="shared" si="25"/>
        <v>POSITIVO</v>
      </c>
      <c r="J475" s="17">
        <f t="shared" si="26"/>
        <v>7.128571428571429</v>
      </c>
    </row>
    <row r="476" spans="2:10">
      <c r="B476" t="s">
        <v>1222</v>
      </c>
      <c r="C476" s="24" t="s">
        <v>27</v>
      </c>
      <c r="D476" s="25">
        <v>10.65</v>
      </c>
      <c r="E476" s="26">
        <v>15</v>
      </c>
      <c r="G476" s="17">
        <f t="shared" si="24"/>
        <v>16.384615384615383</v>
      </c>
      <c r="H476" s="27" t="str">
        <f t="shared" si="25"/>
        <v>NEGATIVO</v>
      </c>
      <c r="J476" s="17">
        <f t="shared" si="26"/>
        <v>15.214285714285715</v>
      </c>
    </row>
    <row r="477" spans="2:10">
      <c r="B477" t="s">
        <v>1223</v>
      </c>
      <c r="C477" s="24" t="s">
        <v>27</v>
      </c>
      <c r="D477" s="25">
        <v>4.3499999999999996</v>
      </c>
      <c r="E477" s="26">
        <v>8</v>
      </c>
      <c r="G477" s="17">
        <f t="shared" si="24"/>
        <v>6.6923076923076916</v>
      </c>
      <c r="H477" s="27" t="str">
        <f t="shared" si="25"/>
        <v>POSITIVO</v>
      </c>
      <c r="J477" s="17">
        <f t="shared" si="26"/>
        <v>6.2142857142857144</v>
      </c>
    </row>
    <row r="478" spans="2:10">
      <c r="B478" t="s">
        <v>1224</v>
      </c>
      <c r="C478" s="24" t="s">
        <v>27</v>
      </c>
      <c r="D478" s="25">
        <v>4.17</v>
      </c>
      <c r="E478" s="26">
        <v>8</v>
      </c>
      <c r="G478" s="17">
        <f t="shared" si="24"/>
        <v>6.4153846153846148</v>
      </c>
      <c r="H478" s="27" t="str">
        <f t="shared" si="25"/>
        <v>POSITIVO</v>
      </c>
      <c r="J478" s="17">
        <f t="shared" si="26"/>
        <v>5.9571428571428573</v>
      </c>
    </row>
    <row r="479" spans="2:10">
      <c r="B479" t="s">
        <v>1225</v>
      </c>
      <c r="C479" s="24" t="s">
        <v>27</v>
      </c>
      <c r="D479" s="25">
        <v>3.2</v>
      </c>
      <c r="E479" s="26">
        <v>4.95</v>
      </c>
      <c r="G479" s="17">
        <f t="shared" si="24"/>
        <v>4.9230769230769234</v>
      </c>
      <c r="H479" s="27" t="str">
        <f t="shared" si="25"/>
        <v>POSITIVO</v>
      </c>
      <c r="J479" s="17">
        <f t="shared" si="26"/>
        <v>4.5714285714285721</v>
      </c>
    </row>
    <row r="480" spans="2:10">
      <c r="B480" t="s">
        <v>1226</v>
      </c>
      <c r="C480" s="24" t="s">
        <v>27</v>
      </c>
      <c r="D480" s="25">
        <v>0.74</v>
      </c>
      <c r="E480" s="26">
        <v>2</v>
      </c>
      <c r="G480" s="17">
        <f t="shared" si="24"/>
        <v>1.1384615384615384</v>
      </c>
      <c r="H480" s="27" t="str">
        <f t="shared" si="25"/>
        <v>POSITIVO</v>
      </c>
      <c r="J480" s="17">
        <f t="shared" si="26"/>
        <v>1.0571428571428572</v>
      </c>
    </row>
    <row r="481" spans="2:10">
      <c r="B481" t="s">
        <v>197</v>
      </c>
      <c r="C481" s="24" t="s">
        <v>27</v>
      </c>
      <c r="D481" s="25">
        <v>5.69</v>
      </c>
      <c r="E481" s="26">
        <v>7.9</v>
      </c>
      <c r="G481" s="17">
        <f t="shared" si="24"/>
        <v>8.7538461538461547</v>
      </c>
      <c r="H481" s="27" t="str">
        <f t="shared" si="25"/>
        <v>NEGATIVO</v>
      </c>
      <c r="J481" s="17">
        <f t="shared" si="26"/>
        <v>8.1285714285714299</v>
      </c>
    </row>
    <row r="482" spans="2:10">
      <c r="B482" t="s">
        <v>198</v>
      </c>
      <c r="C482" s="24" t="s">
        <v>27</v>
      </c>
      <c r="D482" s="25">
        <v>2.96</v>
      </c>
      <c r="E482" s="26">
        <v>4.2</v>
      </c>
      <c r="G482" s="17">
        <f t="shared" si="24"/>
        <v>4.5538461538461537</v>
      </c>
      <c r="H482" s="27" t="str">
        <f t="shared" si="25"/>
        <v>NEGATIVO</v>
      </c>
      <c r="J482" s="17">
        <f t="shared" si="26"/>
        <v>4.2285714285714286</v>
      </c>
    </row>
    <row r="483" spans="2:10">
      <c r="B483" t="s">
        <v>1561</v>
      </c>
      <c r="C483" s="24" t="s">
        <v>27</v>
      </c>
      <c r="D483" s="13">
        <v>1.45</v>
      </c>
      <c r="E483" s="13">
        <v>2.5</v>
      </c>
      <c r="G483" s="17">
        <f t="shared" si="24"/>
        <v>2.2307692307692308</v>
      </c>
      <c r="H483" s="27" t="str">
        <f t="shared" si="25"/>
        <v>POSITIVO</v>
      </c>
      <c r="J483" s="17">
        <f t="shared" si="26"/>
        <v>2.0714285714285716</v>
      </c>
    </row>
    <row r="484" spans="2:10">
      <c r="B484" t="s">
        <v>199</v>
      </c>
      <c r="C484" s="24" t="s">
        <v>27</v>
      </c>
      <c r="D484" s="25">
        <v>1.46</v>
      </c>
      <c r="E484" s="26">
        <v>2.5</v>
      </c>
      <c r="G484" s="17">
        <f t="shared" si="24"/>
        <v>2.2461538461538462</v>
      </c>
      <c r="H484" s="27" t="str">
        <f t="shared" si="25"/>
        <v>POSITIVO</v>
      </c>
      <c r="J484" s="17">
        <f t="shared" si="26"/>
        <v>2.0857142857142859</v>
      </c>
    </row>
    <row r="485" spans="2:10">
      <c r="B485" t="s">
        <v>200</v>
      </c>
      <c r="C485" s="24" t="s">
        <v>27</v>
      </c>
      <c r="D485" s="25">
        <v>5.16</v>
      </c>
      <c r="E485" s="26">
        <v>8</v>
      </c>
      <c r="G485" s="17">
        <f t="shared" si="24"/>
        <v>7.9384615384615387</v>
      </c>
      <c r="H485" s="27" t="str">
        <f t="shared" si="25"/>
        <v>POSITIVO</v>
      </c>
      <c r="J485" s="17">
        <f t="shared" si="26"/>
        <v>7.3714285714285719</v>
      </c>
    </row>
    <row r="486" spans="2:10">
      <c r="B486" t="s">
        <v>201</v>
      </c>
      <c r="C486" s="24" t="s">
        <v>27</v>
      </c>
      <c r="D486" s="25">
        <v>1.94</v>
      </c>
      <c r="E486" s="26">
        <v>3</v>
      </c>
      <c r="G486" s="17">
        <f t="shared" si="24"/>
        <v>2.9846153846153842</v>
      </c>
      <c r="H486" s="27" t="str">
        <f t="shared" si="25"/>
        <v>POSITIVO</v>
      </c>
      <c r="J486" s="17">
        <f t="shared" si="26"/>
        <v>2.7714285714285714</v>
      </c>
    </row>
    <row r="487" spans="2:10">
      <c r="B487" t="s">
        <v>1227</v>
      </c>
      <c r="C487" s="24" t="s">
        <v>27</v>
      </c>
      <c r="D487" s="25">
        <v>8.99</v>
      </c>
      <c r="E487" s="26">
        <v>12.8</v>
      </c>
      <c r="G487" s="17">
        <f t="shared" si="24"/>
        <v>13.830769230769231</v>
      </c>
      <c r="H487" s="27" t="str">
        <f t="shared" si="25"/>
        <v>NEGATIVO</v>
      </c>
      <c r="J487" s="17">
        <f t="shared" si="26"/>
        <v>12.842857142857143</v>
      </c>
    </row>
    <row r="488" spans="2:10">
      <c r="B488" t="s">
        <v>1228</v>
      </c>
      <c r="C488" s="24" t="s">
        <v>27</v>
      </c>
      <c r="D488" s="25">
        <v>2.89</v>
      </c>
      <c r="E488" s="26">
        <v>4.2</v>
      </c>
      <c r="G488" s="17">
        <f t="shared" si="24"/>
        <v>4.4461538461538463</v>
      </c>
      <c r="H488" s="27" t="str">
        <f t="shared" si="25"/>
        <v>NEGATIVO</v>
      </c>
      <c r="J488" s="17">
        <f t="shared" si="26"/>
        <v>4.128571428571429</v>
      </c>
    </row>
    <row r="489" spans="2:10">
      <c r="B489" t="s">
        <v>202</v>
      </c>
      <c r="C489" s="24" t="s">
        <v>27</v>
      </c>
      <c r="D489" s="25">
        <v>8.99</v>
      </c>
      <c r="E489" s="26">
        <v>14</v>
      </c>
      <c r="G489" s="17">
        <f t="shared" si="24"/>
        <v>13.830769230769231</v>
      </c>
      <c r="H489" s="27" t="str">
        <f t="shared" si="25"/>
        <v>POSITIVO</v>
      </c>
      <c r="J489" s="17">
        <f t="shared" si="26"/>
        <v>12.842857142857143</v>
      </c>
    </row>
    <row r="490" spans="2:10">
      <c r="B490" t="s">
        <v>203</v>
      </c>
      <c r="C490" s="24" t="s">
        <v>27</v>
      </c>
      <c r="D490" s="25">
        <v>9.5</v>
      </c>
      <c r="E490" s="26">
        <v>15</v>
      </c>
      <c r="G490" s="17">
        <f t="shared" si="24"/>
        <v>14.615384615384615</v>
      </c>
      <c r="H490" s="27" t="str">
        <f t="shared" si="25"/>
        <v>POSITIVO</v>
      </c>
      <c r="J490" s="17">
        <f t="shared" si="26"/>
        <v>13.571428571428573</v>
      </c>
    </row>
    <row r="491" spans="2:10">
      <c r="B491" t="s">
        <v>204</v>
      </c>
      <c r="C491" s="24" t="s">
        <v>27</v>
      </c>
      <c r="D491" s="25">
        <v>1.48</v>
      </c>
      <c r="E491" s="26">
        <v>2.5</v>
      </c>
      <c r="G491" s="17">
        <f t="shared" si="24"/>
        <v>2.2769230769230768</v>
      </c>
      <c r="H491" s="27" t="str">
        <f t="shared" si="25"/>
        <v>POSITIVO</v>
      </c>
      <c r="J491" s="17">
        <f t="shared" si="26"/>
        <v>2.1142857142857143</v>
      </c>
    </row>
    <row r="492" spans="2:10">
      <c r="B492" t="s">
        <v>1869</v>
      </c>
      <c r="D492" s="13">
        <v>2.5</v>
      </c>
      <c r="E492" s="13">
        <v>3.9</v>
      </c>
      <c r="G492" s="17">
        <f t="shared" si="24"/>
        <v>3.8461538461538458</v>
      </c>
      <c r="H492" s="27" t="str">
        <f t="shared" si="25"/>
        <v>POSITIVO</v>
      </c>
      <c r="J492" s="17">
        <f t="shared" si="26"/>
        <v>3.5714285714285716</v>
      </c>
    </row>
    <row r="493" spans="2:10">
      <c r="B493" t="s">
        <v>892</v>
      </c>
      <c r="C493" s="24" t="s">
        <v>27</v>
      </c>
      <c r="D493" s="25">
        <v>0.82</v>
      </c>
      <c r="E493" s="26">
        <v>1.3</v>
      </c>
      <c r="G493" s="17">
        <f t="shared" si="24"/>
        <v>1.2615384615384615</v>
      </c>
      <c r="H493" s="27" t="str">
        <f t="shared" si="25"/>
        <v>POSITIVO</v>
      </c>
      <c r="J493" s="17">
        <f t="shared" si="26"/>
        <v>1.1714285714285715</v>
      </c>
    </row>
    <row r="494" spans="2:10">
      <c r="B494" t="s">
        <v>1868</v>
      </c>
      <c r="C494" s="30" t="s">
        <v>27</v>
      </c>
      <c r="D494" s="13">
        <v>1</v>
      </c>
      <c r="E494" s="13">
        <v>2</v>
      </c>
      <c r="G494" s="17">
        <f t="shared" si="24"/>
        <v>1.5384615384615383</v>
      </c>
      <c r="H494" s="27" t="str">
        <f t="shared" si="25"/>
        <v>POSITIVO</v>
      </c>
      <c r="J494" s="17">
        <f t="shared" si="26"/>
        <v>1.4285714285714286</v>
      </c>
    </row>
    <row r="495" spans="2:10">
      <c r="B495" t="s">
        <v>205</v>
      </c>
      <c r="C495" s="24" t="s">
        <v>27</v>
      </c>
      <c r="D495" s="25">
        <v>0.4</v>
      </c>
      <c r="E495" s="26">
        <v>1</v>
      </c>
      <c r="G495" s="17">
        <f t="shared" si="24"/>
        <v>0.61538461538461542</v>
      </c>
      <c r="H495" s="27" t="str">
        <f t="shared" si="25"/>
        <v>POSITIVO</v>
      </c>
      <c r="J495" s="17">
        <f t="shared" si="26"/>
        <v>0.57142857142857151</v>
      </c>
    </row>
    <row r="496" spans="2:10">
      <c r="B496" t="s">
        <v>206</v>
      </c>
      <c r="C496" s="24" t="s">
        <v>27</v>
      </c>
      <c r="D496" s="25">
        <v>0.56000000000000005</v>
      </c>
      <c r="E496" s="26">
        <v>1</v>
      </c>
      <c r="G496" s="17">
        <f t="shared" si="24"/>
        <v>0.86153846153846159</v>
      </c>
      <c r="H496" s="27" t="str">
        <f t="shared" si="25"/>
        <v>POSITIVO</v>
      </c>
      <c r="J496" s="17">
        <f t="shared" si="26"/>
        <v>0.80000000000000016</v>
      </c>
    </row>
    <row r="497" spans="2:10">
      <c r="B497" t="s">
        <v>207</v>
      </c>
      <c r="C497" s="24" t="s">
        <v>27</v>
      </c>
      <c r="D497" s="25">
        <v>13.57</v>
      </c>
      <c r="E497" s="26">
        <v>21</v>
      </c>
      <c r="G497" s="17">
        <f t="shared" si="24"/>
        <v>20.876923076923077</v>
      </c>
      <c r="H497" s="27" t="str">
        <f t="shared" si="25"/>
        <v>POSITIVO</v>
      </c>
      <c r="J497" s="17">
        <f t="shared" si="26"/>
        <v>19.385714285714286</v>
      </c>
    </row>
    <row r="498" spans="2:10">
      <c r="B498" t="s">
        <v>208</v>
      </c>
      <c r="C498" s="24" t="s">
        <v>27</v>
      </c>
      <c r="D498" s="25">
        <v>2.71</v>
      </c>
      <c r="E498" s="26">
        <v>5</v>
      </c>
      <c r="G498" s="17">
        <f t="shared" si="24"/>
        <v>4.1692307692307686</v>
      </c>
      <c r="H498" s="27" t="str">
        <f t="shared" si="25"/>
        <v>POSITIVO</v>
      </c>
      <c r="J498" s="17">
        <f t="shared" si="26"/>
        <v>3.8714285714285714</v>
      </c>
    </row>
    <row r="499" spans="2:10">
      <c r="B499" t="s">
        <v>209</v>
      </c>
      <c r="C499" s="24" t="s">
        <v>27</v>
      </c>
      <c r="D499" s="25">
        <v>3.43</v>
      </c>
      <c r="E499" s="26">
        <v>6</v>
      </c>
      <c r="G499" s="17">
        <f t="shared" si="24"/>
        <v>5.2769230769230768</v>
      </c>
      <c r="H499" s="27" t="str">
        <f t="shared" si="25"/>
        <v>POSITIVO</v>
      </c>
      <c r="J499" s="17">
        <f t="shared" si="26"/>
        <v>4.9000000000000004</v>
      </c>
    </row>
    <row r="500" spans="2:10">
      <c r="B500" t="s">
        <v>210</v>
      </c>
      <c r="C500" s="24" t="s">
        <v>27</v>
      </c>
      <c r="D500" s="25">
        <v>0.61</v>
      </c>
      <c r="E500" s="26">
        <v>1</v>
      </c>
      <c r="G500" s="17">
        <f t="shared" si="24"/>
        <v>0.93846153846153846</v>
      </c>
      <c r="H500" s="27" t="str">
        <f t="shared" si="25"/>
        <v>POSITIVO</v>
      </c>
      <c r="J500" s="17">
        <f t="shared" si="26"/>
        <v>0.87142857142857144</v>
      </c>
    </row>
    <row r="501" spans="2:10">
      <c r="B501" t="s">
        <v>211</v>
      </c>
      <c r="C501" s="24" t="s">
        <v>27</v>
      </c>
      <c r="D501" s="25">
        <v>1.1599999999999999</v>
      </c>
      <c r="E501" s="26">
        <v>1.5</v>
      </c>
      <c r="G501" s="17">
        <f t="shared" si="24"/>
        <v>1.7846153846153845</v>
      </c>
      <c r="H501" s="27" t="str">
        <f t="shared" si="25"/>
        <v>NEGATIVO</v>
      </c>
      <c r="J501" s="17">
        <f t="shared" si="26"/>
        <v>1.657142857142857</v>
      </c>
    </row>
    <row r="502" spans="2:10">
      <c r="B502" t="s">
        <v>212</v>
      </c>
      <c r="C502" s="24" t="s">
        <v>27</v>
      </c>
      <c r="D502" s="25">
        <v>3.78</v>
      </c>
      <c r="E502" s="26">
        <v>5.0999999999999996</v>
      </c>
      <c r="G502" s="17">
        <f t="shared" si="24"/>
        <v>5.8153846153846152</v>
      </c>
      <c r="H502" s="27" t="str">
        <f t="shared" si="25"/>
        <v>NEGATIVO</v>
      </c>
      <c r="J502" s="17">
        <f t="shared" si="26"/>
        <v>5.4</v>
      </c>
    </row>
    <row r="503" spans="2:10">
      <c r="B503" t="s">
        <v>213</v>
      </c>
      <c r="C503" s="24" t="s">
        <v>27</v>
      </c>
      <c r="D503" s="25">
        <v>4</v>
      </c>
      <c r="E503" s="26">
        <v>5.5</v>
      </c>
      <c r="G503" s="17">
        <f t="shared" si="24"/>
        <v>6.1538461538461533</v>
      </c>
      <c r="H503" s="27" t="str">
        <f t="shared" si="25"/>
        <v>NEGATIVO</v>
      </c>
      <c r="J503" s="17">
        <f t="shared" si="26"/>
        <v>5.7142857142857144</v>
      </c>
    </row>
    <row r="504" spans="2:10">
      <c r="B504" t="s">
        <v>214</v>
      </c>
      <c r="C504" s="24" t="s">
        <v>27</v>
      </c>
      <c r="D504" s="25">
        <v>3.17</v>
      </c>
      <c r="E504" s="26">
        <v>4.5</v>
      </c>
      <c r="G504" s="17">
        <f t="shared" si="24"/>
        <v>4.8769230769230765</v>
      </c>
      <c r="H504" s="27" t="str">
        <f t="shared" si="25"/>
        <v>NEGATIVO</v>
      </c>
      <c r="J504" s="17">
        <f t="shared" si="26"/>
        <v>4.5285714285714285</v>
      </c>
    </row>
    <row r="505" spans="2:10">
      <c r="B505" t="s">
        <v>215</v>
      </c>
      <c r="C505" s="24" t="s">
        <v>27</v>
      </c>
      <c r="D505" s="25">
        <v>4.84</v>
      </c>
      <c r="E505" s="26">
        <v>6.5</v>
      </c>
      <c r="G505" s="17">
        <f t="shared" si="24"/>
        <v>7.4461538461538455</v>
      </c>
      <c r="H505" s="27" t="str">
        <f t="shared" si="25"/>
        <v>NEGATIVO</v>
      </c>
      <c r="J505" s="17">
        <f t="shared" si="26"/>
        <v>6.9142857142857146</v>
      </c>
    </row>
    <row r="506" spans="2:10">
      <c r="B506" t="s">
        <v>216</v>
      </c>
      <c r="C506" s="24" t="s">
        <v>27</v>
      </c>
      <c r="D506" s="25">
        <v>3.84</v>
      </c>
      <c r="E506" s="26">
        <v>5.5</v>
      </c>
      <c r="G506" s="17">
        <f t="shared" si="24"/>
        <v>5.9076923076923071</v>
      </c>
      <c r="H506" s="27" t="str">
        <f t="shared" si="25"/>
        <v>NEGATIVO</v>
      </c>
      <c r="J506" s="17">
        <f t="shared" si="26"/>
        <v>5.4857142857142858</v>
      </c>
    </row>
    <row r="507" spans="2:10">
      <c r="B507" t="s">
        <v>217</v>
      </c>
      <c r="C507" s="24" t="s">
        <v>27</v>
      </c>
      <c r="D507" s="25">
        <v>4.33</v>
      </c>
      <c r="E507" s="26">
        <v>5.9</v>
      </c>
      <c r="G507" s="17">
        <f t="shared" si="24"/>
        <v>6.6615384615384619</v>
      </c>
      <c r="H507" s="27" t="str">
        <f t="shared" si="25"/>
        <v>NEGATIVO</v>
      </c>
      <c r="J507" s="17">
        <f t="shared" si="26"/>
        <v>6.1857142857142859</v>
      </c>
    </row>
    <row r="508" spans="2:10">
      <c r="B508" t="s">
        <v>218</v>
      </c>
      <c r="C508" s="24" t="s">
        <v>27</v>
      </c>
      <c r="D508" s="25">
        <v>2.04</v>
      </c>
      <c r="E508" s="26">
        <v>3</v>
      </c>
      <c r="G508" s="17">
        <f t="shared" si="24"/>
        <v>3.1384615384615384</v>
      </c>
      <c r="H508" s="27" t="str">
        <f t="shared" si="25"/>
        <v>NEGATIVO</v>
      </c>
      <c r="J508" s="17">
        <f t="shared" si="26"/>
        <v>2.9142857142857146</v>
      </c>
    </row>
    <row r="509" spans="2:10">
      <c r="B509" t="s">
        <v>219</v>
      </c>
      <c r="C509" s="24" t="s">
        <v>27</v>
      </c>
      <c r="D509" s="25">
        <v>3.06</v>
      </c>
      <c r="E509" s="26">
        <v>5.75</v>
      </c>
      <c r="G509" s="17">
        <f t="shared" ref="G509:G561" si="27">(D509/65%)</f>
        <v>4.7076923076923078</v>
      </c>
      <c r="H509" s="27" t="str">
        <f t="shared" ref="H509:H561" si="28">IF(E509&gt;=G509,"POSITIVO","NEGATIVO")</f>
        <v>POSITIVO</v>
      </c>
      <c r="J509" s="17">
        <f t="shared" ref="J509:J561" si="29">D509/70%</f>
        <v>4.3714285714285719</v>
      </c>
    </row>
    <row r="510" spans="2:10">
      <c r="B510" t="s">
        <v>220</v>
      </c>
      <c r="C510" s="24" t="s">
        <v>27</v>
      </c>
      <c r="D510" s="25">
        <v>4.87</v>
      </c>
      <c r="E510" s="26">
        <v>8</v>
      </c>
      <c r="G510" s="17">
        <f t="shared" si="27"/>
        <v>7.4923076923076923</v>
      </c>
      <c r="H510" s="27" t="str">
        <f t="shared" si="28"/>
        <v>POSITIVO</v>
      </c>
      <c r="J510" s="17">
        <f t="shared" si="29"/>
        <v>6.9571428571428573</v>
      </c>
    </row>
    <row r="511" spans="2:10">
      <c r="B511" t="s">
        <v>221</v>
      </c>
      <c r="C511" s="24" t="s">
        <v>27</v>
      </c>
      <c r="D511" s="25">
        <v>5.5</v>
      </c>
      <c r="E511" s="26">
        <v>8.5</v>
      </c>
      <c r="G511" s="17">
        <f t="shared" si="27"/>
        <v>8.4615384615384617</v>
      </c>
      <c r="H511" s="27" t="str">
        <f t="shared" si="28"/>
        <v>POSITIVO</v>
      </c>
      <c r="J511" s="17">
        <f t="shared" si="29"/>
        <v>7.8571428571428577</v>
      </c>
    </row>
    <row r="512" spans="2:10">
      <c r="B512" t="s">
        <v>222</v>
      </c>
      <c r="C512" s="24" t="s">
        <v>27</v>
      </c>
      <c r="D512" s="25">
        <v>23.18</v>
      </c>
      <c r="E512" s="26">
        <v>36</v>
      </c>
      <c r="G512" s="17">
        <f t="shared" si="27"/>
        <v>35.661538461538463</v>
      </c>
      <c r="H512" s="27" t="str">
        <f t="shared" si="28"/>
        <v>POSITIVO</v>
      </c>
      <c r="J512" s="17">
        <f t="shared" si="29"/>
        <v>33.114285714285714</v>
      </c>
    </row>
    <row r="513" spans="2:10">
      <c r="B513" t="s">
        <v>223</v>
      </c>
      <c r="C513" s="24" t="s">
        <v>27</v>
      </c>
      <c r="D513" s="25">
        <v>0.8</v>
      </c>
      <c r="E513" s="26">
        <v>2</v>
      </c>
      <c r="G513" s="17">
        <f t="shared" si="27"/>
        <v>1.2307692307692308</v>
      </c>
      <c r="H513" s="27" t="str">
        <f t="shared" si="28"/>
        <v>POSITIVO</v>
      </c>
      <c r="J513" s="17">
        <f t="shared" si="29"/>
        <v>1.142857142857143</v>
      </c>
    </row>
    <row r="514" spans="2:10">
      <c r="B514" t="s">
        <v>224</v>
      </c>
      <c r="C514" s="24" t="s">
        <v>27</v>
      </c>
      <c r="D514" s="25">
        <v>3.53</v>
      </c>
      <c r="E514" s="26">
        <v>5.5</v>
      </c>
      <c r="G514" s="17">
        <f t="shared" si="27"/>
        <v>5.4307692307692301</v>
      </c>
      <c r="H514" s="27" t="str">
        <f t="shared" si="28"/>
        <v>POSITIVO</v>
      </c>
      <c r="J514" s="17">
        <f t="shared" si="29"/>
        <v>5.0428571428571427</v>
      </c>
    </row>
    <row r="515" spans="2:10">
      <c r="B515" t="s">
        <v>225</v>
      </c>
      <c r="C515" s="24" t="s">
        <v>27</v>
      </c>
      <c r="D515" s="25">
        <v>4.3600000000000003</v>
      </c>
      <c r="E515" s="26">
        <v>6.9</v>
      </c>
      <c r="G515" s="17">
        <f t="shared" si="27"/>
        <v>6.7076923076923078</v>
      </c>
      <c r="H515" s="27" t="str">
        <f t="shared" si="28"/>
        <v>POSITIVO</v>
      </c>
      <c r="J515" s="17">
        <f t="shared" si="29"/>
        <v>6.2285714285714295</v>
      </c>
    </row>
    <row r="516" spans="2:10">
      <c r="B516" t="s">
        <v>1445</v>
      </c>
      <c r="C516" s="24" t="s">
        <v>27</v>
      </c>
      <c r="D516" s="25">
        <v>7.95</v>
      </c>
      <c r="E516" s="26">
        <v>10.8</v>
      </c>
      <c r="G516" s="17">
        <f t="shared" si="27"/>
        <v>12.23076923076923</v>
      </c>
      <c r="H516" s="27" t="str">
        <f t="shared" si="28"/>
        <v>NEGATIVO</v>
      </c>
      <c r="J516" s="17">
        <f t="shared" si="29"/>
        <v>11.357142857142858</v>
      </c>
    </row>
    <row r="517" spans="2:10">
      <c r="B517" t="s">
        <v>226</v>
      </c>
      <c r="C517" s="24" t="s">
        <v>27</v>
      </c>
      <c r="D517" s="25">
        <v>24.45</v>
      </c>
      <c r="E517" s="26">
        <v>38</v>
      </c>
      <c r="G517" s="17">
        <f t="shared" si="27"/>
        <v>37.615384615384613</v>
      </c>
      <c r="H517" s="27" t="str">
        <f t="shared" si="28"/>
        <v>POSITIVO</v>
      </c>
      <c r="J517" s="17">
        <f t="shared" si="29"/>
        <v>34.928571428571431</v>
      </c>
    </row>
    <row r="518" spans="2:10">
      <c r="B518" t="s">
        <v>227</v>
      </c>
      <c r="C518" s="24" t="s">
        <v>27</v>
      </c>
      <c r="D518" s="25">
        <v>13.9</v>
      </c>
      <c r="E518" s="26">
        <v>22</v>
      </c>
      <c r="G518" s="17">
        <f t="shared" si="27"/>
        <v>21.384615384615383</v>
      </c>
      <c r="H518" s="27" t="str">
        <f t="shared" si="28"/>
        <v>POSITIVO</v>
      </c>
      <c r="J518" s="17">
        <f t="shared" si="29"/>
        <v>19.857142857142858</v>
      </c>
    </row>
    <row r="519" spans="2:10">
      <c r="B519" t="s">
        <v>1889</v>
      </c>
      <c r="C519" s="24" t="s">
        <v>27</v>
      </c>
      <c r="D519" s="25">
        <v>4.12</v>
      </c>
      <c r="E519" s="26">
        <v>6.5</v>
      </c>
      <c r="G519" s="17">
        <f t="shared" si="27"/>
        <v>6.3384615384615381</v>
      </c>
      <c r="H519" s="27" t="str">
        <f t="shared" si="28"/>
        <v>POSITIVO</v>
      </c>
      <c r="J519" s="17">
        <f t="shared" si="29"/>
        <v>5.8857142857142861</v>
      </c>
    </row>
    <row r="520" spans="2:10">
      <c r="B520" t="s">
        <v>1888</v>
      </c>
      <c r="C520" s="24" t="s">
        <v>27</v>
      </c>
      <c r="D520" s="25">
        <v>5</v>
      </c>
      <c r="E520" s="26">
        <v>8</v>
      </c>
      <c r="G520" s="17">
        <f t="shared" si="27"/>
        <v>7.6923076923076916</v>
      </c>
      <c r="H520" s="27" t="str">
        <f t="shared" si="28"/>
        <v>POSITIVO</v>
      </c>
      <c r="J520" s="17">
        <f t="shared" si="29"/>
        <v>7.1428571428571432</v>
      </c>
    </row>
    <row r="521" spans="2:10">
      <c r="B521" t="s">
        <v>228</v>
      </c>
      <c r="C521" s="24" t="s">
        <v>27</v>
      </c>
      <c r="D521" s="25">
        <v>12.8</v>
      </c>
      <c r="E521" s="26">
        <v>19.899999999999999</v>
      </c>
      <c r="G521" s="17">
        <f t="shared" si="27"/>
        <v>19.692307692307693</v>
      </c>
      <c r="H521" s="27" t="str">
        <f t="shared" si="28"/>
        <v>POSITIVO</v>
      </c>
      <c r="J521" s="17">
        <f t="shared" si="29"/>
        <v>18.285714285714288</v>
      </c>
    </row>
    <row r="522" spans="2:10">
      <c r="B522" t="s">
        <v>1557</v>
      </c>
      <c r="C522" s="24" t="s">
        <v>27</v>
      </c>
      <c r="D522" s="25">
        <v>29.43</v>
      </c>
      <c r="E522" s="26">
        <v>42</v>
      </c>
      <c r="G522" s="17">
        <f t="shared" si="27"/>
        <v>45.276923076923076</v>
      </c>
      <c r="H522" s="27" t="str">
        <f t="shared" si="28"/>
        <v>NEGATIVO</v>
      </c>
      <c r="J522" s="17">
        <f t="shared" si="29"/>
        <v>42.042857142857144</v>
      </c>
    </row>
    <row r="523" spans="2:10">
      <c r="B523" t="s">
        <v>1558</v>
      </c>
      <c r="C523" s="24" t="s">
        <v>27</v>
      </c>
      <c r="D523" s="13">
        <v>31.98</v>
      </c>
      <c r="E523" s="13">
        <v>51</v>
      </c>
      <c r="G523" s="17">
        <f t="shared" si="27"/>
        <v>49.199999999999996</v>
      </c>
      <c r="H523" s="27" t="str">
        <f t="shared" si="28"/>
        <v>POSITIVO</v>
      </c>
      <c r="J523" s="17">
        <f t="shared" si="29"/>
        <v>45.68571428571429</v>
      </c>
    </row>
    <row r="524" spans="2:10">
      <c r="B524" t="s">
        <v>764</v>
      </c>
      <c r="C524" s="24" t="s">
        <v>27</v>
      </c>
      <c r="D524" s="25">
        <v>2.2999999999999998</v>
      </c>
      <c r="E524" s="26">
        <v>3.6</v>
      </c>
      <c r="G524" s="17">
        <f t="shared" si="27"/>
        <v>3.5384615384615379</v>
      </c>
      <c r="H524" s="27" t="str">
        <f t="shared" si="28"/>
        <v>POSITIVO</v>
      </c>
      <c r="J524" s="17">
        <f t="shared" si="29"/>
        <v>3.2857142857142856</v>
      </c>
    </row>
    <row r="525" spans="2:10">
      <c r="B525" t="s">
        <v>765</v>
      </c>
      <c r="C525" s="24" t="s">
        <v>27</v>
      </c>
      <c r="D525" s="25">
        <v>8.6300000000000008</v>
      </c>
      <c r="E525" s="26">
        <v>12</v>
      </c>
      <c r="G525" s="17">
        <f t="shared" si="27"/>
        <v>13.276923076923078</v>
      </c>
      <c r="H525" s="27" t="str">
        <f t="shared" si="28"/>
        <v>NEGATIVO</v>
      </c>
      <c r="J525" s="17">
        <f t="shared" si="29"/>
        <v>12.328571428571431</v>
      </c>
    </row>
    <row r="526" spans="2:10">
      <c r="B526" t="s">
        <v>229</v>
      </c>
      <c r="C526" s="24" t="s">
        <v>27</v>
      </c>
      <c r="D526" s="25">
        <v>16.010000000000002</v>
      </c>
      <c r="E526" s="26">
        <v>22.4</v>
      </c>
      <c r="G526" s="17">
        <f t="shared" si="27"/>
        <v>24.630769230769232</v>
      </c>
      <c r="H526" s="27" t="str">
        <f t="shared" si="28"/>
        <v>NEGATIVO</v>
      </c>
      <c r="J526" s="17">
        <f t="shared" si="29"/>
        <v>22.871428571428574</v>
      </c>
    </row>
    <row r="527" spans="2:10">
      <c r="B527" t="s">
        <v>1707</v>
      </c>
      <c r="C527" s="30" t="s">
        <v>27</v>
      </c>
      <c r="D527" s="13">
        <v>14</v>
      </c>
      <c r="E527" s="13">
        <v>23</v>
      </c>
      <c r="G527" s="17">
        <f t="shared" si="27"/>
        <v>21.538461538461537</v>
      </c>
      <c r="H527" s="27" t="str">
        <f t="shared" si="28"/>
        <v>POSITIVO</v>
      </c>
      <c r="J527" s="17">
        <f t="shared" si="29"/>
        <v>20</v>
      </c>
    </row>
    <row r="528" spans="2:10">
      <c r="B528" t="s">
        <v>1321</v>
      </c>
      <c r="C528" s="30" t="s">
        <v>27</v>
      </c>
      <c r="D528" s="13">
        <v>12.7</v>
      </c>
      <c r="E528" s="13">
        <v>20</v>
      </c>
      <c r="G528" s="17">
        <f t="shared" si="27"/>
        <v>19.538461538461537</v>
      </c>
      <c r="H528" s="27" t="str">
        <f t="shared" si="28"/>
        <v>POSITIVO</v>
      </c>
      <c r="J528" s="17">
        <f t="shared" si="29"/>
        <v>18.142857142857142</v>
      </c>
    </row>
    <row r="529" spans="2:10">
      <c r="B529" t="s">
        <v>1499</v>
      </c>
      <c r="C529" s="30" t="s">
        <v>27</v>
      </c>
      <c r="D529" s="13">
        <v>14.8</v>
      </c>
      <c r="E529" s="13">
        <v>23</v>
      </c>
      <c r="G529" s="17">
        <f t="shared" si="27"/>
        <v>22.76923076923077</v>
      </c>
      <c r="H529" s="27" t="str">
        <f t="shared" si="28"/>
        <v>POSITIVO</v>
      </c>
      <c r="J529" s="17">
        <f t="shared" si="29"/>
        <v>21.142857142857146</v>
      </c>
    </row>
    <row r="530" spans="2:10">
      <c r="B530" t="s">
        <v>1121</v>
      </c>
      <c r="C530" s="24" t="s">
        <v>27</v>
      </c>
      <c r="D530" s="25">
        <v>7.3</v>
      </c>
      <c r="E530" s="26">
        <v>12.3</v>
      </c>
      <c r="G530" s="17">
        <f t="shared" si="27"/>
        <v>11.23076923076923</v>
      </c>
      <c r="H530" s="27" t="str">
        <f t="shared" si="28"/>
        <v>POSITIVO</v>
      </c>
      <c r="J530" s="17">
        <f t="shared" si="29"/>
        <v>10.428571428571429</v>
      </c>
    </row>
    <row r="531" spans="2:10">
      <c r="B531" t="s">
        <v>1122</v>
      </c>
      <c r="C531" s="24" t="s">
        <v>27</v>
      </c>
      <c r="D531" s="25">
        <v>9.82</v>
      </c>
      <c r="E531" s="26">
        <v>17</v>
      </c>
      <c r="G531" s="17">
        <f t="shared" si="27"/>
        <v>15.107692307692307</v>
      </c>
      <c r="H531" s="27" t="str">
        <f t="shared" si="28"/>
        <v>POSITIVO</v>
      </c>
      <c r="J531" s="17">
        <f t="shared" si="29"/>
        <v>14.02857142857143</v>
      </c>
    </row>
    <row r="532" spans="2:10">
      <c r="B532" t="s">
        <v>1123</v>
      </c>
      <c r="C532" s="24" t="s">
        <v>27</v>
      </c>
      <c r="D532" s="25">
        <v>16.989999999999998</v>
      </c>
      <c r="E532" s="26">
        <v>23.8</v>
      </c>
      <c r="G532" s="17">
        <f t="shared" si="27"/>
        <v>26.138461538461534</v>
      </c>
      <c r="H532" s="27" t="str">
        <f t="shared" si="28"/>
        <v>NEGATIVO</v>
      </c>
      <c r="J532" s="17">
        <f t="shared" si="29"/>
        <v>24.271428571428572</v>
      </c>
    </row>
    <row r="533" spans="2:10">
      <c r="B533" t="s">
        <v>1124</v>
      </c>
      <c r="C533" s="24" t="s">
        <v>27</v>
      </c>
      <c r="D533" s="25">
        <v>15.48</v>
      </c>
      <c r="E533" s="26">
        <v>24.9</v>
      </c>
      <c r="G533" s="17">
        <f t="shared" si="27"/>
        <v>23.815384615384616</v>
      </c>
      <c r="H533" s="27" t="str">
        <f t="shared" si="28"/>
        <v>POSITIVO</v>
      </c>
      <c r="J533" s="17">
        <f t="shared" si="29"/>
        <v>22.114285714285717</v>
      </c>
    </row>
    <row r="534" spans="2:10">
      <c r="B534" t="s">
        <v>1125</v>
      </c>
      <c r="C534" s="24" t="s">
        <v>27</v>
      </c>
      <c r="D534" s="25">
        <v>36.93</v>
      </c>
      <c r="E534" s="26">
        <v>63.5</v>
      </c>
      <c r="G534" s="17">
        <f t="shared" si="27"/>
        <v>56.815384615384616</v>
      </c>
      <c r="H534" s="27" t="str">
        <f t="shared" si="28"/>
        <v>POSITIVO</v>
      </c>
      <c r="J534" s="17">
        <f t="shared" si="29"/>
        <v>52.75714285714286</v>
      </c>
    </row>
    <row r="535" spans="2:10">
      <c r="B535" t="s">
        <v>1219</v>
      </c>
      <c r="C535" s="24" t="s">
        <v>27</v>
      </c>
      <c r="D535" s="25">
        <v>4.67</v>
      </c>
      <c r="E535" s="26">
        <v>6.4</v>
      </c>
      <c r="G535" s="17">
        <f t="shared" si="27"/>
        <v>7.184615384615384</v>
      </c>
      <c r="H535" s="27" t="str">
        <f t="shared" si="28"/>
        <v>NEGATIVO</v>
      </c>
      <c r="J535" s="17">
        <f t="shared" si="29"/>
        <v>6.6714285714285717</v>
      </c>
    </row>
    <row r="536" spans="2:10">
      <c r="B536" t="s">
        <v>1218</v>
      </c>
      <c r="C536" s="24" t="s">
        <v>27</v>
      </c>
      <c r="D536" s="25">
        <v>3.49</v>
      </c>
      <c r="E536" s="26">
        <v>5.6</v>
      </c>
      <c r="G536" s="17">
        <f t="shared" si="27"/>
        <v>5.3692307692307697</v>
      </c>
      <c r="H536" s="27" t="str">
        <f t="shared" si="28"/>
        <v>POSITIVO</v>
      </c>
      <c r="J536" s="17">
        <f t="shared" si="29"/>
        <v>4.9857142857142867</v>
      </c>
    </row>
    <row r="537" spans="2:10">
      <c r="B537" t="s">
        <v>1217</v>
      </c>
      <c r="C537" s="24" t="s">
        <v>27</v>
      </c>
      <c r="D537" s="25">
        <v>5.22</v>
      </c>
      <c r="E537" s="26">
        <v>7.5</v>
      </c>
      <c r="G537" s="17">
        <f t="shared" si="27"/>
        <v>8.0307692307692307</v>
      </c>
      <c r="H537" s="27" t="str">
        <f t="shared" si="28"/>
        <v>NEGATIVO</v>
      </c>
      <c r="J537" s="17">
        <f t="shared" si="29"/>
        <v>7.4571428571428573</v>
      </c>
    </row>
    <row r="538" spans="2:10">
      <c r="B538" t="s">
        <v>230</v>
      </c>
      <c r="C538" s="24" t="s">
        <v>27</v>
      </c>
      <c r="D538" s="25">
        <v>15.99</v>
      </c>
      <c r="E538" s="26">
        <v>25</v>
      </c>
      <c r="G538" s="17">
        <f t="shared" si="27"/>
        <v>24.599999999999998</v>
      </c>
      <c r="H538" s="27" t="str">
        <f t="shared" si="28"/>
        <v>POSITIVO</v>
      </c>
      <c r="J538" s="17">
        <f t="shared" si="29"/>
        <v>22.842857142857145</v>
      </c>
    </row>
    <row r="539" spans="2:10">
      <c r="B539" t="s">
        <v>1630</v>
      </c>
      <c r="C539" s="24" t="s">
        <v>27</v>
      </c>
      <c r="D539" s="25">
        <v>6.15</v>
      </c>
      <c r="E539" s="25">
        <v>9.8000000000000007</v>
      </c>
      <c r="G539" s="17">
        <f t="shared" si="27"/>
        <v>9.4615384615384617</v>
      </c>
      <c r="H539" s="27" t="str">
        <f t="shared" si="28"/>
        <v>POSITIVO</v>
      </c>
      <c r="J539" s="17">
        <f t="shared" si="29"/>
        <v>8.7857142857142865</v>
      </c>
    </row>
    <row r="540" spans="2:10">
      <c r="B540" t="s">
        <v>1624</v>
      </c>
      <c r="C540" s="24" t="s">
        <v>27</v>
      </c>
      <c r="D540" s="25">
        <v>3.1</v>
      </c>
      <c r="E540" s="26">
        <v>4.8</v>
      </c>
      <c r="G540" s="17">
        <f t="shared" si="27"/>
        <v>4.7692307692307692</v>
      </c>
      <c r="H540" s="27" t="str">
        <f t="shared" si="28"/>
        <v>POSITIVO</v>
      </c>
      <c r="J540" s="17">
        <f t="shared" si="29"/>
        <v>4.4285714285714288</v>
      </c>
    </row>
    <row r="541" spans="2:10">
      <c r="B541" t="s">
        <v>1626</v>
      </c>
      <c r="C541" s="24" t="s">
        <v>27</v>
      </c>
      <c r="D541" s="25">
        <v>3.3</v>
      </c>
      <c r="E541" s="26">
        <v>5</v>
      </c>
      <c r="G541" s="17">
        <f t="shared" si="27"/>
        <v>5.0769230769230766</v>
      </c>
      <c r="H541" s="27" t="str">
        <f t="shared" si="28"/>
        <v>NEGATIVO</v>
      </c>
      <c r="J541" s="17">
        <f t="shared" si="29"/>
        <v>4.7142857142857144</v>
      </c>
    </row>
    <row r="542" spans="2:10">
      <c r="B542" t="s">
        <v>1628</v>
      </c>
      <c r="C542" s="24" t="s">
        <v>27</v>
      </c>
      <c r="D542" s="25">
        <v>7.4</v>
      </c>
      <c r="E542" s="26">
        <v>12</v>
      </c>
      <c r="G542" s="17">
        <f t="shared" si="27"/>
        <v>11.384615384615385</v>
      </c>
      <c r="H542" s="27" t="str">
        <f t="shared" si="28"/>
        <v>POSITIVO</v>
      </c>
      <c r="J542" s="17">
        <f t="shared" si="29"/>
        <v>10.571428571428573</v>
      </c>
    </row>
    <row r="543" spans="2:10">
      <c r="B543" t="s">
        <v>1631</v>
      </c>
      <c r="C543" s="24" t="s">
        <v>27</v>
      </c>
      <c r="D543" s="25">
        <v>5.3</v>
      </c>
      <c r="E543" s="26">
        <v>8.1999999999999993</v>
      </c>
      <c r="G543" s="17">
        <f t="shared" si="27"/>
        <v>8.1538461538461533</v>
      </c>
      <c r="H543" s="27" t="str">
        <f t="shared" si="28"/>
        <v>POSITIVO</v>
      </c>
      <c r="J543" s="17">
        <f t="shared" si="29"/>
        <v>7.5714285714285721</v>
      </c>
    </row>
    <row r="544" spans="2:10">
      <c r="B544" t="s">
        <v>1677</v>
      </c>
      <c r="C544" s="30" t="s">
        <v>27</v>
      </c>
      <c r="D544" s="13">
        <v>15.5</v>
      </c>
      <c r="E544" s="13">
        <v>23.9</v>
      </c>
      <c r="G544" s="17">
        <f t="shared" si="27"/>
        <v>23.846153846153847</v>
      </c>
      <c r="H544" s="27" t="str">
        <f t="shared" si="28"/>
        <v>POSITIVO</v>
      </c>
      <c r="J544" s="17">
        <f t="shared" si="29"/>
        <v>22.142857142857146</v>
      </c>
    </row>
    <row r="545" spans="2:10">
      <c r="B545" t="s">
        <v>1625</v>
      </c>
      <c r="C545" s="24" t="s">
        <v>27</v>
      </c>
      <c r="D545" s="25">
        <v>0.87</v>
      </c>
      <c r="E545" s="26">
        <v>2</v>
      </c>
      <c r="G545" s="17">
        <f t="shared" si="27"/>
        <v>1.3384615384615384</v>
      </c>
      <c r="H545" s="27" t="str">
        <f t="shared" si="28"/>
        <v>POSITIVO</v>
      </c>
      <c r="J545" s="17">
        <f t="shared" si="29"/>
        <v>1.2428571428571429</v>
      </c>
    </row>
    <row r="546" spans="2:10">
      <c r="B546" t="s">
        <v>1627</v>
      </c>
      <c r="C546" s="24" t="s">
        <v>27</v>
      </c>
      <c r="D546" s="25">
        <v>1.87</v>
      </c>
      <c r="E546" s="26">
        <v>3.5</v>
      </c>
      <c r="G546" s="17">
        <f t="shared" si="27"/>
        <v>2.8769230769230769</v>
      </c>
      <c r="H546" s="27" t="str">
        <f t="shared" si="28"/>
        <v>POSITIVO</v>
      </c>
      <c r="J546" s="17">
        <f t="shared" si="29"/>
        <v>2.6714285714285717</v>
      </c>
    </row>
    <row r="547" spans="2:10">
      <c r="B547" t="s">
        <v>1629</v>
      </c>
      <c r="C547" s="24" t="s">
        <v>27</v>
      </c>
      <c r="D547" s="25">
        <v>4.1500000000000004</v>
      </c>
      <c r="E547" s="26">
        <v>6.8</v>
      </c>
      <c r="G547" s="17">
        <f t="shared" si="27"/>
        <v>6.384615384615385</v>
      </c>
      <c r="H547" s="27" t="str">
        <f t="shared" si="28"/>
        <v>POSITIVO</v>
      </c>
      <c r="J547" s="17">
        <f t="shared" si="29"/>
        <v>5.9285714285714297</v>
      </c>
    </row>
    <row r="548" spans="2:10">
      <c r="B548" t="s">
        <v>231</v>
      </c>
      <c r="C548" s="24" t="s">
        <v>27</v>
      </c>
      <c r="D548" s="25">
        <v>1.69</v>
      </c>
      <c r="E548" s="26">
        <v>2.5</v>
      </c>
      <c r="G548" s="17">
        <f t="shared" si="27"/>
        <v>2.5999999999999996</v>
      </c>
      <c r="H548" s="27" t="str">
        <f t="shared" si="28"/>
        <v>NEGATIVO</v>
      </c>
      <c r="J548" s="17">
        <f t="shared" si="29"/>
        <v>2.4142857142857141</v>
      </c>
    </row>
    <row r="549" spans="2:10">
      <c r="B549" t="s">
        <v>1126</v>
      </c>
      <c r="C549" s="24" t="s">
        <v>27</v>
      </c>
      <c r="D549" s="25">
        <v>1.02</v>
      </c>
      <c r="E549" s="26">
        <v>2</v>
      </c>
      <c r="G549" s="17">
        <f t="shared" si="27"/>
        <v>1.5692307692307692</v>
      </c>
      <c r="H549" s="27" t="str">
        <f t="shared" si="28"/>
        <v>POSITIVO</v>
      </c>
      <c r="J549" s="17">
        <f t="shared" si="29"/>
        <v>1.4571428571428573</v>
      </c>
    </row>
    <row r="550" spans="2:10">
      <c r="B550" t="s">
        <v>1126</v>
      </c>
      <c r="C550" s="24" t="s">
        <v>27</v>
      </c>
      <c r="D550" s="25">
        <v>4</v>
      </c>
      <c r="E550" s="25">
        <v>5.5</v>
      </c>
      <c r="G550" s="17">
        <f t="shared" si="27"/>
        <v>6.1538461538461533</v>
      </c>
      <c r="H550" s="27" t="str">
        <f t="shared" si="28"/>
        <v>NEGATIVO</v>
      </c>
      <c r="J550" s="17">
        <f t="shared" si="29"/>
        <v>5.7142857142857144</v>
      </c>
    </row>
    <row r="551" spans="2:10">
      <c r="B551" t="s">
        <v>232</v>
      </c>
      <c r="C551" s="24" t="s">
        <v>27</v>
      </c>
      <c r="D551" s="25">
        <v>5.59</v>
      </c>
      <c r="E551" s="25">
        <v>7.9</v>
      </c>
      <c r="G551" s="17">
        <f t="shared" si="27"/>
        <v>8.6</v>
      </c>
      <c r="H551" s="27" t="str">
        <f t="shared" si="28"/>
        <v>NEGATIVO</v>
      </c>
      <c r="J551" s="17">
        <f t="shared" si="29"/>
        <v>7.9857142857142858</v>
      </c>
    </row>
    <row r="552" spans="2:10">
      <c r="B552" t="s">
        <v>233</v>
      </c>
      <c r="C552" s="24" t="s">
        <v>27</v>
      </c>
      <c r="D552" s="25">
        <v>0.43</v>
      </c>
      <c r="E552" s="26">
        <v>1.5</v>
      </c>
      <c r="G552" s="17">
        <f t="shared" si="27"/>
        <v>0.66153846153846152</v>
      </c>
      <c r="H552" s="27" t="str">
        <f t="shared" si="28"/>
        <v>POSITIVO</v>
      </c>
      <c r="J552" s="17">
        <f t="shared" si="29"/>
        <v>0.61428571428571432</v>
      </c>
    </row>
    <row r="553" spans="2:10">
      <c r="B553" t="s">
        <v>234</v>
      </c>
      <c r="C553" s="24" t="s">
        <v>27</v>
      </c>
      <c r="D553" s="25">
        <v>0.45</v>
      </c>
      <c r="E553" s="26">
        <v>2</v>
      </c>
      <c r="G553" s="17">
        <f t="shared" si="27"/>
        <v>0.69230769230769229</v>
      </c>
      <c r="H553" s="27" t="str">
        <f t="shared" si="28"/>
        <v>POSITIVO</v>
      </c>
      <c r="J553" s="17">
        <f t="shared" si="29"/>
        <v>0.6428571428571429</v>
      </c>
    </row>
    <row r="554" spans="2:10">
      <c r="B554" t="s">
        <v>235</v>
      </c>
      <c r="C554" s="24" t="s">
        <v>27</v>
      </c>
      <c r="D554" s="25">
        <v>2.6</v>
      </c>
      <c r="E554" s="26">
        <v>4</v>
      </c>
      <c r="G554" s="17">
        <f t="shared" si="27"/>
        <v>4</v>
      </c>
      <c r="H554" s="27" t="str">
        <f t="shared" si="28"/>
        <v>POSITIVO</v>
      </c>
      <c r="J554" s="17">
        <f t="shared" si="29"/>
        <v>3.7142857142857149</v>
      </c>
    </row>
    <row r="555" spans="2:10">
      <c r="B555" t="s">
        <v>2074</v>
      </c>
      <c r="C555" s="24" t="s">
        <v>27</v>
      </c>
      <c r="D555" s="25">
        <v>2</v>
      </c>
      <c r="E555" s="26">
        <v>3.5</v>
      </c>
      <c r="G555" s="17">
        <f t="shared" si="27"/>
        <v>3.0769230769230766</v>
      </c>
      <c r="H555" s="27" t="str">
        <f t="shared" si="28"/>
        <v>POSITIVO</v>
      </c>
      <c r="J555" s="17">
        <f t="shared" si="29"/>
        <v>2.8571428571428572</v>
      </c>
    </row>
    <row r="556" spans="2:10">
      <c r="B556" t="s">
        <v>236</v>
      </c>
      <c r="C556" s="24" t="s">
        <v>27</v>
      </c>
      <c r="D556" s="25">
        <v>4.49</v>
      </c>
      <c r="E556" s="25">
        <v>6.2</v>
      </c>
      <c r="G556" s="17">
        <f t="shared" si="27"/>
        <v>6.907692307692308</v>
      </c>
      <c r="H556" s="27" t="str">
        <f t="shared" si="28"/>
        <v>NEGATIVO</v>
      </c>
      <c r="J556" s="17">
        <f t="shared" si="29"/>
        <v>6.4142857142857146</v>
      </c>
    </row>
    <row r="557" spans="2:10">
      <c r="B557" t="s">
        <v>2075</v>
      </c>
      <c r="C557" s="24" t="s">
        <v>27</v>
      </c>
      <c r="D557" s="25">
        <v>3.15</v>
      </c>
      <c r="E557" s="25">
        <v>5.5</v>
      </c>
      <c r="G557" s="17">
        <f t="shared" si="27"/>
        <v>4.8461538461538458</v>
      </c>
      <c r="H557" s="27" t="str">
        <f t="shared" si="28"/>
        <v>POSITIVO</v>
      </c>
      <c r="J557" s="17">
        <f t="shared" si="29"/>
        <v>4.5</v>
      </c>
    </row>
    <row r="558" spans="2:10">
      <c r="B558" t="s">
        <v>237</v>
      </c>
      <c r="C558" s="24" t="s">
        <v>27</v>
      </c>
      <c r="D558" s="25">
        <v>15.5</v>
      </c>
      <c r="E558" s="25">
        <v>21.7</v>
      </c>
      <c r="G558" s="17">
        <f t="shared" si="27"/>
        <v>23.846153846153847</v>
      </c>
      <c r="H558" s="27" t="str">
        <f t="shared" si="28"/>
        <v>NEGATIVO</v>
      </c>
      <c r="J558" s="17">
        <f t="shared" si="29"/>
        <v>22.142857142857146</v>
      </c>
    </row>
    <row r="559" spans="2:10">
      <c r="B559" t="s">
        <v>238</v>
      </c>
      <c r="C559" s="24" t="s">
        <v>27</v>
      </c>
      <c r="D559" s="25">
        <v>8.25</v>
      </c>
      <c r="E559" s="26">
        <v>12</v>
      </c>
      <c r="G559" s="17">
        <f t="shared" si="27"/>
        <v>12.692307692307692</v>
      </c>
      <c r="H559" s="27" t="str">
        <f t="shared" si="28"/>
        <v>NEGATIVO</v>
      </c>
      <c r="J559" s="17">
        <f t="shared" si="29"/>
        <v>11.785714285714286</v>
      </c>
    </row>
    <row r="560" spans="2:10">
      <c r="B560" t="s">
        <v>829</v>
      </c>
      <c r="C560" s="30" t="s">
        <v>27</v>
      </c>
      <c r="D560" s="13">
        <v>4.66</v>
      </c>
      <c r="E560" s="13">
        <v>7.5</v>
      </c>
      <c r="G560" s="17">
        <f t="shared" si="27"/>
        <v>7.1692307692307695</v>
      </c>
      <c r="H560" s="27" t="str">
        <f t="shared" si="28"/>
        <v>POSITIVO</v>
      </c>
      <c r="J560" s="17">
        <f t="shared" si="29"/>
        <v>6.6571428571428575</v>
      </c>
    </row>
    <row r="561" spans="2:10">
      <c r="B561" t="s">
        <v>239</v>
      </c>
      <c r="C561" s="24" t="s">
        <v>27</v>
      </c>
      <c r="D561" s="25">
        <v>5.27</v>
      </c>
      <c r="E561" s="25">
        <v>8.5500000000000007</v>
      </c>
      <c r="G561" s="17">
        <f t="shared" si="27"/>
        <v>8.1076923076923073</v>
      </c>
      <c r="H561" s="27" t="str">
        <f t="shared" si="28"/>
        <v>POSITIVO</v>
      </c>
      <c r="J561" s="17">
        <f t="shared" si="29"/>
        <v>7.5285714285714285</v>
      </c>
    </row>
    <row r="562" spans="2:10">
      <c r="B562" t="s">
        <v>1220</v>
      </c>
      <c r="C562" s="30" t="s">
        <v>27</v>
      </c>
      <c r="D562" s="13">
        <v>5.2</v>
      </c>
      <c r="E562" s="13">
        <v>8.5500000000000007</v>
      </c>
      <c r="G562" s="17">
        <f t="shared" ref="G562:G616" si="30">(D562/65%)</f>
        <v>8</v>
      </c>
      <c r="H562" s="27" t="str">
        <f t="shared" ref="H562:H616" si="31">IF(E562&gt;=G562,"POSITIVO","NEGATIVO")</f>
        <v>POSITIVO</v>
      </c>
      <c r="J562" s="17">
        <f t="shared" ref="J562:J616" si="32">D562/70%</f>
        <v>7.4285714285714297</v>
      </c>
    </row>
    <row r="563" spans="2:10">
      <c r="B563" t="s">
        <v>1005</v>
      </c>
      <c r="C563" s="24" t="s">
        <v>27</v>
      </c>
      <c r="D563" s="25">
        <v>15.5</v>
      </c>
      <c r="E563" s="26">
        <v>23.5</v>
      </c>
      <c r="G563" s="17">
        <f t="shared" si="30"/>
        <v>23.846153846153847</v>
      </c>
      <c r="H563" s="27" t="str">
        <f t="shared" si="31"/>
        <v>NEGATIVO</v>
      </c>
      <c r="J563" s="17">
        <f t="shared" si="32"/>
        <v>22.142857142857146</v>
      </c>
    </row>
    <row r="564" spans="2:10">
      <c r="B564" t="s">
        <v>1004</v>
      </c>
      <c r="C564" s="24" t="s">
        <v>27</v>
      </c>
      <c r="D564" s="25">
        <v>6.7</v>
      </c>
      <c r="E564" s="26">
        <v>11.5</v>
      </c>
      <c r="G564" s="17">
        <f t="shared" si="30"/>
        <v>10.307692307692308</v>
      </c>
      <c r="H564" s="27" t="str">
        <f t="shared" si="31"/>
        <v>POSITIVO</v>
      </c>
      <c r="J564" s="17">
        <f t="shared" si="32"/>
        <v>9.571428571428573</v>
      </c>
    </row>
    <row r="565" spans="2:10">
      <c r="B565" t="s">
        <v>1003</v>
      </c>
      <c r="C565" s="24" t="s">
        <v>27</v>
      </c>
      <c r="D565" s="25">
        <v>8.5</v>
      </c>
      <c r="E565" s="26">
        <v>13.5</v>
      </c>
      <c r="G565" s="17">
        <f t="shared" si="30"/>
        <v>13.076923076923077</v>
      </c>
      <c r="H565" s="27" t="str">
        <f t="shared" si="31"/>
        <v>POSITIVO</v>
      </c>
      <c r="J565" s="17">
        <f t="shared" si="32"/>
        <v>12.142857142857144</v>
      </c>
    </row>
    <row r="566" spans="2:10">
      <c r="B566" t="s">
        <v>1002</v>
      </c>
      <c r="C566" s="24" t="s">
        <v>27</v>
      </c>
      <c r="D566" s="25">
        <v>9.6999999999999993</v>
      </c>
      <c r="E566" s="26">
        <v>15.75</v>
      </c>
      <c r="G566" s="17">
        <f t="shared" si="30"/>
        <v>14.923076923076922</v>
      </c>
      <c r="H566" s="27" t="str">
        <f t="shared" si="31"/>
        <v>POSITIVO</v>
      </c>
      <c r="J566" s="17">
        <f t="shared" si="32"/>
        <v>13.857142857142858</v>
      </c>
    </row>
    <row r="567" spans="2:10">
      <c r="B567" t="s">
        <v>1884</v>
      </c>
      <c r="C567" s="30" t="s">
        <v>27</v>
      </c>
      <c r="D567" s="13">
        <v>9.6</v>
      </c>
      <c r="E567" s="13">
        <v>15</v>
      </c>
      <c r="G567" s="17">
        <f t="shared" si="30"/>
        <v>14.769230769230768</v>
      </c>
      <c r="H567" s="27" t="str">
        <f t="shared" si="31"/>
        <v>POSITIVO</v>
      </c>
      <c r="J567" s="17">
        <f t="shared" si="32"/>
        <v>13.714285714285715</v>
      </c>
    </row>
    <row r="568" spans="2:10">
      <c r="B568" t="s">
        <v>240</v>
      </c>
      <c r="C568" s="24" t="s">
        <v>27</v>
      </c>
      <c r="D568" s="25">
        <v>8.3000000000000007</v>
      </c>
      <c r="E568" s="26">
        <v>14</v>
      </c>
      <c r="G568" s="17">
        <f t="shared" si="30"/>
        <v>12.76923076923077</v>
      </c>
      <c r="H568" s="27" t="str">
        <f t="shared" si="31"/>
        <v>POSITIVO</v>
      </c>
      <c r="J568" s="17">
        <f t="shared" si="32"/>
        <v>11.857142857142859</v>
      </c>
    </row>
    <row r="569" spans="2:10">
      <c r="B569" t="s">
        <v>1883</v>
      </c>
      <c r="C569" s="30" t="s">
        <v>27</v>
      </c>
      <c r="D569" s="13">
        <v>29.15</v>
      </c>
      <c r="E569" s="13">
        <v>44.9</v>
      </c>
      <c r="G569" s="17">
        <f t="shared" si="30"/>
        <v>44.84615384615384</v>
      </c>
      <c r="H569" s="27" t="str">
        <f t="shared" si="31"/>
        <v>POSITIVO</v>
      </c>
      <c r="J569" s="17">
        <f t="shared" si="32"/>
        <v>41.642857142857146</v>
      </c>
    </row>
    <row r="570" spans="2:10">
      <c r="B570" t="s">
        <v>1933</v>
      </c>
      <c r="C570" s="24" t="s">
        <v>27</v>
      </c>
      <c r="D570" s="25">
        <v>1.1000000000000001</v>
      </c>
      <c r="E570" s="26">
        <v>2</v>
      </c>
      <c r="G570" s="17">
        <f t="shared" si="30"/>
        <v>1.6923076923076923</v>
      </c>
      <c r="H570" s="27" t="str">
        <f t="shared" si="31"/>
        <v>POSITIVO</v>
      </c>
      <c r="J570" s="17">
        <f t="shared" si="32"/>
        <v>1.5714285714285716</v>
      </c>
    </row>
    <row r="571" spans="2:10">
      <c r="B571" t="s">
        <v>241</v>
      </c>
      <c r="C571" s="24" t="s">
        <v>27</v>
      </c>
      <c r="D571" s="25">
        <v>2.63</v>
      </c>
      <c r="E571" s="26">
        <v>3.7</v>
      </c>
      <c r="G571" s="17">
        <f t="shared" si="30"/>
        <v>4.046153846153846</v>
      </c>
      <c r="H571" s="27" t="str">
        <f t="shared" si="31"/>
        <v>NEGATIVO</v>
      </c>
      <c r="J571" s="17">
        <f t="shared" si="32"/>
        <v>3.7571428571428571</v>
      </c>
    </row>
    <row r="572" spans="2:10">
      <c r="B572" t="s">
        <v>242</v>
      </c>
      <c r="C572" s="24" t="s">
        <v>27</v>
      </c>
      <c r="D572" s="25">
        <v>4.8499999999999996</v>
      </c>
      <c r="E572" s="26">
        <v>8</v>
      </c>
      <c r="G572" s="17">
        <f t="shared" si="30"/>
        <v>7.4615384615384608</v>
      </c>
      <c r="H572" s="27" t="str">
        <f t="shared" si="31"/>
        <v>POSITIVO</v>
      </c>
      <c r="J572" s="17">
        <f t="shared" si="32"/>
        <v>6.9285714285714288</v>
      </c>
    </row>
    <row r="573" spans="2:10">
      <c r="B573" t="s">
        <v>893</v>
      </c>
      <c r="C573" s="24" t="s">
        <v>27</v>
      </c>
      <c r="D573" s="25">
        <v>3</v>
      </c>
      <c r="E573" s="26">
        <v>4.9000000000000004</v>
      </c>
      <c r="G573" s="17">
        <f t="shared" si="30"/>
        <v>4.615384615384615</v>
      </c>
      <c r="H573" s="27" t="str">
        <f t="shared" si="31"/>
        <v>POSITIVO</v>
      </c>
      <c r="J573" s="17">
        <f t="shared" si="32"/>
        <v>4.2857142857142856</v>
      </c>
    </row>
    <row r="574" spans="2:10">
      <c r="B574" t="s">
        <v>1178</v>
      </c>
      <c r="C574" s="30" t="s">
        <v>27</v>
      </c>
      <c r="D574" s="13">
        <v>16.899999999999999</v>
      </c>
      <c r="E574" s="13">
        <v>27</v>
      </c>
      <c r="G574" s="17">
        <f t="shared" si="30"/>
        <v>25.999999999999996</v>
      </c>
      <c r="H574" s="27" t="str">
        <f t="shared" si="31"/>
        <v>POSITIVO</v>
      </c>
      <c r="J574" s="17">
        <f t="shared" si="32"/>
        <v>24.142857142857142</v>
      </c>
    </row>
    <row r="575" spans="2:10">
      <c r="B575" t="s">
        <v>243</v>
      </c>
      <c r="C575" s="24" t="s">
        <v>27</v>
      </c>
      <c r="D575" s="25">
        <v>16.5</v>
      </c>
      <c r="E575" s="26">
        <v>26</v>
      </c>
      <c r="G575" s="17">
        <f t="shared" si="30"/>
        <v>25.384615384615383</v>
      </c>
      <c r="H575" s="27" t="str">
        <f t="shared" si="31"/>
        <v>POSITIVO</v>
      </c>
      <c r="J575" s="17">
        <f t="shared" si="32"/>
        <v>23.571428571428573</v>
      </c>
    </row>
    <row r="576" spans="2:10">
      <c r="B576" t="s">
        <v>244</v>
      </c>
      <c r="C576" s="24" t="s">
        <v>27</v>
      </c>
      <c r="D576" s="25">
        <v>5.05</v>
      </c>
      <c r="E576" s="26">
        <v>7.2</v>
      </c>
      <c r="G576" s="17">
        <f t="shared" si="30"/>
        <v>7.7692307692307683</v>
      </c>
      <c r="H576" s="27" t="str">
        <f t="shared" si="31"/>
        <v>NEGATIVO</v>
      </c>
      <c r="J576" s="17">
        <f t="shared" si="32"/>
        <v>7.2142857142857144</v>
      </c>
    </row>
    <row r="577" spans="2:10">
      <c r="B577" t="s">
        <v>245</v>
      </c>
      <c r="C577" s="24" t="s">
        <v>27</v>
      </c>
      <c r="D577" s="25">
        <v>4.76</v>
      </c>
      <c r="E577" s="26">
        <v>7.5</v>
      </c>
      <c r="G577" s="17">
        <f t="shared" si="30"/>
        <v>7.3230769230769228</v>
      </c>
      <c r="H577" s="27" t="str">
        <f t="shared" si="31"/>
        <v>POSITIVO</v>
      </c>
      <c r="J577" s="17">
        <f t="shared" si="32"/>
        <v>6.8</v>
      </c>
    </row>
    <row r="578" spans="2:10">
      <c r="B578" t="s">
        <v>1680</v>
      </c>
      <c r="C578" s="30" t="s">
        <v>27</v>
      </c>
      <c r="D578" s="13">
        <v>6.09</v>
      </c>
      <c r="E578" s="13">
        <v>9.5</v>
      </c>
      <c r="G578" s="17">
        <f t="shared" si="30"/>
        <v>9.3692307692307679</v>
      </c>
      <c r="H578" s="27" t="str">
        <f t="shared" si="31"/>
        <v>POSITIVO</v>
      </c>
      <c r="J578" s="17">
        <f t="shared" si="32"/>
        <v>8.7000000000000011</v>
      </c>
    </row>
    <row r="579" spans="2:10">
      <c r="B579" t="s">
        <v>1870</v>
      </c>
      <c r="C579" s="24" t="s">
        <v>27</v>
      </c>
      <c r="D579" s="25">
        <v>0.65</v>
      </c>
      <c r="E579" s="25">
        <v>1.5</v>
      </c>
      <c r="G579" s="17">
        <f t="shared" si="30"/>
        <v>1</v>
      </c>
      <c r="H579" s="27" t="str">
        <f t="shared" si="31"/>
        <v>POSITIVO</v>
      </c>
      <c r="J579" s="17">
        <f t="shared" si="32"/>
        <v>0.92857142857142871</v>
      </c>
    </row>
    <row r="580" spans="2:10">
      <c r="B580" t="s">
        <v>246</v>
      </c>
      <c r="C580" s="24" t="s">
        <v>27</v>
      </c>
      <c r="D580" s="13">
        <v>1.5</v>
      </c>
      <c r="E580" s="26">
        <v>2.5</v>
      </c>
      <c r="G580" s="17">
        <f t="shared" si="30"/>
        <v>2.3076923076923075</v>
      </c>
      <c r="H580" s="27" t="str">
        <f t="shared" si="31"/>
        <v>POSITIVO</v>
      </c>
      <c r="J580" s="17">
        <f t="shared" si="32"/>
        <v>2.1428571428571428</v>
      </c>
    </row>
    <row r="581" spans="2:10">
      <c r="B581" t="s">
        <v>1215</v>
      </c>
      <c r="C581" s="24" t="s">
        <v>27</v>
      </c>
      <c r="D581" s="25">
        <v>3.29</v>
      </c>
      <c r="E581" s="25">
        <v>4.8</v>
      </c>
      <c r="G581" s="17">
        <f t="shared" si="30"/>
        <v>5.0615384615384613</v>
      </c>
      <c r="H581" s="27" t="str">
        <f t="shared" si="31"/>
        <v>NEGATIVO</v>
      </c>
      <c r="J581" s="17">
        <f t="shared" si="32"/>
        <v>4.7</v>
      </c>
    </row>
    <row r="582" spans="2:10">
      <c r="B582" t="s">
        <v>247</v>
      </c>
      <c r="C582" s="24" t="s">
        <v>27</v>
      </c>
      <c r="D582" s="25">
        <v>3</v>
      </c>
      <c r="E582" s="26">
        <v>4.9000000000000004</v>
      </c>
      <c r="G582" s="17">
        <f t="shared" si="30"/>
        <v>4.615384615384615</v>
      </c>
      <c r="H582" s="27" t="str">
        <f t="shared" si="31"/>
        <v>POSITIVO</v>
      </c>
      <c r="J582" s="17">
        <f t="shared" si="32"/>
        <v>4.2857142857142856</v>
      </c>
    </row>
    <row r="583" spans="2:10">
      <c r="B583" t="s">
        <v>1216</v>
      </c>
      <c r="C583" s="24" t="s">
        <v>27</v>
      </c>
      <c r="D583" s="25">
        <v>11.5</v>
      </c>
      <c r="E583" s="26">
        <v>16</v>
      </c>
      <c r="G583" s="17">
        <f t="shared" si="30"/>
        <v>17.692307692307693</v>
      </c>
      <c r="H583" s="27" t="str">
        <f t="shared" si="31"/>
        <v>NEGATIVO</v>
      </c>
      <c r="J583" s="17">
        <f t="shared" si="32"/>
        <v>16.428571428571431</v>
      </c>
    </row>
    <row r="584" spans="2:10">
      <c r="B584" t="s">
        <v>1871</v>
      </c>
      <c r="C584" s="24" t="s">
        <v>27</v>
      </c>
      <c r="D584" s="25">
        <v>1.65</v>
      </c>
      <c r="E584" s="26">
        <v>3</v>
      </c>
      <c r="G584" s="17">
        <f t="shared" si="30"/>
        <v>2.5384615384615383</v>
      </c>
      <c r="H584" s="27" t="str">
        <f t="shared" si="31"/>
        <v>POSITIVO</v>
      </c>
      <c r="J584" s="17">
        <f t="shared" si="32"/>
        <v>2.3571428571428572</v>
      </c>
    </row>
    <row r="585" spans="2:10">
      <c r="B585" t="s">
        <v>1676</v>
      </c>
      <c r="C585" s="24" t="s">
        <v>27</v>
      </c>
      <c r="D585" s="25">
        <v>3.54</v>
      </c>
      <c r="E585" s="26">
        <v>5.3</v>
      </c>
      <c r="G585" s="17">
        <f t="shared" si="30"/>
        <v>5.4461538461538463</v>
      </c>
      <c r="H585" s="27" t="str">
        <f t="shared" si="31"/>
        <v>NEGATIVO</v>
      </c>
      <c r="J585" s="17">
        <f t="shared" si="32"/>
        <v>5.0571428571428578</v>
      </c>
    </row>
    <row r="586" spans="2:10">
      <c r="B586" t="s">
        <v>1052</v>
      </c>
      <c r="C586" s="24" t="s">
        <v>27</v>
      </c>
      <c r="D586" s="25">
        <v>0.9</v>
      </c>
      <c r="E586" s="25">
        <v>1.8</v>
      </c>
      <c r="G586" s="17">
        <f t="shared" si="30"/>
        <v>1.3846153846153846</v>
      </c>
      <c r="H586" s="27" t="str">
        <f t="shared" si="31"/>
        <v>POSITIVO</v>
      </c>
      <c r="J586" s="17">
        <f t="shared" si="32"/>
        <v>1.2857142857142858</v>
      </c>
    </row>
    <row r="587" spans="2:10">
      <c r="B587" t="s">
        <v>1051</v>
      </c>
      <c r="C587" s="24" t="s">
        <v>27</v>
      </c>
      <c r="D587" s="25">
        <v>2.95</v>
      </c>
      <c r="E587" s="26">
        <v>5.5</v>
      </c>
      <c r="G587" s="17">
        <f t="shared" si="30"/>
        <v>4.5384615384615383</v>
      </c>
      <c r="H587" s="27" t="str">
        <f t="shared" si="31"/>
        <v>POSITIVO</v>
      </c>
      <c r="J587" s="17">
        <f t="shared" si="32"/>
        <v>4.2142857142857144</v>
      </c>
    </row>
    <row r="588" spans="2:10">
      <c r="B588" t="s">
        <v>1053</v>
      </c>
      <c r="C588" s="30" t="s">
        <v>27</v>
      </c>
      <c r="D588" s="13">
        <v>0.7</v>
      </c>
      <c r="E588" s="13">
        <v>1.5</v>
      </c>
      <c r="G588" s="17">
        <f t="shared" si="30"/>
        <v>1.0769230769230769</v>
      </c>
      <c r="H588" s="27" t="str">
        <f t="shared" si="31"/>
        <v>POSITIVO</v>
      </c>
      <c r="J588" s="17">
        <f t="shared" si="32"/>
        <v>1</v>
      </c>
    </row>
    <row r="589" spans="2:10">
      <c r="B589" t="s">
        <v>1818</v>
      </c>
      <c r="C589" s="30" t="s">
        <v>27</v>
      </c>
      <c r="D589" s="13">
        <v>9.9499999999999993</v>
      </c>
      <c r="E589" s="13">
        <v>15.5</v>
      </c>
      <c r="G589" s="17">
        <f t="shared" si="30"/>
        <v>15.307692307692307</v>
      </c>
      <c r="H589" s="27" t="str">
        <f t="shared" si="31"/>
        <v>POSITIVO</v>
      </c>
      <c r="J589" s="17">
        <f t="shared" si="32"/>
        <v>14.214285714285714</v>
      </c>
    </row>
    <row r="590" spans="2:10">
      <c r="B590" t="s">
        <v>1819</v>
      </c>
      <c r="C590" s="30" t="s">
        <v>27</v>
      </c>
      <c r="D590" s="13">
        <v>0.96</v>
      </c>
      <c r="E590" s="13">
        <v>1.5</v>
      </c>
      <c r="G590" s="17">
        <f t="shared" si="30"/>
        <v>1.4769230769230768</v>
      </c>
      <c r="H590" s="27" t="str">
        <f t="shared" si="31"/>
        <v>POSITIVO</v>
      </c>
      <c r="J590" s="17">
        <f t="shared" si="32"/>
        <v>1.3714285714285714</v>
      </c>
    </row>
    <row r="591" spans="2:10">
      <c r="B591" t="s">
        <v>2356</v>
      </c>
      <c r="C591" s="30" t="s">
        <v>27</v>
      </c>
      <c r="D591" s="13">
        <v>2.09</v>
      </c>
      <c r="E591" s="13">
        <v>3.25</v>
      </c>
      <c r="G591" s="17">
        <f t="shared" si="30"/>
        <v>3.2153846153846151</v>
      </c>
      <c r="H591" s="27" t="str">
        <f t="shared" si="31"/>
        <v>POSITIVO</v>
      </c>
      <c r="J591" s="17">
        <f t="shared" si="32"/>
        <v>2.9857142857142858</v>
      </c>
    </row>
    <row r="592" spans="2:10">
      <c r="B592" t="s">
        <v>1675</v>
      </c>
      <c r="C592" s="30" t="s">
        <v>27</v>
      </c>
      <c r="D592" s="13">
        <v>1.7</v>
      </c>
      <c r="E592" s="13">
        <v>2</v>
      </c>
      <c r="G592" s="17">
        <f t="shared" si="30"/>
        <v>2.6153846153846154</v>
      </c>
      <c r="H592" s="27" t="str">
        <f t="shared" si="31"/>
        <v>NEGATIVO</v>
      </c>
      <c r="J592" s="17">
        <f t="shared" si="32"/>
        <v>2.4285714285714288</v>
      </c>
    </row>
    <row r="593" spans="2:10">
      <c r="B593" t="s">
        <v>1674</v>
      </c>
      <c r="C593" s="24" t="s">
        <v>27</v>
      </c>
      <c r="D593" s="25">
        <v>0.9</v>
      </c>
      <c r="E593" s="26">
        <v>1.5</v>
      </c>
      <c r="G593" s="17">
        <f t="shared" si="30"/>
        <v>1.3846153846153846</v>
      </c>
      <c r="H593" s="27" t="str">
        <f t="shared" si="31"/>
        <v>POSITIVO</v>
      </c>
      <c r="J593" s="17">
        <f t="shared" si="32"/>
        <v>1.2857142857142858</v>
      </c>
    </row>
    <row r="594" spans="2:10">
      <c r="B594" t="s">
        <v>1229</v>
      </c>
      <c r="C594" s="30" t="s">
        <v>27</v>
      </c>
      <c r="D594" s="13">
        <v>3.7</v>
      </c>
      <c r="E594" s="13">
        <v>5.7</v>
      </c>
      <c r="G594" s="17">
        <f t="shared" si="30"/>
        <v>5.6923076923076925</v>
      </c>
      <c r="H594" s="27" t="str">
        <f t="shared" si="31"/>
        <v>POSITIVO</v>
      </c>
      <c r="J594" s="17">
        <f t="shared" si="32"/>
        <v>5.2857142857142865</v>
      </c>
    </row>
    <row r="595" spans="2:10">
      <c r="B595" t="s">
        <v>1397</v>
      </c>
      <c r="C595" s="30" t="s">
        <v>27</v>
      </c>
      <c r="D595" s="13">
        <v>1.57</v>
      </c>
      <c r="E595" s="13">
        <v>2.5</v>
      </c>
      <c r="G595" s="17">
        <f t="shared" si="30"/>
        <v>2.4153846153846152</v>
      </c>
      <c r="H595" s="27" t="str">
        <f t="shared" si="31"/>
        <v>POSITIVO</v>
      </c>
      <c r="J595" s="17">
        <f t="shared" si="32"/>
        <v>2.2428571428571429</v>
      </c>
    </row>
    <row r="596" spans="2:10">
      <c r="B596" t="s">
        <v>248</v>
      </c>
      <c r="C596" s="24" t="s">
        <v>27</v>
      </c>
      <c r="D596" s="25">
        <v>1.83</v>
      </c>
      <c r="E596" s="25">
        <v>3</v>
      </c>
      <c r="G596" s="17">
        <f t="shared" si="30"/>
        <v>2.8153846153846156</v>
      </c>
      <c r="H596" s="27" t="str">
        <f t="shared" si="31"/>
        <v>POSITIVO</v>
      </c>
      <c r="J596" s="17">
        <f t="shared" si="32"/>
        <v>2.6142857142857148</v>
      </c>
    </row>
    <row r="597" spans="2:10">
      <c r="B597" t="s">
        <v>249</v>
      </c>
      <c r="C597" s="24" t="s">
        <v>27</v>
      </c>
      <c r="D597" s="25">
        <v>4.8099999999999996</v>
      </c>
      <c r="E597" s="26">
        <v>6.8</v>
      </c>
      <c r="G597" s="17">
        <f t="shared" si="30"/>
        <v>7.3999999999999995</v>
      </c>
      <c r="H597" s="27" t="str">
        <f t="shared" si="31"/>
        <v>NEGATIVO</v>
      </c>
      <c r="J597" s="17">
        <f t="shared" si="32"/>
        <v>6.871428571428571</v>
      </c>
    </row>
    <row r="598" spans="2:10">
      <c r="B598" t="s">
        <v>250</v>
      </c>
      <c r="C598" s="24" t="s">
        <v>27</v>
      </c>
      <c r="D598" s="25">
        <v>0.55000000000000004</v>
      </c>
      <c r="E598" s="26">
        <v>1.5</v>
      </c>
      <c r="G598" s="17">
        <f t="shared" si="30"/>
        <v>0.84615384615384615</v>
      </c>
      <c r="H598" s="27" t="str">
        <f t="shared" si="31"/>
        <v>POSITIVO</v>
      </c>
      <c r="J598" s="17">
        <f t="shared" si="32"/>
        <v>0.78571428571428581</v>
      </c>
    </row>
    <row r="599" spans="2:10">
      <c r="B599" t="s">
        <v>1659</v>
      </c>
      <c r="C599" s="24" t="s">
        <v>27</v>
      </c>
      <c r="D599" s="25">
        <v>0.87</v>
      </c>
      <c r="E599" s="26">
        <v>1.5</v>
      </c>
      <c r="G599" s="17">
        <f t="shared" si="30"/>
        <v>1.3384615384615384</v>
      </c>
      <c r="H599" s="27" t="str">
        <f t="shared" si="31"/>
        <v>POSITIVO</v>
      </c>
      <c r="J599" s="17">
        <f t="shared" si="32"/>
        <v>1.2428571428571429</v>
      </c>
    </row>
    <row r="600" spans="2:10">
      <c r="B600" t="s">
        <v>885</v>
      </c>
      <c r="C600" s="30" t="s">
        <v>27</v>
      </c>
      <c r="D600" s="25">
        <v>0.5</v>
      </c>
      <c r="E600" s="13">
        <v>2</v>
      </c>
      <c r="G600" s="17">
        <f t="shared" si="30"/>
        <v>0.76923076923076916</v>
      </c>
      <c r="H600" s="27" t="str">
        <f t="shared" si="31"/>
        <v>POSITIVO</v>
      </c>
      <c r="J600" s="17">
        <f t="shared" si="32"/>
        <v>0.7142857142857143</v>
      </c>
    </row>
    <row r="601" spans="2:10">
      <c r="B601" t="s">
        <v>251</v>
      </c>
      <c r="C601" s="24" t="s">
        <v>27</v>
      </c>
      <c r="D601" s="25">
        <v>6.98</v>
      </c>
      <c r="E601" s="26">
        <v>10.199999999999999</v>
      </c>
      <c r="G601" s="17">
        <f t="shared" si="30"/>
        <v>10.738461538461539</v>
      </c>
      <c r="H601" s="27" t="str">
        <f t="shared" si="31"/>
        <v>NEGATIVO</v>
      </c>
      <c r="J601" s="17">
        <f t="shared" si="32"/>
        <v>9.9714285714285733</v>
      </c>
    </row>
    <row r="602" spans="2:10">
      <c r="B602" t="s">
        <v>252</v>
      </c>
      <c r="C602" s="24" t="s">
        <v>27</v>
      </c>
      <c r="D602" s="25">
        <v>5.09</v>
      </c>
      <c r="E602" s="26">
        <v>7.9</v>
      </c>
      <c r="G602" s="17">
        <f t="shared" si="30"/>
        <v>7.8307692307692305</v>
      </c>
      <c r="H602" s="27" t="str">
        <f t="shared" si="31"/>
        <v>POSITIVO</v>
      </c>
      <c r="J602" s="17">
        <f t="shared" si="32"/>
        <v>7.2714285714285714</v>
      </c>
    </row>
    <row r="603" spans="2:10">
      <c r="B603" t="s">
        <v>1230</v>
      </c>
      <c r="C603" s="24" t="s">
        <v>27</v>
      </c>
      <c r="D603" s="13">
        <v>2.5</v>
      </c>
      <c r="E603" s="13">
        <v>3.9</v>
      </c>
      <c r="G603" s="17">
        <f t="shared" si="30"/>
        <v>3.8461538461538458</v>
      </c>
      <c r="H603" s="27" t="str">
        <f t="shared" si="31"/>
        <v>POSITIVO</v>
      </c>
      <c r="J603" s="17">
        <f t="shared" si="32"/>
        <v>3.5714285714285716</v>
      </c>
    </row>
    <row r="604" spans="2:10">
      <c r="B604" t="s">
        <v>253</v>
      </c>
      <c r="C604" s="24" t="s">
        <v>27</v>
      </c>
      <c r="D604" s="25">
        <v>1.06</v>
      </c>
      <c r="E604" s="26">
        <v>2</v>
      </c>
      <c r="G604" s="17">
        <f t="shared" si="30"/>
        <v>1.6307692307692307</v>
      </c>
      <c r="H604" s="27" t="str">
        <f t="shared" si="31"/>
        <v>POSITIVO</v>
      </c>
      <c r="J604" s="17">
        <f t="shared" si="32"/>
        <v>1.5142857142857145</v>
      </c>
    </row>
    <row r="605" spans="2:10">
      <c r="B605" t="s">
        <v>1318</v>
      </c>
      <c r="C605" s="30" t="s">
        <v>27</v>
      </c>
      <c r="D605" s="13">
        <v>14.87</v>
      </c>
      <c r="E605" s="13">
        <v>23</v>
      </c>
      <c r="G605" s="17">
        <f t="shared" si="30"/>
        <v>22.876923076923074</v>
      </c>
      <c r="H605" s="27" t="str">
        <f t="shared" si="31"/>
        <v>POSITIVO</v>
      </c>
      <c r="J605" s="17">
        <f t="shared" si="32"/>
        <v>21.242857142857144</v>
      </c>
    </row>
    <row r="606" spans="2:10">
      <c r="B606" t="s">
        <v>254</v>
      </c>
      <c r="C606" s="24" t="s">
        <v>27</v>
      </c>
      <c r="D606" s="25">
        <v>11.23</v>
      </c>
      <c r="E606" s="26">
        <v>20</v>
      </c>
      <c r="G606" s="17">
        <f t="shared" si="30"/>
        <v>17.276923076923076</v>
      </c>
      <c r="H606" s="27" t="str">
        <f t="shared" si="31"/>
        <v>POSITIVO</v>
      </c>
      <c r="J606" s="17">
        <f t="shared" si="32"/>
        <v>16.042857142857144</v>
      </c>
    </row>
    <row r="607" spans="2:10">
      <c r="B607" t="s">
        <v>255</v>
      </c>
      <c r="C607" s="24" t="s">
        <v>27</v>
      </c>
      <c r="D607" s="25">
        <v>4.3499999999999996</v>
      </c>
      <c r="E607" s="26">
        <v>9.5</v>
      </c>
      <c r="G607" s="17">
        <f t="shared" si="30"/>
        <v>6.6923076923076916</v>
      </c>
      <c r="H607" s="27" t="str">
        <f t="shared" si="31"/>
        <v>POSITIVO</v>
      </c>
      <c r="J607" s="17">
        <f t="shared" si="32"/>
        <v>6.2142857142857144</v>
      </c>
    </row>
    <row r="608" spans="2:10">
      <c r="B608" t="s">
        <v>1237</v>
      </c>
      <c r="C608" s="24" t="s">
        <v>27</v>
      </c>
      <c r="D608" s="25">
        <v>5.79</v>
      </c>
      <c r="E608" s="26">
        <v>9</v>
      </c>
      <c r="G608" s="17">
        <f t="shared" si="30"/>
        <v>8.907692307692308</v>
      </c>
      <c r="H608" s="27" t="str">
        <f t="shared" si="31"/>
        <v>POSITIVO</v>
      </c>
      <c r="J608" s="17">
        <f t="shared" si="32"/>
        <v>8.2714285714285722</v>
      </c>
    </row>
    <row r="609" spans="1:10">
      <c r="B609" t="s">
        <v>1238</v>
      </c>
      <c r="C609" s="24" t="s">
        <v>27</v>
      </c>
      <c r="D609" s="25">
        <v>7</v>
      </c>
      <c r="E609" s="26">
        <v>9</v>
      </c>
      <c r="G609" s="17">
        <f t="shared" si="30"/>
        <v>10.769230769230768</v>
      </c>
      <c r="H609" s="27" t="str">
        <f t="shared" si="31"/>
        <v>NEGATIVO</v>
      </c>
      <c r="J609" s="17">
        <f t="shared" si="32"/>
        <v>10</v>
      </c>
    </row>
    <row r="610" spans="1:10">
      <c r="B610" t="s">
        <v>1240</v>
      </c>
      <c r="C610" s="24" t="s">
        <v>27</v>
      </c>
      <c r="D610" s="25">
        <v>6.7</v>
      </c>
      <c r="E610" s="26">
        <v>10.5</v>
      </c>
      <c r="G610" s="17">
        <f t="shared" si="30"/>
        <v>10.307692307692308</v>
      </c>
      <c r="H610" s="27" t="str">
        <f t="shared" si="31"/>
        <v>POSITIVO</v>
      </c>
      <c r="J610" s="17">
        <f t="shared" si="32"/>
        <v>9.571428571428573</v>
      </c>
    </row>
    <row r="611" spans="1:10">
      <c r="B611" t="s">
        <v>1239</v>
      </c>
      <c r="C611" s="24" t="s">
        <v>27</v>
      </c>
      <c r="D611" s="25">
        <v>1.9</v>
      </c>
      <c r="E611" s="26">
        <v>3</v>
      </c>
      <c r="G611" s="17">
        <f t="shared" si="30"/>
        <v>2.9230769230769229</v>
      </c>
      <c r="H611" s="27" t="str">
        <f t="shared" si="31"/>
        <v>POSITIVO</v>
      </c>
      <c r="J611" s="17">
        <f t="shared" si="32"/>
        <v>2.7142857142857144</v>
      </c>
    </row>
    <row r="612" spans="1:10">
      <c r="B612" t="s">
        <v>1241</v>
      </c>
      <c r="C612" s="24" t="s">
        <v>27</v>
      </c>
      <c r="D612" s="25">
        <v>6.17</v>
      </c>
      <c r="E612" s="26">
        <v>9.5</v>
      </c>
      <c r="G612" s="17">
        <f t="shared" si="30"/>
        <v>9.4923076923076923</v>
      </c>
      <c r="H612" s="27" t="str">
        <f t="shared" si="31"/>
        <v>POSITIVO</v>
      </c>
      <c r="J612" s="17">
        <f t="shared" si="32"/>
        <v>8.8142857142857149</v>
      </c>
    </row>
    <row r="613" spans="1:10">
      <c r="B613" t="s">
        <v>256</v>
      </c>
      <c r="C613" s="24" t="s">
        <v>27</v>
      </c>
      <c r="D613" s="25">
        <v>3.5</v>
      </c>
      <c r="E613" s="26">
        <v>4.9000000000000004</v>
      </c>
      <c r="G613" s="17">
        <f t="shared" si="30"/>
        <v>5.3846153846153841</v>
      </c>
      <c r="H613" s="27" t="str">
        <f t="shared" si="31"/>
        <v>NEGATIVO</v>
      </c>
      <c r="J613" s="17">
        <f t="shared" si="32"/>
        <v>5</v>
      </c>
    </row>
    <row r="614" spans="1:10">
      <c r="B614" t="s">
        <v>257</v>
      </c>
      <c r="C614" s="24" t="s">
        <v>27</v>
      </c>
      <c r="D614" s="25">
        <v>29.13</v>
      </c>
      <c r="E614" s="26">
        <v>39.5</v>
      </c>
      <c r="G614" s="17">
        <f t="shared" si="30"/>
        <v>44.815384615384609</v>
      </c>
      <c r="H614" s="27" t="str">
        <f t="shared" si="31"/>
        <v>NEGATIVO</v>
      </c>
      <c r="J614" s="17">
        <f t="shared" si="32"/>
        <v>41.614285714285714</v>
      </c>
    </row>
    <row r="615" spans="1:10">
      <c r="B615" t="s">
        <v>1839</v>
      </c>
      <c r="C615" s="30" t="s">
        <v>27</v>
      </c>
      <c r="D615" s="13">
        <v>8.83</v>
      </c>
      <c r="E615" s="13">
        <v>13.6</v>
      </c>
      <c r="G615" s="17">
        <f t="shared" si="30"/>
        <v>13.584615384615384</v>
      </c>
      <c r="H615" s="27" t="str">
        <f t="shared" si="31"/>
        <v>POSITIVO</v>
      </c>
      <c r="J615" s="17">
        <f t="shared" si="32"/>
        <v>12.614285714285716</v>
      </c>
    </row>
    <row r="616" spans="1:10">
      <c r="B616" t="s">
        <v>258</v>
      </c>
      <c r="C616" s="24" t="s">
        <v>27</v>
      </c>
      <c r="D616" s="25">
        <v>33.69</v>
      </c>
      <c r="E616" s="26">
        <v>48.5</v>
      </c>
      <c r="G616" s="17">
        <f t="shared" si="30"/>
        <v>51.830769230769228</v>
      </c>
      <c r="H616" s="27" t="str">
        <f t="shared" si="31"/>
        <v>NEGATIVO</v>
      </c>
      <c r="J616" s="17">
        <f t="shared" si="32"/>
        <v>48.128571428571426</v>
      </c>
    </row>
    <row r="617" spans="1:10">
      <c r="B617" t="s">
        <v>259</v>
      </c>
      <c r="C617" s="24" t="s">
        <v>27</v>
      </c>
      <c r="D617" s="25">
        <v>23.74</v>
      </c>
      <c r="E617" s="26">
        <v>35.200000000000003</v>
      </c>
      <c r="G617" s="17">
        <f t="shared" ref="G617:G671" si="33">(D617/65%)</f>
        <v>36.523076923076921</v>
      </c>
      <c r="H617" s="27" t="str">
        <f t="shared" ref="H617:H671" si="34">IF(E617&gt;=G617,"POSITIVO","NEGATIVO")</f>
        <v>NEGATIVO</v>
      </c>
      <c r="J617" s="17">
        <f t="shared" ref="J617:J671" si="35">D617/70%</f>
        <v>33.914285714285711</v>
      </c>
    </row>
    <row r="618" spans="1:10">
      <c r="B618" t="s">
        <v>1446</v>
      </c>
      <c r="C618" s="24" t="s">
        <v>27</v>
      </c>
      <c r="D618" s="25">
        <v>5.4</v>
      </c>
      <c r="E618" s="26">
        <v>8.5</v>
      </c>
      <c r="G618" s="17">
        <f t="shared" si="33"/>
        <v>8.3076923076923084</v>
      </c>
      <c r="H618" s="27" t="str">
        <f t="shared" si="34"/>
        <v>POSITIVO</v>
      </c>
      <c r="J618" s="17">
        <f t="shared" si="35"/>
        <v>7.7142857142857153</v>
      </c>
    </row>
    <row r="619" spans="1:10">
      <c r="B619" t="s">
        <v>1447</v>
      </c>
      <c r="C619" s="30" t="s">
        <v>27</v>
      </c>
      <c r="D619" s="13">
        <v>5.99</v>
      </c>
      <c r="E619" s="13">
        <v>2.2999999999999998</v>
      </c>
      <c r="G619" s="17">
        <f t="shared" si="33"/>
        <v>9.2153846153846146</v>
      </c>
      <c r="H619" s="27" t="str">
        <f t="shared" si="34"/>
        <v>NEGATIVO</v>
      </c>
      <c r="J619" s="17">
        <f t="shared" si="35"/>
        <v>8.5571428571428587</v>
      </c>
    </row>
    <row r="620" spans="1:10">
      <c r="B620" t="s">
        <v>260</v>
      </c>
      <c r="C620" s="24" t="s">
        <v>27</v>
      </c>
      <c r="D620" s="25">
        <v>12.13</v>
      </c>
      <c r="E620" s="26">
        <v>19</v>
      </c>
      <c r="G620" s="17">
        <f t="shared" si="33"/>
        <v>18.661538461538463</v>
      </c>
      <c r="H620" s="27" t="str">
        <f t="shared" si="34"/>
        <v>POSITIVO</v>
      </c>
      <c r="J620" s="17">
        <f t="shared" si="35"/>
        <v>17.328571428571429</v>
      </c>
    </row>
    <row r="621" spans="1:10">
      <c r="B621" t="s">
        <v>261</v>
      </c>
      <c r="C621" s="24" t="s">
        <v>27</v>
      </c>
      <c r="D621" s="25">
        <v>13.27</v>
      </c>
      <c r="E621" s="26">
        <v>17.5</v>
      </c>
      <c r="G621" s="17">
        <f t="shared" si="33"/>
        <v>20.415384615384614</v>
      </c>
      <c r="H621" s="27" t="str">
        <f t="shared" si="34"/>
        <v>NEGATIVO</v>
      </c>
      <c r="J621" s="17">
        <f t="shared" si="35"/>
        <v>18.957142857142859</v>
      </c>
    </row>
    <row r="622" spans="1:10">
      <c r="A622" s="61" t="s">
        <v>2061</v>
      </c>
      <c r="B622" t="s">
        <v>2062</v>
      </c>
      <c r="C622" s="24" t="s">
        <v>27</v>
      </c>
      <c r="D622" s="25">
        <v>1.9</v>
      </c>
      <c r="E622" s="26">
        <v>3</v>
      </c>
      <c r="G622" s="17">
        <f t="shared" si="33"/>
        <v>2.9230769230769229</v>
      </c>
      <c r="H622" s="27" t="str">
        <f t="shared" si="34"/>
        <v>POSITIVO</v>
      </c>
      <c r="J622" s="17">
        <f t="shared" si="35"/>
        <v>2.7142857142857144</v>
      </c>
    </row>
    <row r="623" spans="1:10">
      <c r="B623" t="s">
        <v>262</v>
      </c>
      <c r="C623" s="24" t="s">
        <v>27</v>
      </c>
      <c r="D623" s="25">
        <v>4.99</v>
      </c>
      <c r="E623" s="26">
        <v>8</v>
      </c>
      <c r="G623" s="17">
        <f t="shared" si="33"/>
        <v>7.6769230769230772</v>
      </c>
      <c r="H623" s="27" t="str">
        <f t="shared" si="34"/>
        <v>POSITIVO</v>
      </c>
      <c r="J623" s="17">
        <f t="shared" si="35"/>
        <v>7.128571428571429</v>
      </c>
    </row>
    <row r="624" spans="1:10">
      <c r="B624" t="s">
        <v>1874</v>
      </c>
      <c r="C624" s="30" t="s">
        <v>27</v>
      </c>
      <c r="D624" s="13">
        <v>8.99</v>
      </c>
      <c r="E624" s="13">
        <v>13.9</v>
      </c>
      <c r="G624" s="17">
        <f t="shared" si="33"/>
        <v>13.830769230769231</v>
      </c>
      <c r="H624" s="27" t="str">
        <f t="shared" si="34"/>
        <v>POSITIVO</v>
      </c>
      <c r="J624" s="17">
        <f t="shared" si="35"/>
        <v>12.842857142857143</v>
      </c>
    </row>
    <row r="625" spans="2:10">
      <c r="B625" t="s">
        <v>1632</v>
      </c>
      <c r="C625" s="30" t="s">
        <v>27</v>
      </c>
      <c r="D625" s="13">
        <v>8.99</v>
      </c>
      <c r="E625" s="13">
        <v>13.9</v>
      </c>
      <c r="G625" s="17">
        <f t="shared" si="33"/>
        <v>13.830769230769231</v>
      </c>
      <c r="H625" s="27" t="str">
        <f t="shared" si="34"/>
        <v>POSITIVO</v>
      </c>
      <c r="J625" s="17">
        <f t="shared" si="35"/>
        <v>12.842857142857143</v>
      </c>
    </row>
    <row r="626" spans="2:10">
      <c r="B626" t="s">
        <v>1117</v>
      </c>
      <c r="C626" s="24" t="s">
        <v>27</v>
      </c>
      <c r="D626" s="25">
        <v>0.69</v>
      </c>
      <c r="E626" s="26">
        <v>2</v>
      </c>
      <c r="G626" s="17">
        <f t="shared" si="33"/>
        <v>1.0615384615384613</v>
      </c>
      <c r="H626" s="27" t="str">
        <f t="shared" si="34"/>
        <v>POSITIVO</v>
      </c>
      <c r="J626" s="17">
        <f t="shared" si="35"/>
        <v>0.98571428571428565</v>
      </c>
    </row>
    <row r="627" spans="2:10">
      <c r="B627" t="s">
        <v>1118</v>
      </c>
      <c r="C627" s="24" t="s">
        <v>27</v>
      </c>
      <c r="D627" s="25">
        <v>5.3</v>
      </c>
      <c r="E627" s="26">
        <v>7.2</v>
      </c>
      <c r="G627" s="17">
        <f t="shared" si="33"/>
        <v>8.1538461538461533</v>
      </c>
      <c r="H627" s="27" t="str">
        <f t="shared" si="34"/>
        <v>NEGATIVO</v>
      </c>
      <c r="J627" s="17">
        <f t="shared" si="35"/>
        <v>7.5714285714285721</v>
      </c>
    </row>
    <row r="628" spans="2:10">
      <c r="B628" t="s">
        <v>263</v>
      </c>
      <c r="C628" s="24" t="s">
        <v>27</v>
      </c>
      <c r="D628" s="25">
        <v>3.75</v>
      </c>
      <c r="E628" s="26">
        <v>6</v>
      </c>
      <c r="G628" s="17">
        <f t="shared" si="33"/>
        <v>5.7692307692307692</v>
      </c>
      <c r="H628" s="27" t="str">
        <f t="shared" si="34"/>
        <v>POSITIVO</v>
      </c>
      <c r="J628" s="17">
        <f t="shared" si="35"/>
        <v>5.3571428571428577</v>
      </c>
    </row>
    <row r="629" spans="2:10">
      <c r="B629" t="s">
        <v>1119</v>
      </c>
      <c r="C629" s="24" t="s">
        <v>27</v>
      </c>
      <c r="D629" s="25">
        <v>6.94</v>
      </c>
      <c r="E629" s="26">
        <v>10</v>
      </c>
      <c r="G629" s="17">
        <f t="shared" si="33"/>
        <v>10.676923076923076</v>
      </c>
      <c r="H629" s="27" t="str">
        <f t="shared" si="34"/>
        <v>NEGATIVO</v>
      </c>
      <c r="J629" s="17">
        <f t="shared" si="35"/>
        <v>9.9142857142857146</v>
      </c>
    </row>
    <row r="630" spans="2:10">
      <c r="B630" t="s">
        <v>264</v>
      </c>
      <c r="C630" s="24" t="s">
        <v>27</v>
      </c>
      <c r="D630" s="25">
        <v>11.47</v>
      </c>
      <c r="E630" s="26">
        <v>18</v>
      </c>
      <c r="G630" s="17">
        <f t="shared" si="33"/>
        <v>17.646153846153847</v>
      </c>
      <c r="H630" s="27" t="str">
        <f t="shared" si="34"/>
        <v>POSITIVO</v>
      </c>
      <c r="J630" s="17">
        <f t="shared" si="35"/>
        <v>16.385714285714286</v>
      </c>
    </row>
    <row r="631" spans="2:10">
      <c r="B631" t="s">
        <v>1120</v>
      </c>
      <c r="C631" s="24" t="s">
        <v>27</v>
      </c>
      <c r="D631" s="25">
        <v>6.8</v>
      </c>
      <c r="E631" s="26">
        <v>10.5</v>
      </c>
      <c r="G631" s="17">
        <f t="shared" si="33"/>
        <v>10.461538461538462</v>
      </c>
      <c r="H631" s="27" t="str">
        <f t="shared" si="34"/>
        <v>POSITIVO</v>
      </c>
      <c r="J631" s="17">
        <f t="shared" si="35"/>
        <v>9.7142857142857153</v>
      </c>
    </row>
    <row r="632" spans="2:10">
      <c r="B632" t="s">
        <v>1709</v>
      </c>
      <c r="C632" s="30" t="s">
        <v>27</v>
      </c>
      <c r="D632" s="13">
        <v>22.4</v>
      </c>
      <c r="E632" s="13">
        <v>35</v>
      </c>
      <c r="G632" s="17">
        <f t="shared" si="33"/>
        <v>34.46153846153846</v>
      </c>
      <c r="H632" s="27" t="str">
        <f t="shared" si="34"/>
        <v>POSITIVO</v>
      </c>
      <c r="J632" s="17">
        <f t="shared" si="35"/>
        <v>32</v>
      </c>
    </row>
    <row r="633" spans="2:10">
      <c r="B633" t="s">
        <v>1708</v>
      </c>
      <c r="C633" s="30" t="s">
        <v>27</v>
      </c>
      <c r="D633" s="13">
        <v>15.6</v>
      </c>
      <c r="E633" s="13">
        <v>24</v>
      </c>
      <c r="G633" s="17">
        <f t="shared" si="33"/>
        <v>24</v>
      </c>
      <c r="H633" s="27" t="str">
        <f t="shared" si="34"/>
        <v>POSITIVO</v>
      </c>
      <c r="J633" s="17">
        <f t="shared" si="35"/>
        <v>22.285714285714288</v>
      </c>
    </row>
    <row r="634" spans="2:10">
      <c r="B634" t="s">
        <v>265</v>
      </c>
      <c r="C634" s="24" t="s">
        <v>27</v>
      </c>
      <c r="D634" s="25">
        <v>27</v>
      </c>
      <c r="E634" s="26">
        <v>42</v>
      </c>
      <c r="G634" s="17">
        <f t="shared" si="33"/>
        <v>41.53846153846154</v>
      </c>
      <c r="H634" s="27" t="str">
        <f t="shared" si="34"/>
        <v>POSITIVO</v>
      </c>
      <c r="J634" s="17">
        <f t="shared" si="35"/>
        <v>38.571428571428577</v>
      </c>
    </row>
    <row r="635" spans="2:10">
      <c r="B635" t="s">
        <v>266</v>
      </c>
      <c r="C635" s="24" t="s">
        <v>27</v>
      </c>
      <c r="D635" s="25">
        <v>31.4</v>
      </c>
      <c r="E635" s="26">
        <v>50</v>
      </c>
      <c r="G635" s="17">
        <f t="shared" si="33"/>
        <v>48.307692307692307</v>
      </c>
      <c r="H635" s="27" t="str">
        <f t="shared" si="34"/>
        <v>POSITIVO</v>
      </c>
      <c r="J635" s="17">
        <f t="shared" si="35"/>
        <v>44.857142857142861</v>
      </c>
    </row>
    <row r="636" spans="2:10">
      <c r="B636" t="s">
        <v>267</v>
      </c>
      <c r="C636" s="24" t="s">
        <v>27</v>
      </c>
      <c r="D636" s="25">
        <v>229</v>
      </c>
      <c r="E636" s="25">
        <v>335</v>
      </c>
      <c r="G636" s="17">
        <f t="shared" si="33"/>
        <v>352.30769230769232</v>
      </c>
      <c r="H636" s="27" t="str">
        <f t="shared" si="34"/>
        <v>NEGATIVO</v>
      </c>
      <c r="J636" s="17">
        <f t="shared" si="35"/>
        <v>327.14285714285717</v>
      </c>
    </row>
    <row r="637" spans="2:10">
      <c r="B637" t="s">
        <v>268</v>
      </c>
      <c r="C637" s="24" t="s">
        <v>27</v>
      </c>
      <c r="D637" s="25">
        <v>335</v>
      </c>
      <c r="E637" s="25">
        <v>452</v>
      </c>
      <c r="G637" s="17">
        <f t="shared" si="33"/>
        <v>515.38461538461536</v>
      </c>
      <c r="H637" s="27" t="str">
        <f t="shared" si="34"/>
        <v>NEGATIVO</v>
      </c>
      <c r="J637" s="17">
        <f t="shared" si="35"/>
        <v>478.57142857142861</v>
      </c>
    </row>
    <row r="638" spans="2:10">
      <c r="B638" t="s">
        <v>269</v>
      </c>
      <c r="C638" s="24" t="s">
        <v>27</v>
      </c>
      <c r="D638" s="25">
        <v>247</v>
      </c>
      <c r="E638" s="25">
        <v>334</v>
      </c>
      <c r="G638" s="17">
        <f t="shared" si="33"/>
        <v>380</v>
      </c>
      <c r="H638" s="27" t="str">
        <f t="shared" si="34"/>
        <v>NEGATIVO</v>
      </c>
      <c r="J638" s="17">
        <f t="shared" si="35"/>
        <v>352.85714285714289</v>
      </c>
    </row>
    <row r="639" spans="2:10">
      <c r="B639" t="s">
        <v>1979</v>
      </c>
      <c r="C639" s="30" t="s">
        <v>27</v>
      </c>
      <c r="D639" s="13">
        <v>47.11</v>
      </c>
      <c r="E639" s="13">
        <v>73</v>
      </c>
      <c r="G639" s="17">
        <f t="shared" si="33"/>
        <v>72.476923076923072</v>
      </c>
      <c r="H639" s="27" t="str">
        <f t="shared" si="34"/>
        <v>POSITIVO</v>
      </c>
      <c r="J639" s="17">
        <f t="shared" si="35"/>
        <v>67.3</v>
      </c>
    </row>
    <row r="640" spans="2:10">
      <c r="B640" t="s">
        <v>1980</v>
      </c>
      <c r="C640" s="30" t="s">
        <v>27</v>
      </c>
      <c r="D640" s="13">
        <v>54.52</v>
      </c>
      <c r="E640" s="13">
        <v>84</v>
      </c>
      <c r="G640" s="17">
        <f t="shared" si="33"/>
        <v>83.876923076923077</v>
      </c>
      <c r="H640" s="27" t="str">
        <f t="shared" si="34"/>
        <v>POSITIVO</v>
      </c>
      <c r="J640" s="17">
        <f t="shared" si="35"/>
        <v>77.8857142857143</v>
      </c>
    </row>
    <row r="641" spans="1:10">
      <c r="B641" t="s">
        <v>270</v>
      </c>
      <c r="C641" s="24" t="s">
        <v>27</v>
      </c>
      <c r="D641" s="25">
        <v>73.98</v>
      </c>
      <c r="E641" s="26">
        <v>114</v>
      </c>
      <c r="G641" s="17">
        <f t="shared" si="33"/>
        <v>113.81538461538462</v>
      </c>
      <c r="H641" s="27" t="str">
        <f t="shared" si="34"/>
        <v>POSITIVO</v>
      </c>
      <c r="J641" s="17">
        <f t="shared" si="35"/>
        <v>105.6857142857143</v>
      </c>
    </row>
    <row r="642" spans="1:10">
      <c r="A642" s="61" t="s">
        <v>2538</v>
      </c>
      <c r="B642" t="s">
        <v>2537</v>
      </c>
      <c r="C642" s="30" t="s">
        <v>27</v>
      </c>
      <c r="D642" s="13">
        <v>18.3</v>
      </c>
      <c r="E642" s="13">
        <v>35</v>
      </c>
      <c r="G642" s="17">
        <f t="shared" si="33"/>
        <v>28.153846153846153</v>
      </c>
      <c r="H642" s="27" t="str">
        <f t="shared" si="34"/>
        <v>POSITIVO</v>
      </c>
      <c r="J642" s="17">
        <f t="shared" si="35"/>
        <v>26.142857142857146</v>
      </c>
    </row>
    <row r="643" spans="1:10">
      <c r="B643" t="s">
        <v>271</v>
      </c>
      <c r="C643" s="24" t="s">
        <v>27</v>
      </c>
      <c r="D643" s="25">
        <v>12.99</v>
      </c>
      <c r="E643" s="26">
        <v>22.5</v>
      </c>
      <c r="G643" s="17">
        <f t="shared" si="33"/>
        <v>19.984615384615385</v>
      </c>
      <c r="H643" s="27" t="str">
        <f t="shared" si="34"/>
        <v>POSITIVO</v>
      </c>
      <c r="J643" s="17">
        <f t="shared" si="35"/>
        <v>18.557142857142857</v>
      </c>
    </row>
    <row r="644" spans="1:10">
      <c r="A644" s="61" t="s">
        <v>2535</v>
      </c>
      <c r="B644" t="s">
        <v>2534</v>
      </c>
      <c r="C644" s="30" t="s">
        <v>27</v>
      </c>
      <c r="D644" s="13">
        <v>22.5</v>
      </c>
      <c r="E644" s="13">
        <v>35</v>
      </c>
      <c r="G644" s="17">
        <f t="shared" si="33"/>
        <v>34.615384615384613</v>
      </c>
      <c r="H644" s="27" t="str">
        <f t="shared" si="34"/>
        <v>POSITIVO</v>
      </c>
      <c r="J644" s="17">
        <f t="shared" si="35"/>
        <v>32.142857142857146</v>
      </c>
    </row>
    <row r="645" spans="1:10">
      <c r="A645" s="61" t="s">
        <v>2533</v>
      </c>
      <c r="B645" t="s">
        <v>1256</v>
      </c>
      <c r="C645" s="30" t="s">
        <v>27</v>
      </c>
      <c r="D645" s="13">
        <v>19.899999999999999</v>
      </c>
      <c r="E645" s="13">
        <v>34</v>
      </c>
      <c r="G645" s="17">
        <f t="shared" si="33"/>
        <v>30.615384615384613</v>
      </c>
      <c r="H645" s="27" t="str">
        <f t="shared" si="34"/>
        <v>POSITIVO</v>
      </c>
      <c r="J645" s="17">
        <f t="shared" si="35"/>
        <v>28.428571428571427</v>
      </c>
    </row>
    <row r="646" spans="1:10">
      <c r="A646" s="61" t="s">
        <v>2532</v>
      </c>
      <c r="B646" t="s">
        <v>1522</v>
      </c>
      <c r="C646" s="30" t="s">
        <v>27</v>
      </c>
      <c r="D646" s="13">
        <v>12.99</v>
      </c>
      <c r="E646" s="13">
        <v>21</v>
      </c>
      <c r="G646" s="17">
        <f t="shared" si="33"/>
        <v>19.984615384615385</v>
      </c>
      <c r="H646" s="27" t="str">
        <f t="shared" si="34"/>
        <v>POSITIVO</v>
      </c>
      <c r="J646" s="17">
        <f t="shared" si="35"/>
        <v>18.557142857142857</v>
      </c>
    </row>
    <row r="647" spans="1:10">
      <c r="B647" t="s">
        <v>272</v>
      </c>
      <c r="C647" s="24" t="s">
        <v>27</v>
      </c>
      <c r="D647" s="25">
        <v>2.73</v>
      </c>
      <c r="E647" s="26">
        <v>4.5</v>
      </c>
      <c r="G647" s="17">
        <f t="shared" si="33"/>
        <v>4.2</v>
      </c>
      <c r="H647" s="27" t="str">
        <f t="shared" si="34"/>
        <v>POSITIVO</v>
      </c>
      <c r="J647" s="17">
        <f t="shared" si="35"/>
        <v>3.9000000000000004</v>
      </c>
    </row>
    <row r="648" spans="1:10">
      <c r="B648" t="s">
        <v>1161</v>
      </c>
      <c r="C648" s="24" t="s">
        <v>27</v>
      </c>
      <c r="D648" s="13">
        <v>4.6500000000000004</v>
      </c>
      <c r="E648" s="13">
        <v>7</v>
      </c>
      <c r="G648" s="17">
        <f t="shared" si="33"/>
        <v>7.1538461538461542</v>
      </c>
      <c r="H648" s="27" t="str">
        <f t="shared" si="34"/>
        <v>NEGATIVO</v>
      </c>
      <c r="J648" s="17">
        <f t="shared" si="35"/>
        <v>6.6428571428571441</v>
      </c>
    </row>
    <row r="649" spans="1:10">
      <c r="B649" t="s">
        <v>1160</v>
      </c>
      <c r="C649" s="24" t="s">
        <v>27</v>
      </c>
      <c r="D649" s="25">
        <v>2.99</v>
      </c>
      <c r="E649" s="26">
        <v>5</v>
      </c>
      <c r="G649" s="17">
        <f t="shared" si="33"/>
        <v>4.6000000000000005</v>
      </c>
      <c r="H649" s="27" t="str">
        <f t="shared" si="34"/>
        <v>POSITIVO</v>
      </c>
      <c r="J649" s="17">
        <f t="shared" si="35"/>
        <v>4.2714285714285722</v>
      </c>
    </row>
    <row r="650" spans="1:10">
      <c r="B650" t="s">
        <v>1181</v>
      </c>
      <c r="C650" s="24" t="s">
        <v>27</v>
      </c>
      <c r="D650" s="25">
        <v>0.37</v>
      </c>
      <c r="E650" s="25">
        <v>0.6</v>
      </c>
      <c r="G650" s="17">
        <f t="shared" si="33"/>
        <v>0.56923076923076921</v>
      </c>
      <c r="H650" s="27" t="str">
        <f t="shared" si="34"/>
        <v>POSITIVO</v>
      </c>
      <c r="J650" s="17">
        <f t="shared" si="35"/>
        <v>0.52857142857142858</v>
      </c>
    </row>
    <row r="651" spans="1:10">
      <c r="B651" t="s">
        <v>273</v>
      </c>
      <c r="C651" s="24" t="s">
        <v>27</v>
      </c>
      <c r="D651" s="25">
        <v>89.9</v>
      </c>
      <c r="E651" s="25">
        <v>178.25</v>
      </c>
      <c r="G651" s="17">
        <f t="shared" si="33"/>
        <v>138.30769230769232</v>
      </c>
      <c r="H651" s="27" t="str">
        <f t="shared" si="34"/>
        <v>POSITIVO</v>
      </c>
      <c r="J651" s="17">
        <f t="shared" si="35"/>
        <v>128.42857142857144</v>
      </c>
    </row>
    <row r="652" spans="1:10">
      <c r="B652" t="s">
        <v>274</v>
      </c>
      <c r="C652" s="24" t="s">
        <v>27</v>
      </c>
      <c r="D652" s="25">
        <v>85.98</v>
      </c>
      <c r="E652" s="25">
        <v>270</v>
      </c>
      <c r="G652" s="17">
        <f t="shared" si="33"/>
        <v>132.27692307692308</v>
      </c>
      <c r="H652" s="27" t="str">
        <f t="shared" si="34"/>
        <v>POSITIVO</v>
      </c>
      <c r="J652" s="17">
        <f t="shared" si="35"/>
        <v>122.82857142857144</v>
      </c>
    </row>
    <row r="653" spans="1:10">
      <c r="B653" t="s">
        <v>275</v>
      </c>
      <c r="C653" s="24" t="s">
        <v>27</v>
      </c>
      <c r="D653" s="25">
        <v>4.13</v>
      </c>
      <c r="E653" s="26">
        <v>6.4</v>
      </c>
      <c r="G653" s="17">
        <f t="shared" si="33"/>
        <v>6.3538461538461535</v>
      </c>
      <c r="H653" s="27" t="str">
        <f t="shared" si="34"/>
        <v>POSITIVO</v>
      </c>
      <c r="J653" s="17">
        <f t="shared" si="35"/>
        <v>5.9</v>
      </c>
    </row>
    <row r="654" spans="1:10">
      <c r="B654" t="s">
        <v>1463</v>
      </c>
      <c r="C654" s="24" t="s">
        <v>27</v>
      </c>
      <c r="D654" s="25">
        <v>18.5</v>
      </c>
      <c r="E654" s="26">
        <v>30</v>
      </c>
      <c r="G654" s="17">
        <f t="shared" si="33"/>
        <v>28.46153846153846</v>
      </c>
      <c r="H654" s="27" t="str">
        <f t="shared" si="34"/>
        <v>POSITIVO</v>
      </c>
      <c r="J654" s="17">
        <f t="shared" si="35"/>
        <v>26.428571428571431</v>
      </c>
    </row>
    <row r="655" spans="1:10">
      <c r="B655" t="s">
        <v>1796</v>
      </c>
      <c r="C655" s="30" t="s">
        <v>27</v>
      </c>
      <c r="D655" s="13">
        <v>2.56</v>
      </c>
      <c r="E655" s="13">
        <v>3.95</v>
      </c>
      <c r="G655" s="17">
        <f t="shared" si="33"/>
        <v>3.9384615384615382</v>
      </c>
      <c r="H655" s="27" t="str">
        <f t="shared" si="34"/>
        <v>POSITIVO</v>
      </c>
      <c r="J655" s="17">
        <f t="shared" si="35"/>
        <v>3.6571428571428575</v>
      </c>
    </row>
    <row r="656" spans="1:10">
      <c r="B656" t="s">
        <v>1797</v>
      </c>
      <c r="C656" s="30" t="s">
        <v>27</v>
      </c>
      <c r="D656" s="13">
        <v>3.64</v>
      </c>
      <c r="E656" s="13">
        <v>5.7</v>
      </c>
      <c r="G656" s="17">
        <f t="shared" si="33"/>
        <v>5.6</v>
      </c>
      <c r="H656" s="27" t="str">
        <f t="shared" si="34"/>
        <v>POSITIVO</v>
      </c>
      <c r="J656" s="17">
        <f t="shared" si="35"/>
        <v>5.2</v>
      </c>
    </row>
    <row r="657" spans="2:10">
      <c r="B657" t="s">
        <v>1910</v>
      </c>
      <c r="C657" s="30" t="s">
        <v>27</v>
      </c>
      <c r="D657" s="13">
        <v>6.9</v>
      </c>
      <c r="E657" s="13">
        <v>10.7</v>
      </c>
      <c r="G657" s="17">
        <f t="shared" si="33"/>
        <v>10.615384615384615</v>
      </c>
      <c r="H657" s="27" t="str">
        <f t="shared" si="34"/>
        <v>POSITIVO</v>
      </c>
      <c r="J657" s="17">
        <f t="shared" si="35"/>
        <v>9.8571428571428577</v>
      </c>
    </row>
    <row r="658" spans="2:10">
      <c r="B658" t="s">
        <v>1909</v>
      </c>
      <c r="C658" s="24" t="s">
        <v>27</v>
      </c>
      <c r="D658" s="25">
        <v>19.559999999999999</v>
      </c>
      <c r="E658" s="26">
        <v>28</v>
      </c>
      <c r="G658" s="17">
        <f t="shared" si="33"/>
        <v>30.092307692307688</v>
      </c>
      <c r="H658" s="27" t="str">
        <f t="shared" si="34"/>
        <v>NEGATIVO</v>
      </c>
      <c r="J658" s="17">
        <f t="shared" si="35"/>
        <v>27.942857142857143</v>
      </c>
    </row>
    <row r="659" spans="2:10">
      <c r="B659" t="s">
        <v>970</v>
      </c>
      <c r="C659" s="30" t="s">
        <v>27</v>
      </c>
      <c r="D659" s="13">
        <v>52.99</v>
      </c>
      <c r="E659" s="13">
        <v>82.9</v>
      </c>
      <c r="G659" s="17">
        <f t="shared" si="33"/>
        <v>81.523076923076928</v>
      </c>
      <c r="H659" s="27" t="str">
        <f t="shared" si="34"/>
        <v>POSITIVO</v>
      </c>
      <c r="J659" s="17">
        <f t="shared" si="35"/>
        <v>75.7</v>
      </c>
    </row>
    <row r="660" spans="2:10">
      <c r="B660" t="s">
        <v>1504</v>
      </c>
      <c r="C660" s="30" t="s">
        <v>27</v>
      </c>
      <c r="D660" s="13">
        <v>1.03</v>
      </c>
      <c r="E660" s="13">
        <v>2</v>
      </c>
      <c r="G660" s="17">
        <f t="shared" si="33"/>
        <v>1.5846153846153845</v>
      </c>
      <c r="H660" s="27" t="str">
        <f t="shared" si="34"/>
        <v>POSITIVO</v>
      </c>
      <c r="J660" s="17">
        <f t="shared" si="35"/>
        <v>1.4714285714285715</v>
      </c>
    </row>
    <row r="661" spans="2:10">
      <c r="B661" t="s">
        <v>1392</v>
      </c>
      <c r="C661" s="30" t="s">
        <v>27</v>
      </c>
      <c r="D661" s="13">
        <v>52.22</v>
      </c>
      <c r="E661" s="13">
        <v>82</v>
      </c>
      <c r="G661" s="17">
        <f t="shared" si="33"/>
        <v>80.33846153846153</v>
      </c>
      <c r="H661" s="27" t="str">
        <f t="shared" si="34"/>
        <v>POSITIVO</v>
      </c>
      <c r="J661" s="17">
        <f t="shared" si="35"/>
        <v>74.600000000000009</v>
      </c>
    </row>
    <row r="662" spans="2:10">
      <c r="B662" t="s">
        <v>1390</v>
      </c>
      <c r="C662" s="30" t="s">
        <v>27</v>
      </c>
      <c r="D662" s="13">
        <v>34.299999999999997</v>
      </c>
      <c r="E662" s="13">
        <v>53</v>
      </c>
      <c r="G662" s="17">
        <f t="shared" si="33"/>
        <v>52.769230769230766</v>
      </c>
      <c r="H662" s="27" t="str">
        <f t="shared" si="34"/>
        <v>POSITIVO</v>
      </c>
      <c r="J662" s="17">
        <f t="shared" si="35"/>
        <v>49</v>
      </c>
    </row>
    <row r="663" spans="2:10">
      <c r="B663" t="s">
        <v>1391</v>
      </c>
      <c r="C663" s="30" t="s">
        <v>27</v>
      </c>
      <c r="D663" s="13">
        <v>45.72</v>
      </c>
      <c r="E663" s="13">
        <v>72.8</v>
      </c>
      <c r="G663" s="17">
        <f t="shared" si="33"/>
        <v>70.33846153846153</v>
      </c>
      <c r="H663" s="27" t="str">
        <f t="shared" si="34"/>
        <v>POSITIVO</v>
      </c>
      <c r="J663" s="17">
        <f t="shared" si="35"/>
        <v>65.314285714285717</v>
      </c>
    </row>
    <row r="664" spans="2:10">
      <c r="B664" t="s">
        <v>1389</v>
      </c>
      <c r="C664" s="30" t="s">
        <v>27</v>
      </c>
      <c r="D664" s="13">
        <v>67.510000000000005</v>
      </c>
      <c r="E664" s="13">
        <v>105</v>
      </c>
      <c r="G664" s="17">
        <f t="shared" si="33"/>
        <v>103.86153846153847</v>
      </c>
      <c r="H664" s="27" t="str">
        <f t="shared" si="34"/>
        <v>POSITIVO</v>
      </c>
      <c r="J664" s="17">
        <f t="shared" si="35"/>
        <v>96.44285714285715</v>
      </c>
    </row>
    <row r="665" spans="2:10">
      <c r="B665" t="s">
        <v>1394</v>
      </c>
      <c r="C665" s="30" t="s">
        <v>27</v>
      </c>
      <c r="D665" s="13">
        <v>14.83</v>
      </c>
      <c r="E665" s="13">
        <v>23</v>
      </c>
      <c r="G665" s="17">
        <f t="shared" si="33"/>
        <v>22.815384615384616</v>
      </c>
      <c r="H665" s="27" t="str">
        <f t="shared" si="34"/>
        <v>POSITIVO</v>
      </c>
      <c r="J665" s="17">
        <f t="shared" si="35"/>
        <v>21.185714285714287</v>
      </c>
    </row>
    <row r="666" spans="2:10">
      <c r="B666" t="s">
        <v>1394</v>
      </c>
      <c r="C666" s="30" t="s">
        <v>27</v>
      </c>
      <c r="D666" s="13">
        <v>18.899999999999999</v>
      </c>
      <c r="E666" s="13">
        <v>31</v>
      </c>
      <c r="G666" s="17">
        <f t="shared" si="33"/>
        <v>29.076923076923073</v>
      </c>
      <c r="H666" s="27" t="str">
        <f t="shared" si="34"/>
        <v>POSITIVO</v>
      </c>
      <c r="J666" s="17">
        <f t="shared" si="35"/>
        <v>27</v>
      </c>
    </row>
    <row r="667" spans="2:10">
      <c r="B667" t="s">
        <v>1395</v>
      </c>
      <c r="C667" s="30" t="s">
        <v>27</v>
      </c>
      <c r="D667" s="13">
        <v>25.25</v>
      </c>
      <c r="E667" s="13">
        <v>39.9</v>
      </c>
      <c r="G667" s="17">
        <f t="shared" si="33"/>
        <v>38.846153846153847</v>
      </c>
      <c r="H667" s="27" t="str">
        <f t="shared" si="34"/>
        <v>POSITIVO</v>
      </c>
      <c r="J667" s="17">
        <f t="shared" si="35"/>
        <v>36.071428571428577</v>
      </c>
    </row>
    <row r="668" spans="2:10">
      <c r="B668" t="s">
        <v>1681</v>
      </c>
      <c r="C668" s="30" t="s">
        <v>27</v>
      </c>
      <c r="D668" s="13">
        <v>47.9</v>
      </c>
      <c r="E668" s="13">
        <v>74.8</v>
      </c>
      <c r="G668" s="17">
        <f t="shared" si="33"/>
        <v>73.692307692307693</v>
      </c>
      <c r="H668" s="27" t="str">
        <f t="shared" si="34"/>
        <v>POSITIVO</v>
      </c>
      <c r="J668" s="17">
        <f t="shared" si="35"/>
        <v>68.428571428571431</v>
      </c>
    </row>
    <row r="669" spans="2:10">
      <c r="B669" t="s">
        <v>1682</v>
      </c>
      <c r="C669" s="30" t="s">
        <v>27</v>
      </c>
      <c r="D669" s="13">
        <v>59.9</v>
      </c>
      <c r="E669" s="13">
        <v>93.9</v>
      </c>
      <c r="G669" s="17">
        <f t="shared" si="33"/>
        <v>92.153846153846146</v>
      </c>
      <c r="H669" s="27" t="str">
        <f t="shared" si="34"/>
        <v>POSITIVO</v>
      </c>
      <c r="J669" s="17">
        <f t="shared" si="35"/>
        <v>85.571428571428569</v>
      </c>
    </row>
    <row r="670" spans="2:10">
      <c r="B670" t="s">
        <v>1159</v>
      </c>
      <c r="C670" s="30" t="s">
        <v>27</v>
      </c>
      <c r="D670" s="13">
        <v>21.5</v>
      </c>
      <c r="E670" s="13">
        <v>34</v>
      </c>
      <c r="G670" s="17">
        <f t="shared" si="33"/>
        <v>33.076923076923073</v>
      </c>
      <c r="H670" s="27" t="str">
        <f t="shared" si="34"/>
        <v>POSITIVO</v>
      </c>
      <c r="J670" s="17">
        <f t="shared" si="35"/>
        <v>30.714285714285715</v>
      </c>
    </row>
    <row r="671" spans="2:10">
      <c r="B671" t="s">
        <v>1050</v>
      </c>
      <c r="C671" s="30" t="s">
        <v>27</v>
      </c>
      <c r="D671" s="13">
        <v>7.99</v>
      </c>
      <c r="E671" s="13">
        <v>12.5</v>
      </c>
      <c r="G671" s="17">
        <f t="shared" si="33"/>
        <v>12.292307692307693</v>
      </c>
      <c r="H671" s="27" t="str">
        <f t="shared" si="34"/>
        <v>POSITIVO</v>
      </c>
      <c r="J671" s="17">
        <f t="shared" si="35"/>
        <v>11.414285714285715</v>
      </c>
    </row>
    <row r="672" spans="2:10">
      <c r="B672" t="s">
        <v>1048</v>
      </c>
      <c r="C672" s="30" t="s">
        <v>27</v>
      </c>
      <c r="D672" s="13">
        <v>0.6</v>
      </c>
      <c r="E672" s="13">
        <v>3</v>
      </c>
      <c r="G672" s="17">
        <f t="shared" ref="G672:G728" si="36">(D672/65%)</f>
        <v>0.92307692307692302</v>
      </c>
      <c r="H672" s="27" t="str">
        <f t="shared" ref="H672:H728" si="37">IF(E672&gt;=G672,"POSITIVO","NEGATIVO")</f>
        <v>POSITIVO</v>
      </c>
      <c r="J672" s="17">
        <f t="shared" ref="J672:J728" si="38">D672/70%</f>
        <v>0.85714285714285721</v>
      </c>
    </row>
    <row r="673" spans="1:10">
      <c r="B673" t="s">
        <v>276</v>
      </c>
      <c r="C673" s="24" t="s">
        <v>27</v>
      </c>
      <c r="D673" s="25">
        <v>15</v>
      </c>
      <c r="E673" s="26">
        <v>23.8</v>
      </c>
      <c r="G673" s="17">
        <f t="shared" si="36"/>
        <v>23.076923076923077</v>
      </c>
      <c r="H673" s="27" t="str">
        <f t="shared" si="37"/>
        <v>POSITIVO</v>
      </c>
      <c r="J673" s="17">
        <f t="shared" si="38"/>
        <v>21.428571428571431</v>
      </c>
    </row>
    <row r="674" spans="1:10">
      <c r="B674" t="s">
        <v>277</v>
      </c>
      <c r="C674" s="24" t="s">
        <v>27</v>
      </c>
      <c r="D674" s="25">
        <v>4.5</v>
      </c>
      <c r="E674" s="26">
        <v>9.5</v>
      </c>
      <c r="G674" s="17">
        <f t="shared" si="36"/>
        <v>6.9230769230769225</v>
      </c>
      <c r="H674" s="27" t="str">
        <f t="shared" si="37"/>
        <v>POSITIVO</v>
      </c>
      <c r="J674" s="17">
        <f t="shared" si="38"/>
        <v>6.4285714285714288</v>
      </c>
    </row>
    <row r="675" spans="1:10">
      <c r="B675" t="s">
        <v>987</v>
      </c>
      <c r="C675" s="24" t="s">
        <v>27</v>
      </c>
      <c r="D675" s="25">
        <v>15</v>
      </c>
      <c r="E675" s="26">
        <v>23.5</v>
      </c>
      <c r="G675" s="17">
        <f t="shared" si="36"/>
        <v>23.076923076923077</v>
      </c>
      <c r="H675" s="27" t="str">
        <f t="shared" si="37"/>
        <v>POSITIVO</v>
      </c>
      <c r="J675" s="17">
        <f t="shared" si="38"/>
        <v>21.428571428571431</v>
      </c>
    </row>
    <row r="676" spans="1:10">
      <c r="B676" t="s">
        <v>865</v>
      </c>
      <c r="C676" s="24" t="s">
        <v>27</v>
      </c>
      <c r="D676" s="25">
        <v>14.5</v>
      </c>
      <c r="E676" s="26">
        <v>22.5</v>
      </c>
      <c r="G676" s="17">
        <f t="shared" si="36"/>
        <v>22.307692307692307</v>
      </c>
      <c r="H676" s="27" t="str">
        <f t="shared" si="37"/>
        <v>POSITIVO</v>
      </c>
      <c r="J676" s="17">
        <f t="shared" si="38"/>
        <v>20.714285714285715</v>
      </c>
    </row>
    <row r="677" spans="1:10">
      <c r="B677" t="s">
        <v>866</v>
      </c>
      <c r="C677" s="24" t="s">
        <v>27</v>
      </c>
      <c r="D677" s="25">
        <v>16.5</v>
      </c>
      <c r="E677" s="26">
        <v>26.9</v>
      </c>
      <c r="G677" s="17">
        <f t="shared" si="36"/>
        <v>25.384615384615383</v>
      </c>
      <c r="H677" s="27" t="str">
        <f t="shared" si="37"/>
        <v>POSITIVO</v>
      </c>
      <c r="J677" s="17">
        <f t="shared" si="38"/>
        <v>23.571428571428573</v>
      </c>
    </row>
    <row r="678" spans="1:10">
      <c r="B678" t="s">
        <v>1533</v>
      </c>
      <c r="C678" s="24" t="s">
        <v>27</v>
      </c>
      <c r="D678" s="25">
        <v>15</v>
      </c>
      <c r="E678" s="26">
        <v>23.9</v>
      </c>
      <c r="G678" s="17">
        <f t="shared" si="36"/>
        <v>23.076923076923077</v>
      </c>
      <c r="H678" s="27" t="str">
        <f t="shared" si="37"/>
        <v>POSITIVO</v>
      </c>
      <c r="J678" s="17">
        <f t="shared" si="38"/>
        <v>21.428571428571431</v>
      </c>
    </row>
    <row r="679" spans="1:10">
      <c r="B679" t="s">
        <v>1534</v>
      </c>
      <c r="C679" s="24" t="s">
        <v>27</v>
      </c>
      <c r="D679" s="25">
        <v>15.5</v>
      </c>
      <c r="E679" s="26">
        <v>24.8</v>
      </c>
      <c r="G679" s="17">
        <f t="shared" si="36"/>
        <v>23.846153846153847</v>
      </c>
      <c r="H679" s="27" t="str">
        <f t="shared" si="37"/>
        <v>POSITIVO</v>
      </c>
      <c r="J679" s="17">
        <f t="shared" si="38"/>
        <v>22.142857142857146</v>
      </c>
    </row>
    <row r="680" spans="1:10">
      <c r="B680" t="s">
        <v>278</v>
      </c>
      <c r="C680" s="24" t="s">
        <v>27</v>
      </c>
      <c r="D680" s="25">
        <v>10</v>
      </c>
      <c r="E680" s="26">
        <v>17</v>
      </c>
      <c r="G680" s="17">
        <f t="shared" si="36"/>
        <v>15.384615384615383</v>
      </c>
      <c r="H680" s="27" t="str">
        <f t="shared" si="37"/>
        <v>POSITIVO</v>
      </c>
      <c r="J680" s="17">
        <f t="shared" si="38"/>
        <v>14.285714285714286</v>
      </c>
    </row>
    <row r="681" spans="1:10">
      <c r="A681" s="61" t="s">
        <v>2045</v>
      </c>
      <c r="B681" t="s">
        <v>1092</v>
      </c>
      <c r="C681" s="24" t="s">
        <v>27</v>
      </c>
      <c r="D681" s="25">
        <v>38</v>
      </c>
      <c r="E681" s="26">
        <v>59</v>
      </c>
      <c r="G681" s="17">
        <f t="shared" si="36"/>
        <v>58.46153846153846</v>
      </c>
      <c r="H681" s="27" t="str">
        <f t="shared" si="37"/>
        <v>POSITIVO</v>
      </c>
      <c r="J681" s="17">
        <f t="shared" si="38"/>
        <v>54.285714285714292</v>
      </c>
    </row>
    <row r="682" spans="1:10">
      <c r="A682" s="61" t="s">
        <v>2046</v>
      </c>
      <c r="B682" t="s">
        <v>2044</v>
      </c>
      <c r="C682" s="24" t="s">
        <v>27</v>
      </c>
      <c r="D682" s="25">
        <v>44</v>
      </c>
      <c r="E682" s="26">
        <v>68</v>
      </c>
      <c r="G682" s="17">
        <f t="shared" si="36"/>
        <v>67.692307692307693</v>
      </c>
      <c r="H682" s="27" t="str">
        <f t="shared" si="37"/>
        <v>POSITIVO</v>
      </c>
      <c r="J682" s="17">
        <f t="shared" si="38"/>
        <v>62.857142857142861</v>
      </c>
    </row>
    <row r="683" spans="1:10">
      <c r="B683" t="s">
        <v>986</v>
      </c>
      <c r="C683" s="24" t="s">
        <v>27</v>
      </c>
      <c r="D683" s="25">
        <v>12.5</v>
      </c>
      <c r="E683" s="26">
        <v>19.5</v>
      </c>
      <c r="G683" s="17">
        <f t="shared" si="36"/>
        <v>19.23076923076923</v>
      </c>
      <c r="H683" s="27" t="str">
        <f t="shared" si="37"/>
        <v>POSITIVO</v>
      </c>
      <c r="J683" s="17">
        <f t="shared" si="38"/>
        <v>17.857142857142858</v>
      </c>
    </row>
    <row r="684" spans="1:10">
      <c r="B684" t="s">
        <v>279</v>
      </c>
      <c r="C684" s="24" t="s">
        <v>27</v>
      </c>
      <c r="D684" s="25">
        <v>13</v>
      </c>
      <c r="E684" s="26">
        <v>21</v>
      </c>
      <c r="G684" s="17">
        <f t="shared" si="36"/>
        <v>20</v>
      </c>
      <c r="H684" s="27" t="str">
        <f t="shared" si="37"/>
        <v>POSITIVO</v>
      </c>
      <c r="J684" s="17">
        <f t="shared" si="38"/>
        <v>18.571428571428573</v>
      </c>
    </row>
    <row r="685" spans="1:10">
      <c r="B685" t="s">
        <v>1826</v>
      </c>
      <c r="C685" s="30" t="s">
        <v>27</v>
      </c>
      <c r="D685" s="13">
        <v>37</v>
      </c>
      <c r="E685" s="13">
        <v>57</v>
      </c>
      <c r="G685" s="17">
        <f t="shared" si="36"/>
        <v>56.92307692307692</v>
      </c>
      <c r="H685" s="27" t="str">
        <f t="shared" si="37"/>
        <v>POSITIVO</v>
      </c>
      <c r="J685" s="17">
        <f t="shared" si="38"/>
        <v>52.857142857142861</v>
      </c>
    </row>
    <row r="686" spans="1:10">
      <c r="B686" t="s">
        <v>1532</v>
      </c>
      <c r="C686" s="24" t="s">
        <v>27</v>
      </c>
      <c r="D686" s="25">
        <v>50</v>
      </c>
      <c r="E686" s="26">
        <v>76</v>
      </c>
      <c r="G686" s="17">
        <f t="shared" si="36"/>
        <v>76.92307692307692</v>
      </c>
      <c r="H686" s="27" t="str">
        <f t="shared" si="37"/>
        <v>NEGATIVO</v>
      </c>
      <c r="J686" s="17">
        <f t="shared" si="38"/>
        <v>71.428571428571431</v>
      </c>
    </row>
    <row r="687" spans="1:10">
      <c r="B687" t="s">
        <v>1713</v>
      </c>
      <c r="C687" s="30" t="s">
        <v>27</v>
      </c>
      <c r="D687" s="13">
        <v>85</v>
      </c>
      <c r="E687" s="13">
        <v>135</v>
      </c>
      <c r="G687" s="17">
        <f t="shared" si="36"/>
        <v>130.76923076923077</v>
      </c>
      <c r="H687" s="27" t="str">
        <f t="shared" si="37"/>
        <v>POSITIVO</v>
      </c>
      <c r="J687" s="17">
        <f t="shared" si="38"/>
        <v>121.42857142857143</v>
      </c>
    </row>
    <row r="688" spans="1:10">
      <c r="B688" t="s">
        <v>1710</v>
      </c>
      <c r="C688" s="24" t="s">
        <v>27</v>
      </c>
      <c r="D688" s="25">
        <v>95</v>
      </c>
      <c r="E688" s="26">
        <v>152</v>
      </c>
      <c r="G688" s="17">
        <f t="shared" si="36"/>
        <v>146.15384615384616</v>
      </c>
      <c r="H688" s="27" t="str">
        <f t="shared" si="37"/>
        <v>POSITIVO</v>
      </c>
      <c r="J688" s="17">
        <f t="shared" si="38"/>
        <v>135.71428571428572</v>
      </c>
    </row>
    <row r="689" spans="1:10">
      <c r="A689" s="61" t="s">
        <v>2043</v>
      </c>
      <c r="B689" t="s">
        <v>2042</v>
      </c>
      <c r="C689" s="30" t="s">
        <v>27</v>
      </c>
      <c r="D689" s="13">
        <v>44</v>
      </c>
      <c r="E689" s="13">
        <v>68</v>
      </c>
      <c r="G689" s="17">
        <f t="shared" si="36"/>
        <v>67.692307692307693</v>
      </c>
      <c r="H689" s="27" t="str">
        <f t="shared" si="37"/>
        <v>POSITIVO</v>
      </c>
      <c r="J689" s="17">
        <f t="shared" si="38"/>
        <v>62.857142857142861</v>
      </c>
    </row>
    <row r="690" spans="1:10">
      <c r="B690" t="s">
        <v>1715</v>
      </c>
      <c r="C690" s="24" t="s">
        <v>27</v>
      </c>
      <c r="D690" s="25">
        <v>24</v>
      </c>
      <c r="E690" s="26">
        <v>34</v>
      </c>
      <c r="G690" s="17">
        <f t="shared" si="36"/>
        <v>36.92307692307692</v>
      </c>
      <c r="H690" s="27" t="str">
        <f t="shared" si="37"/>
        <v>NEGATIVO</v>
      </c>
      <c r="J690" s="17">
        <f t="shared" si="38"/>
        <v>34.285714285714285</v>
      </c>
    </row>
    <row r="691" spans="1:10">
      <c r="A691" s="61" t="s">
        <v>2040</v>
      </c>
      <c r="B691" t="s">
        <v>2041</v>
      </c>
      <c r="C691" s="24" t="s">
        <v>27</v>
      </c>
      <c r="D691" s="25">
        <v>40</v>
      </c>
      <c r="E691" s="26">
        <v>68</v>
      </c>
      <c r="G691" s="17">
        <f t="shared" si="36"/>
        <v>61.538461538461533</v>
      </c>
      <c r="H691" s="27" t="str">
        <f t="shared" si="37"/>
        <v>POSITIVO</v>
      </c>
      <c r="J691" s="17">
        <f t="shared" si="38"/>
        <v>57.142857142857146</v>
      </c>
    </row>
    <row r="692" spans="1:10">
      <c r="B692" t="s">
        <v>1638</v>
      </c>
      <c r="C692" s="24" t="s">
        <v>27</v>
      </c>
      <c r="D692" s="25">
        <v>40.799999999999997</v>
      </c>
      <c r="E692" s="26">
        <v>63</v>
      </c>
      <c r="G692" s="17">
        <f t="shared" si="36"/>
        <v>62.769230769230759</v>
      </c>
      <c r="H692" s="27" t="str">
        <f t="shared" si="37"/>
        <v>POSITIVO</v>
      </c>
      <c r="J692" s="17">
        <f t="shared" si="38"/>
        <v>58.285714285714285</v>
      </c>
    </row>
    <row r="693" spans="1:10">
      <c r="B693" t="s">
        <v>280</v>
      </c>
      <c r="C693" s="24" t="s">
        <v>27</v>
      </c>
      <c r="D693" s="25">
        <v>50</v>
      </c>
      <c r="E693" s="26">
        <v>78</v>
      </c>
      <c r="G693" s="17">
        <f t="shared" si="36"/>
        <v>76.92307692307692</v>
      </c>
      <c r="H693" s="27" t="str">
        <f t="shared" si="37"/>
        <v>POSITIVO</v>
      </c>
      <c r="J693" s="17">
        <f t="shared" si="38"/>
        <v>71.428571428571431</v>
      </c>
    </row>
    <row r="694" spans="1:10">
      <c r="B694" t="s">
        <v>281</v>
      </c>
      <c r="C694" s="24" t="s">
        <v>27</v>
      </c>
      <c r="D694" s="25">
        <v>46</v>
      </c>
      <c r="E694" s="26">
        <v>72</v>
      </c>
      <c r="G694" s="17">
        <f t="shared" si="36"/>
        <v>70.769230769230774</v>
      </c>
      <c r="H694" s="27" t="str">
        <f t="shared" si="37"/>
        <v>POSITIVO</v>
      </c>
      <c r="J694" s="17">
        <f t="shared" si="38"/>
        <v>65.714285714285722</v>
      </c>
    </row>
    <row r="695" spans="1:10">
      <c r="B695" t="s">
        <v>282</v>
      </c>
      <c r="C695" s="24" t="s">
        <v>27</v>
      </c>
      <c r="D695" s="25">
        <v>40</v>
      </c>
      <c r="E695" s="26">
        <v>62</v>
      </c>
      <c r="G695" s="17">
        <f t="shared" si="36"/>
        <v>61.538461538461533</v>
      </c>
      <c r="H695" s="27" t="str">
        <f t="shared" si="37"/>
        <v>POSITIVO</v>
      </c>
      <c r="J695" s="17">
        <f t="shared" si="38"/>
        <v>57.142857142857146</v>
      </c>
    </row>
    <row r="696" spans="1:10">
      <c r="B696" t="s">
        <v>283</v>
      </c>
      <c r="C696" s="24" t="s">
        <v>27</v>
      </c>
      <c r="D696" s="25">
        <v>54</v>
      </c>
      <c r="E696" s="26">
        <v>81</v>
      </c>
      <c r="G696" s="17">
        <f t="shared" si="36"/>
        <v>83.07692307692308</v>
      </c>
      <c r="H696" s="27" t="str">
        <f t="shared" si="37"/>
        <v>NEGATIVO</v>
      </c>
      <c r="J696" s="17">
        <f t="shared" si="38"/>
        <v>77.142857142857153</v>
      </c>
    </row>
    <row r="697" spans="1:10">
      <c r="A697" s="61" t="s">
        <v>2039</v>
      </c>
      <c r="B697" t="s">
        <v>1711</v>
      </c>
      <c r="C697" s="30" t="s">
        <v>27</v>
      </c>
      <c r="D697" s="13">
        <v>75</v>
      </c>
      <c r="E697" s="13">
        <v>125</v>
      </c>
      <c r="G697" s="17">
        <f t="shared" si="36"/>
        <v>115.38461538461539</v>
      </c>
      <c r="H697" s="27" t="str">
        <f t="shared" si="37"/>
        <v>POSITIVO</v>
      </c>
      <c r="J697" s="17">
        <f t="shared" si="38"/>
        <v>107.14285714285715</v>
      </c>
    </row>
    <row r="698" spans="1:10">
      <c r="B698" t="s">
        <v>1712</v>
      </c>
      <c r="C698" s="24" t="s">
        <v>27</v>
      </c>
      <c r="D698" s="25">
        <v>85</v>
      </c>
      <c r="E698" s="26">
        <v>135</v>
      </c>
      <c r="G698" s="17">
        <f t="shared" si="36"/>
        <v>130.76923076923077</v>
      </c>
      <c r="H698" s="27" t="str">
        <f t="shared" si="37"/>
        <v>POSITIVO</v>
      </c>
      <c r="J698" s="17">
        <f t="shared" si="38"/>
        <v>121.42857142857143</v>
      </c>
    </row>
    <row r="699" spans="1:10">
      <c r="B699" t="s">
        <v>1714</v>
      </c>
      <c r="C699" s="24" t="s">
        <v>27</v>
      </c>
      <c r="D699" s="25">
        <v>54</v>
      </c>
      <c r="E699" s="26">
        <v>84</v>
      </c>
      <c r="G699" s="17">
        <f t="shared" si="36"/>
        <v>83.07692307692308</v>
      </c>
      <c r="H699" s="27" t="str">
        <f t="shared" si="37"/>
        <v>POSITIVO</v>
      </c>
      <c r="J699" s="17">
        <f t="shared" si="38"/>
        <v>77.142857142857153</v>
      </c>
    </row>
    <row r="700" spans="1:10">
      <c r="A700" s="61" t="s">
        <v>2038</v>
      </c>
      <c r="B700" t="s">
        <v>284</v>
      </c>
      <c r="C700" s="24" t="s">
        <v>27</v>
      </c>
      <c r="D700" s="25">
        <v>15</v>
      </c>
      <c r="E700" s="26">
        <v>24.5</v>
      </c>
      <c r="G700" s="17">
        <f t="shared" si="36"/>
        <v>23.076923076923077</v>
      </c>
      <c r="H700" s="27" t="str">
        <f t="shared" si="37"/>
        <v>POSITIVO</v>
      </c>
      <c r="J700" s="17">
        <f t="shared" si="38"/>
        <v>21.428571428571431</v>
      </c>
    </row>
    <row r="701" spans="1:10">
      <c r="A701" s="61" t="s">
        <v>2037</v>
      </c>
      <c r="B701" t="s">
        <v>285</v>
      </c>
      <c r="C701" s="24" t="s">
        <v>27</v>
      </c>
      <c r="D701" s="25">
        <v>11.5</v>
      </c>
      <c r="E701" s="25">
        <v>17.8</v>
      </c>
      <c r="G701" s="17">
        <f t="shared" si="36"/>
        <v>17.692307692307693</v>
      </c>
      <c r="H701" s="27" t="str">
        <f t="shared" si="37"/>
        <v>POSITIVO</v>
      </c>
      <c r="J701" s="17">
        <f t="shared" si="38"/>
        <v>16.428571428571431</v>
      </c>
    </row>
    <row r="702" spans="1:10">
      <c r="B702" t="s">
        <v>286</v>
      </c>
      <c r="C702" s="24" t="s">
        <v>27</v>
      </c>
      <c r="D702" s="25">
        <v>16.5</v>
      </c>
      <c r="E702" s="26">
        <v>26</v>
      </c>
      <c r="G702" s="17">
        <f t="shared" si="36"/>
        <v>25.384615384615383</v>
      </c>
      <c r="H702" s="27" t="str">
        <f t="shared" si="37"/>
        <v>POSITIVO</v>
      </c>
      <c r="J702" s="17">
        <f t="shared" si="38"/>
        <v>23.571428571428573</v>
      </c>
    </row>
    <row r="703" spans="1:10">
      <c r="B703" t="s">
        <v>287</v>
      </c>
      <c r="C703" s="24" t="s">
        <v>27</v>
      </c>
      <c r="D703" s="25">
        <v>5.3</v>
      </c>
      <c r="E703" s="26">
        <v>12</v>
      </c>
      <c r="G703" s="17">
        <f t="shared" si="36"/>
        <v>8.1538461538461533</v>
      </c>
      <c r="H703" s="27" t="str">
        <f t="shared" si="37"/>
        <v>POSITIVO</v>
      </c>
      <c r="J703" s="17">
        <f t="shared" si="38"/>
        <v>7.5714285714285721</v>
      </c>
    </row>
    <row r="704" spans="1:10">
      <c r="B704" t="s">
        <v>288</v>
      </c>
      <c r="C704" s="24" t="s">
        <v>27</v>
      </c>
      <c r="D704" s="25">
        <v>3.8</v>
      </c>
      <c r="E704" s="26">
        <v>10</v>
      </c>
      <c r="G704" s="17">
        <f t="shared" si="36"/>
        <v>5.8461538461538458</v>
      </c>
      <c r="H704" s="27" t="str">
        <f t="shared" si="37"/>
        <v>POSITIVO</v>
      </c>
      <c r="J704" s="17">
        <f t="shared" si="38"/>
        <v>5.4285714285714288</v>
      </c>
    </row>
    <row r="705" spans="1:10">
      <c r="B705" t="s">
        <v>289</v>
      </c>
      <c r="C705" s="24" t="s">
        <v>27</v>
      </c>
      <c r="D705" s="25">
        <v>12.7</v>
      </c>
      <c r="E705" s="25">
        <v>18.899999999999999</v>
      </c>
      <c r="G705" s="17">
        <f t="shared" si="36"/>
        <v>19.538461538461537</v>
      </c>
      <c r="H705" s="27" t="str">
        <f t="shared" si="37"/>
        <v>NEGATIVO</v>
      </c>
      <c r="J705" s="17">
        <f t="shared" si="38"/>
        <v>18.142857142857142</v>
      </c>
    </row>
    <row r="706" spans="1:10">
      <c r="B706" t="s">
        <v>290</v>
      </c>
      <c r="C706" s="24" t="s">
        <v>27</v>
      </c>
      <c r="D706" s="25">
        <v>11.8</v>
      </c>
      <c r="E706" s="26">
        <v>19.899999999999999</v>
      </c>
      <c r="G706" s="17">
        <f t="shared" si="36"/>
        <v>18.153846153846153</v>
      </c>
      <c r="H706" s="27" t="str">
        <f t="shared" si="37"/>
        <v>POSITIVO</v>
      </c>
      <c r="J706" s="17">
        <f t="shared" si="38"/>
        <v>16.857142857142858</v>
      </c>
    </row>
    <row r="707" spans="1:10">
      <c r="B707" t="s">
        <v>1253</v>
      </c>
      <c r="C707" s="30" t="s">
        <v>27</v>
      </c>
      <c r="D707" s="13">
        <v>6.7</v>
      </c>
      <c r="E707" s="13">
        <v>10.9</v>
      </c>
      <c r="G707" s="17">
        <f t="shared" si="36"/>
        <v>10.307692307692308</v>
      </c>
      <c r="H707" s="27" t="str">
        <f t="shared" si="37"/>
        <v>POSITIVO</v>
      </c>
      <c r="J707" s="17">
        <f t="shared" si="38"/>
        <v>9.571428571428573</v>
      </c>
    </row>
    <row r="708" spans="1:10">
      <c r="B708" t="s">
        <v>291</v>
      </c>
      <c r="C708" s="24" t="s">
        <v>27</v>
      </c>
      <c r="D708" s="25">
        <v>11.5</v>
      </c>
      <c r="E708" s="26">
        <v>23.8</v>
      </c>
      <c r="G708" s="17">
        <f t="shared" si="36"/>
        <v>17.692307692307693</v>
      </c>
      <c r="H708" s="27" t="str">
        <f t="shared" si="37"/>
        <v>POSITIVO</v>
      </c>
      <c r="J708" s="17">
        <f t="shared" si="38"/>
        <v>16.428571428571431</v>
      </c>
    </row>
    <row r="709" spans="1:10">
      <c r="B709" t="s">
        <v>962</v>
      </c>
      <c r="C709" s="24" t="s">
        <v>27</v>
      </c>
      <c r="D709" s="25">
        <v>5.4</v>
      </c>
      <c r="E709" s="26">
        <v>10</v>
      </c>
      <c r="G709" s="17">
        <f t="shared" si="36"/>
        <v>8.3076923076923084</v>
      </c>
      <c r="H709" s="27" t="str">
        <f t="shared" si="37"/>
        <v>POSITIVO</v>
      </c>
      <c r="J709" s="17">
        <f t="shared" si="38"/>
        <v>7.7142857142857153</v>
      </c>
    </row>
    <row r="710" spans="1:10">
      <c r="B710" t="s">
        <v>292</v>
      </c>
      <c r="C710" s="24" t="s">
        <v>27</v>
      </c>
      <c r="D710" s="25">
        <v>7.09</v>
      </c>
      <c r="E710" s="26">
        <v>12</v>
      </c>
      <c r="G710" s="17">
        <f t="shared" si="36"/>
        <v>10.907692307692306</v>
      </c>
      <c r="H710" s="27" t="str">
        <f t="shared" si="37"/>
        <v>POSITIVO</v>
      </c>
      <c r="J710" s="17">
        <f t="shared" si="38"/>
        <v>10.12857142857143</v>
      </c>
    </row>
    <row r="711" spans="1:10">
      <c r="B711" t="s">
        <v>293</v>
      </c>
      <c r="C711" s="24" t="s">
        <v>27</v>
      </c>
      <c r="D711" s="25">
        <v>8.11</v>
      </c>
      <c r="E711" s="26">
        <v>13</v>
      </c>
      <c r="G711" s="17">
        <f t="shared" si="36"/>
        <v>12.476923076923075</v>
      </c>
      <c r="H711" s="27" t="str">
        <f t="shared" si="37"/>
        <v>POSITIVO</v>
      </c>
      <c r="J711" s="17">
        <f t="shared" si="38"/>
        <v>11.585714285714285</v>
      </c>
    </row>
    <row r="712" spans="1:10">
      <c r="B712" t="s">
        <v>1087</v>
      </c>
      <c r="C712" s="30" t="s">
        <v>27</v>
      </c>
      <c r="D712" s="13">
        <v>9.16</v>
      </c>
      <c r="E712" s="13">
        <v>15</v>
      </c>
      <c r="G712" s="17">
        <f t="shared" si="36"/>
        <v>14.092307692307692</v>
      </c>
      <c r="H712" s="27" t="str">
        <f t="shared" si="37"/>
        <v>POSITIVO</v>
      </c>
      <c r="J712" s="17">
        <f t="shared" si="38"/>
        <v>13.085714285714287</v>
      </c>
    </row>
    <row r="713" spans="1:10">
      <c r="B713" t="s">
        <v>294</v>
      </c>
      <c r="C713" s="24" t="s">
        <v>27</v>
      </c>
      <c r="D713" s="25">
        <v>10</v>
      </c>
      <c r="E713" s="26">
        <v>16</v>
      </c>
      <c r="G713" s="17">
        <f t="shared" si="36"/>
        <v>15.384615384615383</v>
      </c>
      <c r="H713" s="27" t="str">
        <f t="shared" si="37"/>
        <v>POSITIVO</v>
      </c>
      <c r="J713" s="17">
        <f t="shared" si="38"/>
        <v>14.285714285714286</v>
      </c>
    </row>
    <row r="714" spans="1:10">
      <c r="B714" t="s">
        <v>1141</v>
      </c>
      <c r="C714" s="30" t="s">
        <v>27</v>
      </c>
      <c r="D714" s="13">
        <v>10.47</v>
      </c>
      <c r="E714" s="13">
        <v>17</v>
      </c>
      <c r="G714" s="17">
        <f t="shared" si="36"/>
        <v>16.107692307692307</v>
      </c>
      <c r="H714" s="27" t="str">
        <f t="shared" si="37"/>
        <v>POSITIVO</v>
      </c>
      <c r="J714" s="17">
        <f t="shared" si="38"/>
        <v>14.957142857142859</v>
      </c>
    </row>
    <row r="715" spans="1:10">
      <c r="B715" t="s">
        <v>295</v>
      </c>
      <c r="C715" s="24" t="s">
        <v>27</v>
      </c>
      <c r="D715" s="25">
        <v>4.9000000000000004</v>
      </c>
      <c r="E715" s="26">
        <v>10.8</v>
      </c>
      <c r="G715" s="17">
        <f t="shared" si="36"/>
        <v>7.5384615384615383</v>
      </c>
      <c r="H715" s="27" t="str">
        <f t="shared" si="37"/>
        <v>POSITIVO</v>
      </c>
      <c r="J715" s="17">
        <f t="shared" si="38"/>
        <v>7.0000000000000009</v>
      </c>
    </row>
    <row r="716" spans="1:10">
      <c r="A716" s="61">
        <v>4062856406050</v>
      </c>
      <c r="B716" t="s">
        <v>296</v>
      </c>
      <c r="C716" s="24" t="s">
        <v>27</v>
      </c>
      <c r="D716" s="25">
        <v>12.63</v>
      </c>
      <c r="E716" s="26">
        <v>20</v>
      </c>
      <c r="G716" s="17">
        <f t="shared" si="36"/>
        <v>19.430769230769233</v>
      </c>
      <c r="H716" s="27" t="str">
        <f t="shared" si="37"/>
        <v>POSITIVO</v>
      </c>
      <c r="J716" s="17">
        <f t="shared" si="38"/>
        <v>18.042857142857144</v>
      </c>
    </row>
    <row r="717" spans="1:10">
      <c r="B717" t="s">
        <v>297</v>
      </c>
      <c r="C717" s="24" t="s">
        <v>27</v>
      </c>
      <c r="D717" s="25">
        <v>7.99</v>
      </c>
      <c r="E717" s="26">
        <v>14</v>
      </c>
      <c r="G717" s="17">
        <f t="shared" si="36"/>
        <v>12.292307692307693</v>
      </c>
      <c r="H717" s="27" t="str">
        <f t="shared" si="37"/>
        <v>POSITIVO</v>
      </c>
      <c r="J717" s="17">
        <f t="shared" si="38"/>
        <v>11.414285714285715</v>
      </c>
    </row>
    <row r="718" spans="1:10">
      <c r="B718" t="s">
        <v>298</v>
      </c>
      <c r="C718" s="24" t="s">
        <v>27</v>
      </c>
      <c r="D718" s="25">
        <v>8.86</v>
      </c>
      <c r="E718" s="26">
        <v>15</v>
      </c>
      <c r="G718" s="17">
        <f t="shared" si="36"/>
        <v>13.63076923076923</v>
      </c>
      <c r="H718" s="27" t="str">
        <f t="shared" si="37"/>
        <v>POSITIVO</v>
      </c>
      <c r="J718" s="17">
        <f t="shared" si="38"/>
        <v>12.657142857142857</v>
      </c>
    </row>
    <row r="719" spans="1:10">
      <c r="B719" t="s">
        <v>1906</v>
      </c>
      <c r="C719" s="30" t="s">
        <v>665</v>
      </c>
      <c r="D719" s="13">
        <v>285.17</v>
      </c>
      <c r="E719" s="13">
        <v>395</v>
      </c>
      <c r="G719" s="17">
        <f t="shared" si="36"/>
        <v>438.72307692307692</v>
      </c>
      <c r="H719" s="27" t="str">
        <f t="shared" si="37"/>
        <v>NEGATIVO</v>
      </c>
      <c r="J719" s="17">
        <f t="shared" si="38"/>
        <v>407.38571428571436</v>
      </c>
    </row>
    <row r="720" spans="1:10">
      <c r="B720" t="s">
        <v>1905</v>
      </c>
      <c r="C720" s="30" t="s">
        <v>665</v>
      </c>
      <c r="D720" s="13">
        <v>331.72</v>
      </c>
      <c r="E720" s="13">
        <v>478</v>
      </c>
      <c r="G720" s="17">
        <f t="shared" si="36"/>
        <v>510.33846153846156</v>
      </c>
      <c r="H720" s="27" t="str">
        <f t="shared" si="37"/>
        <v>NEGATIVO</v>
      </c>
      <c r="J720" s="17">
        <f t="shared" si="38"/>
        <v>473.88571428571436</v>
      </c>
    </row>
    <row r="721" spans="2:10">
      <c r="B721" t="s">
        <v>299</v>
      </c>
      <c r="C721" s="24" t="s">
        <v>27</v>
      </c>
      <c r="D721" s="25">
        <v>11.3</v>
      </c>
      <c r="E721" s="26">
        <v>18</v>
      </c>
      <c r="G721" s="17">
        <f t="shared" si="36"/>
        <v>17.384615384615387</v>
      </c>
      <c r="H721" s="27" t="str">
        <f t="shared" si="37"/>
        <v>POSITIVO</v>
      </c>
      <c r="J721" s="17">
        <f t="shared" si="38"/>
        <v>16.142857142857146</v>
      </c>
    </row>
    <row r="722" spans="2:10">
      <c r="B722" t="s">
        <v>1189</v>
      </c>
      <c r="C722" s="24" t="s">
        <v>27</v>
      </c>
      <c r="D722" s="25">
        <v>26.5</v>
      </c>
      <c r="E722" s="25">
        <v>42</v>
      </c>
      <c r="G722" s="17">
        <f t="shared" si="36"/>
        <v>40.769230769230766</v>
      </c>
      <c r="H722" s="27" t="str">
        <f t="shared" si="37"/>
        <v>POSITIVO</v>
      </c>
      <c r="J722" s="17">
        <f t="shared" si="38"/>
        <v>37.857142857142861</v>
      </c>
    </row>
    <row r="723" spans="2:10">
      <c r="B723" t="s">
        <v>1509</v>
      </c>
      <c r="C723" s="30" t="s">
        <v>27</v>
      </c>
      <c r="D723" s="13">
        <v>24.9</v>
      </c>
      <c r="E723" s="13">
        <v>39.9</v>
      </c>
      <c r="G723" s="17">
        <f t="shared" si="36"/>
        <v>38.307692307692307</v>
      </c>
      <c r="H723" s="27" t="str">
        <f t="shared" si="37"/>
        <v>POSITIVO</v>
      </c>
      <c r="J723" s="17">
        <f t="shared" si="38"/>
        <v>35.571428571428569</v>
      </c>
    </row>
    <row r="724" spans="2:10">
      <c r="B724" t="s">
        <v>1307</v>
      </c>
      <c r="C724" s="30" t="s">
        <v>27</v>
      </c>
      <c r="D724" s="13">
        <v>24.89</v>
      </c>
      <c r="E724" s="13">
        <v>39.9</v>
      </c>
      <c r="G724" s="17">
        <f t="shared" si="36"/>
        <v>38.292307692307695</v>
      </c>
      <c r="H724" s="27" t="str">
        <f t="shared" si="37"/>
        <v>POSITIVO</v>
      </c>
      <c r="J724" s="17">
        <f t="shared" si="38"/>
        <v>35.557142857142857</v>
      </c>
    </row>
    <row r="725" spans="2:10">
      <c r="B725" t="s">
        <v>300</v>
      </c>
      <c r="C725" s="24" t="s">
        <v>27</v>
      </c>
      <c r="D725" s="25">
        <v>22.7</v>
      </c>
      <c r="E725" s="26">
        <v>35</v>
      </c>
      <c r="G725" s="17">
        <f t="shared" si="36"/>
        <v>34.92307692307692</v>
      </c>
      <c r="H725" s="27" t="str">
        <f t="shared" si="37"/>
        <v>POSITIVO</v>
      </c>
      <c r="J725" s="17">
        <f t="shared" si="38"/>
        <v>32.428571428571431</v>
      </c>
    </row>
    <row r="726" spans="2:10">
      <c r="B726" t="s">
        <v>1916</v>
      </c>
      <c r="C726" s="24" t="s">
        <v>27</v>
      </c>
      <c r="D726" s="25">
        <v>11.8</v>
      </c>
      <c r="E726" s="26">
        <v>20</v>
      </c>
      <c r="G726" s="17">
        <f t="shared" si="36"/>
        <v>18.153846153846153</v>
      </c>
      <c r="H726" s="27" t="str">
        <f t="shared" si="37"/>
        <v>POSITIVO</v>
      </c>
      <c r="J726" s="17">
        <f t="shared" si="38"/>
        <v>16.857142857142858</v>
      </c>
    </row>
    <row r="727" spans="2:10">
      <c r="B727" t="s">
        <v>1188</v>
      </c>
      <c r="C727" s="30" t="s">
        <v>27</v>
      </c>
      <c r="D727" s="13">
        <v>6.85</v>
      </c>
      <c r="E727" s="13">
        <v>10.5</v>
      </c>
      <c r="G727" s="17">
        <f t="shared" si="36"/>
        <v>10.538461538461538</v>
      </c>
      <c r="H727" s="27" t="str">
        <f t="shared" si="37"/>
        <v>NEGATIVO</v>
      </c>
      <c r="J727" s="17">
        <f t="shared" si="38"/>
        <v>9.7857142857142865</v>
      </c>
    </row>
    <row r="728" spans="2:10">
      <c r="B728" t="s">
        <v>1091</v>
      </c>
      <c r="C728" s="24" t="s">
        <v>27</v>
      </c>
      <c r="D728" s="13">
        <v>28.2</v>
      </c>
      <c r="E728" s="13">
        <v>45</v>
      </c>
      <c r="G728" s="17">
        <f t="shared" si="36"/>
        <v>43.38461538461538</v>
      </c>
      <c r="H728" s="27" t="str">
        <f t="shared" si="37"/>
        <v>POSITIVO</v>
      </c>
      <c r="J728" s="17">
        <f t="shared" si="38"/>
        <v>40.285714285714285</v>
      </c>
    </row>
    <row r="729" spans="2:10">
      <c r="B729" t="s">
        <v>853</v>
      </c>
      <c r="C729" s="24" t="s">
        <v>27</v>
      </c>
      <c r="D729" s="25">
        <v>28.41</v>
      </c>
      <c r="E729" s="26">
        <v>65</v>
      </c>
      <c r="G729" s="17">
        <f t="shared" ref="G729:G783" si="39">(D729/65%)</f>
        <v>43.707692307692305</v>
      </c>
      <c r="H729" s="27" t="str">
        <f t="shared" ref="H729:H783" si="40">IF(E729&gt;=G729,"POSITIVO","NEGATIVO")</f>
        <v>POSITIVO</v>
      </c>
      <c r="J729" s="17">
        <f t="shared" ref="J729:J783" si="41">D729/70%</f>
        <v>40.585714285714289</v>
      </c>
    </row>
    <row r="730" spans="2:10">
      <c r="B730" t="s">
        <v>1508</v>
      </c>
      <c r="C730" s="30" t="s">
        <v>27</v>
      </c>
      <c r="D730" s="13">
        <v>33.950000000000003</v>
      </c>
      <c r="E730" s="13">
        <v>58</v>
      </c>
      <c r="G730" s="17">
        <f t="shared" si="39"/>
        <v>52.230769230769234</v>
      </c>
      <c r="H730" s="27" t="str">
        <f t="shared" si="40"/>
        <v>POSITIVO</v>
      </c>
      <c r="J730" s="17">
        <f t="shared" si="41"/>
        <v>48.500000000000007</v>
      </c>
    </row>
    <row r="731" spans="2:10">
      <c r="B731" t="s">
        <v>1208</v>
      </c>
      <c r="C731" s="30" t="s">
        <v>27</v>
      </c>
      <c r="D731" s="13">
        <v>10.68</v>
      </c>
      <c r="E731" s="13">
        <v>16.899999999999999</v>
      </c>
      <c r="G731" s="17">
        <f t="shared" si="39"/>
        <v>16.430769230769229</v>
      </c>
      <c r="H731" s="27" t="str">
        <f t="shared" si="40"/>
        <v>POSITIVO</v>
      </c>
      <c r="J731" s="17">
        <f t="shared" si="41"/>
        <v>15.257142857142858</v>
      </c>
    </row>
    <row r="732" spans="2:10">
      <c r="B732" t="s">
        <v>766</v>
      </c>
      <c r="C732" s="24" t="s">
        <v>27</v>
      </c>
      <c r="D732" s="25">
        <v>50.54</v>
      </c>
      <c r="E732" s="26">
        <v>78</v>
      </c>
      <c r="G732" s="17">
        <f t="shared" si="39"/>
        <v>77.753846153846155</v>
      </c>
      <c r="H732" s="27" t="str">
        <f t="shared" si="40"/>
        <v>POSITIVO</v>
      </c>
      <c r="J732" s="17">
        <f t="shared" si="41"/>
        <v>72.2</v>
      </c>
    </row>
    <row r="733" spans="2:10">
      <c r="B733" t="s">
        <v>1196</v>
      </c>
      <c r="C733" s="30" t="s">
        <v>27</v>
      </c>
      <c r="D733" s="13">
        <v>49.8</v>
      </c>
      <c r="E733" s="13">
        <v>78</v>
      </c>
      <c r="G733" s="17">
        <f t="shared" si="39"/>
        <v>76.615384615384613</v>
      </c>
      <c r="H733" s="27" t="str">
        <f t="shared" si="40"/>
        <v>POSITIVO</v>
      </c>
      <c r="J733" s="17">
        <f t="shared" si="41"/>
        <v>71.142857142857139</v>
      </c>
    </row>
    <row r="734" spans="2:10">
      <c r="B734" t="s">
        <v>1507</v>
      </c>
      <c r="C734" s="24" t="s">
        <v>27</v>
      </c>
      <c r="D734" s="25">
        <v>42</v>
      </c>
      <c r="E734" s="26">
        <v>68</v>
      </c>
      <c r="G734" s="17">
        <f t="shared" si="39"/>
        <v>64.615384615384613</v>
      </c>
      <c r="H734" s="27" t="str">
        <f t="shared" si="40"/>
        <v>POSITIVO</v>
      </c>
      <c r="J734" s="17">
        <f t="shared" si="41"/>
        <v>60.000000000000007</v>
      </c>
    </row>
    <row r="735" spans="2:10">
      <c r="B735" t="s">
        <v>1128</v>
      </c>
      <c r="C735" s="30" t="s">
        <v>27</v>
      </c>
      <c r="D735" s="13">
        <v>3.92</v>
      </c>
      <c r="E735" s="13">
        <v>6.5</v>
      </c>
      <c r="G735" s="17">
        <f t="shared" si="39"/>
        <v>6.0307692307692307</v>
      </c>
      <c r="H735" s="27" t="str">
        <f t="shared" si="40"/>
        <v>POSITIVO</v>
      </c>
      <c r="J735" s="17">
        <f t="shared" si="41"/>
        <v>5.6000000000000005</v>
      </c>
    </row>
    <row r="736" spans="2:10">
      <c r="B736" t="s">
        <v>1129</v>
      </c>
      <c r="C736" s="30" t="s">
        <v>27</v>
      </c>
      <c r="D736" s="13">
        <v>7.6</v>
      </c>
      <c r="E736" s="13">
        <v>11.8</v>
      </c>
      <c r="G736" s="17">
        <f t="shared" si="39"/>
        <v>11.692307692307692</v>
      </c>
      <c r="H736" s="27" t="str">
        <f t="shared" si="40"/>
        <v>POSITIVO</v>
      </c>
      <c r="J736" s="17">
        <f t="shared" si="41"/>
        <v>10.857142857142858</v>
      </c>
    </row>
    <row r="737" spans="2:10">
      <c r="B737" t="s">
        <v>1351</v>
      </c>
      <c r="C737" s="30" t="s">
        <v>27</v>
      </c>
      <c r="D737" s="13">
        <v>0.65</v>
      </c>
      <c r="E737" s="13">
        <v>1.5</v>
      </c>
      <c r="G737" s="17">
        <f t="shared" si="39"/>
        <v>1</v>
      </c>
      <c r="H737" s="27" t="str">
        <f t="shared" si="40"/>
        <v>POSITIVO</v>
      </c>
      <c r="J737" s="17">
        <f t="shared" si="41"/>
        <v>0.92857142857142871</v>
      </c>
    </row>
    <row r="738" spans="2:10">
      <c r="B738" t="s">
        <v>1444</v>
      </c>
      <c r="C738" s="30" t="s">
        <v>27</v>
      </c>
      <c r="D738" s="13">
        <v>20.9</v>
      </c>
      <c r="E738" s="13">
        <v>35.6</v>
      </c>
      <c r="G738" s="17">
        <f t="shared" si="39"/>
        <v>32.153846153846153</v>
      </c>
      <c r="H738" s="27" t="str">
        <f t="shared" si="40"/>
        <v>POSITIVO</v>
      </c>
      <c r="J738" s="17">
        <f t="shared" si="41"/>
        <v>29.857142857142858</v>
      </c>
    </row>
    <row r="739" spans="2:10">
      <c r="B739" t="s">
        <v>301</v>
      </c>
      <c r="C739" s="24" t="s">
        <v>27</v>
      </c>
      <c r="D739" s="25">
        <v>20.9</v>
      </c>
      <c r="E739" s="26">
        <v>37.4</v>
      </c>
      <c r="G739" s="17">
        <f t="shared" si="39"/>
        <v>32.153846153846153</v>
      </c>
      <c r="H739" s="27" t="str">
        <f t="shared" si="40"/>
        <v>POSITIVO</v>
      </c>
      <c r="J739" s="17">
        <f t="shared" si="41"/>
        <v>29.857142857142858</v>
      </c>
    </row>
    <row r="740" spans="2:10">
      <c r="B740" t="s">
        <v>1294</v>
      </c>
      <c r="C740" s="24" t="s">
        <v>27</v>
      </c>
      <c r="D740" s="25">
        <v>22.93</v>
      </c>
      <c r="E740" s="26">
        <v>37</v>
      </c>
      <c r="G740" s="17">
        <f t="shared" si="39"/>
        <v>35.276923076923076</v>
      </c>
      <c r="H740" s="27" t="str">
        <f t="shared" si="40"/>
        <v>POSITIVO</v>
      </c>
      <c r="J740" s="17">
        <f t="shared" si="41"/>
        <v>32.75714285714286</v>
      </c>
    </row>
    <row r="741" spans="2:10">
      <c r="B741" t="s">
        <v>1295</v>
      </c>
      <c r="C741" s="24" t="s">
        <v>27</v>
      </c>
      <c r="D741" s="25">
        <v>22.93</v>
      </c>
      <c r="E741" s="13">
        <v>35</v>
      </c>
      <c r="G741" s="17">
        <f t="shared" si="39"/>
        <v>35.276923076923076</v>
      </c>
      <c r="H741" s="27" t="str">
        <f t="shared" si="40"/>
        <v>NEGATIVO</v>
      </c>
      <c r="J741" s="17">
        <f t="shared" si="41"/>
        <v>32.75714285714286</v>
      </c>
    </row>
    <row r="742" spans="2:10">
      <c r="B742" t="s">
        <v>302</v>
      </c>
      <c r="C742" s="24" t="s">
        <v>27</v>
      </c>
      <c r="D742" s="25">
        <v>23.9</v>
      </c>
      <c r="E742" s="26">
        <v>37</v>
      </c>
      <c r="G742" s="17">
        <f t="shared" si="39"/>
        <v>36.769230769230766</v>
      </c>
      <c r="H742" s="27" t="str">
        <f t="shared" si="40"/>
        <v>POSITIVO</v>
      </c>
      <c r="J742" s="17">
        <f t="shared" si="41"/>
        <v>34.142857142857146</v>
      </c>
    </row>
    <row r="743" spans="2:10">
      <c r="B743" t="s">
        <v>303</v>
      </c>
      <c r="C743" s="24" t="s">
        <v>27</v>
      </c>
      <c r="D743" s="25">
        <v>25.22</v>
      </c>
      <c r="E743" s="26">
        <v>40</v>
      </c>
      <c r="G743" s="17">
        <f t="shared" si="39"/>
        <v>38.799999999999997</v>
      </c>
      <c r="H743" s="27" t="str">
        <f t="shared" si="40"/>
        <v>POSITIVO</v>
      </c>
      <c r="J743" s="17">
        <f t="shared" si="41"/>
        <v>36.028571428571432</v>
      </c>
    </row>
    <row r="744" spans="2:10">
      <c r="B744" t="s">
        <v>887</v>
      </c>
      <c r="C744" s="30" t="s">
        <v>27</v>
      </c>
      <c r="D744" s="25">
        <v>62.83</v>
      </c>
      <c r="E744" s="13">
        <v>98</v>
      </c>
      <c r="G744" s="17">
        <f t="shared" si="39"/>
        <v>96.661538461538456</v>
      </c>
      <c r="H744" s="27" t="str">
        <f t="shared" si="40"/>
        <v>POSITIVO</v>
      </c>
      <c r="J744" s="17">
        <f t="shared" si="41"/>
        <v>89.757142857142867</v>
      </c>
    </row>
    <row r="745" spans="2:10">
      <c r="B745" t="s">
        <v>887</v>
      </c>
      <c r="C745" s="30" t="s">
        <v>27</v>
      </c>
      <c r="D745" s="25">
        <v>81.23</v>
      </c>
      <c r="E745" s="13">
        <v>125</v>
      </c>
      <c r="G745" s="17">
        <f t="shared" si="39"/>
        <v>124.96923076923078</v>
      </c>
      <c r="H745" s="27" t="str">
        <f t="shared" si="40"/>
        <v>POSITIVO</v>
      </c>
      <c r="J745" s="17">
        <f t="shared" si="41"/>
        <v>116.04285714285716</v>
      </c>
    </row>
    <row r="746" spans="2:10">
      <c r="B746" t="s">
        <v>304</v>
      </c>
      <c r="C746" s="24" t="s">
        <v>27</v>
      </c>
      <c r="D746" s="25">
        <v>90.95</v>
      </c>
      <c r="E746" s="26">
        <v>140</v>
      </c>
      <c r="G746" s="17">
        <f t="shared" si="39"/>
        <v>139.92307692307693</v>
      </c>
      <c r="H746" s="27" t="str">
        <f t="shared" si="40"/>
        <v>POSITIVO</v>
      </c>
      <c r="J746" s="17">
        <f t="shared" si="41"/>
        <v>129.92857142857144</v>
      </c>
    </row>
    <row r="747" spans="2:10">
      <c r="B747" t="s">
        <v>305</v>
      </c>
      <c r="C747" s="24" t="s">
        <v>27</v>
      </c>
      <c r="D747" s="25">
        <v>10.38</v>
      </c>
      <c r="E747" s="26">
        <v>16</v>
      </c>
      <c r="G747" s="17">
        <f t="shared" si="39"/>
        <v>15.969230769230769</v>
      </c>
      <c r="H747" s="27" t="str">
        <f t="shared" si="40"/>
        <v>POSITIVO</v>
      </c>
      <c r="J747" s="17">
        <f t="shared" si="41"/>
        <v>14.828571428571431</v>
      </c>
    </row>
    <row r="748" spans="2:10">
      <c r="B748" t="s">
        <v>306</v>
      </c>
      <c r="C748" s="24" t="s">
        <v>27</v>
      </c>
      <c r="D748" s="25">
        <v>9.32</v>
      </c>
      <c r="E748" s="26">
        <v>16</v>
      </c>
      <c r="G748" s="17">
        <f t="shared" si="39"/>
        <v>14.338461538461539</v>
      </c>
      <c r="H748" s="27" t="str">
        <f t="shared" si="40"/>
        <v>POSITIVO</v>
      </c>
      <c r="J748" s="17">
        <f t="shared" si="41"/>
        <v>13.314285714285715</v>
      </c>
    </row>
    <row r="749" spans="2:10">
      <c r="B749" t="s">
        <v>767</v>
      </c>
      <c r="C749" s="24" t="s">
        <v>27</v>
      </c>
      <c r="D749" s="25">
        <v>16.920000000000002</v>
      </c>
      <c r="E749" s="26">
        <v>27</v>
      </c>
      <c r="G749" s="17">
        <f t="shared" si="39"/>
        <v>26.030769230769234</v>
      </c>
      <c r="H749" s="27" t="str">
        <f t="shared" si="40"/>
        <v>POSITIVO</v>
      </c>
      <c r="J749" s="17">
        <f t="shared" si="41"/>
        <v>24.171428571428574</v>
      </c>
    </row>
    <row r="750" spans="2:10">
      <c r="B750" t="s">
        <v>307</v>
      </c>
      <c r="C750" s="24" t="s">
        <v>27</v>
      </c>
      <c r="D750" s="25">
        <v>16.2</v>
      </c>
      <c r="E750" s="26">
        <v>25</v>
      </c>
      <c r="G750" s="17">
        <f t="shared" si="39"/>
        <v>24.92307692307692</v>
      </c>
      <c r="H750" s="27" t="str">
        <f t="shared" si="40"/>
        <v>POSITIVO</v>
      </c>
      <c r="J750" s="17">
        <f t="shared" si="41"/>
        <v>23.142857142857142</v>
      </c>
    </row>
    <row r="751" spans="2:10">
      <c r="B751" t="s">
        <v>308</v>
      </c>
      <c r="C751" s="24" t="s">
        <v>27</v>
      </c>
      <c r="D751" s="25">
        <v>16.2</v>
      </c>
      <c r="E751" s="26">
        <v>26</v>
      </c>
      <c r="G751" s="17">
        <f t="shared" si="39"/>
        <v>24.92307692307692</v>
      </c>
      <c r="H751" s="27" t="str">
        <f t="shared" si="40"/>
        <v>POSITIVO</v>
      </c>
      <c r="J751" s="17">
        <f t="shared" si="41"/>
        <v>23.142857142857142</v>
      </c>
    </row>
    <row r="752" spans="2:10">
      <c r="B752" t="s">
        <v>309</v>
      </c>
      <c r="C752" s="24" t="s">
        <v>27</v>
      </c>
      <c r="D752" s="25">
        <v>26.99</v>
      </c>
      <c r="E752" s="26">
        <v>43</v>
      </c>
      <c r="G752" s="17">
        <f t="shared" si="39"/>
        <v>41.523076923076921</v>
      </c>
      <c r="H752" s="27" t="str">
        <f t="shared" si="40"/>
        <v>POSITIVO</v>
      </c>
      <c r="J752" s="17">
        <f t="shared" si="41"/>
        <v>38.557142857142857</v>
      </c>
    </row>
    <row r="753" spans="2:10">
      <c r="B753" t="s">
        <v>310</v>
      </c>
      <c r="C753" s="24" t="s">
        <v>27</v>
      </c>
      <c r="D753" s="25">
        <v>23.86</v>
      </c>
      <c r="E753" s="26">
        <v>38</v>
      </c>
      <c r="G753" s="17">
        <f t="shared" si="39"/>
        <v>36.707692307692305</v>
      </c>
      <c r="H753" s="27" t="str">
        <f t="shared" si="40"/>
        <v>POSITIVO</v>
      </c>
      <c r="J753" s="17">
        <f t="shared" si="41"/>
        <v>34.085714285714289</v>
      </c>
    </row>
    <row r="754" spans="2:10">
      <c r="B754" t="s">
        <v>886</v>
      </c>
      <c r="C754" s="24" t="s">
        <v>27</v>
      </c>
      <c r="D754" s="25">
        <v>26.99</v>
      </c>
      <c r="E754" s="13">
        <v>49</v>
      </c>
      <c r="G754" s="17">
        <f t="shared" si="39"/>
        <v>41.523076923076921</v>
      </c>
      <c r="H754" s="27" t="str">
        <f t="shared" si="40"/>
        <v>POSITIVO</v>
      </c>
      <c r="J754" s="17">
        <f t="shared" si="41"/>
        <v>38.557142857142857</v>
      </c>
    </row>
    <row r="755" spans="2:10">
      <c r="B755" t="s">
        <v>311</v>
      </c>
      <c r="C755" s="24" t="s">
        <v>27</v>
      </c>
      <c r="D755" s="25">
        <v>28.53</v>
      </c>
      <c r="E755" s="26">
        <v>46</v>
      </c>
      <c r="G755" s="17">
        <f t="shared" si="39"/>
        <v>43.892307692307689</v>
      </c>
      <c r="H755" s="27" t="str">
        <f t="shared" si="40"/>
        <v>POSITIVO</v>
      </c>
      <c r="J755" s="17">
        <f t="shared" si="41"/>
        <v>40.75714285714286</v>
      </c>
    </row>
    <row r="756" spans="2:10">
      <c r="B756" t="s">
        <v>1031</v>
      </c>
      <c r="C756" s="24" t="s">
        <v>27</v>
      </c>
      <c r="D756" s="25">
        <v>35.5</v>
      </c>
      <c r="E756" s="26">
        <v>56</v>
      </c>
      <c r="G756" s="17">
        <f t="shared" si="39"/>
        <v>54.615384615384613</v>
      </c>
      <c r="H756" s="27" t="str">
        <f t="shared" si="40"/>
        <v>POSITIVO</v>
      </c>
      <c r="J756" s="17">
        <f t="shared" si="41"/>
        <v>50.714285714285715</v>
      </c>
    </row>
    <row r="757" spans="2:10">
      <c r="B757" t="s">
        <v>1030</v>
      </c>
      <c r="C757" s="24" t="s">
        <v>27</v>
      </c>
      <c r="D757" s="25">
        <v>42.99</v>
      </c>
      <c r="E757" s="26">
        <v>62</v>
      </c>
      <c r="G757" s="17">
        <f t="shared" si="39"/>
        <v>66.138461538461542</v>
      </c>
      <c r="H757" s="27" t="str">
        <f t="shared" si="40"/>
        <v>NEGATIVO</v>
      </c>
      <c r="J757" s="17">
        <f t="shared" si="41"/>
        <v>61.414285714285718</v>
      </c>
    </row>
    <row r="758" spans="2:10">
      <c r="B758" t="s">
        <v>1029</v>
      </c>
      <c r="C758" s="24" t="s">
        <v>27</v>
      </c>
      <c r="D758" s="25">
        <v>40.64</v>
      </c>
      <c r="E758" s="26">
        <v>65.7</v>
      </c>
      <c r="G758" s="17">
        <f t="shared" si="39"/>
        <v>62.523076923076921</v>
      </c>
      <c r="H758" s="27" t="str">
        <f t="shared" si="40"/>
        <v>POSITIVO</v>
      </c>
      <c r="J758" s="17">
        <f t="shared" si="41"/>
        <v>58.057142857142864</v>
      </c>
    </row>
    <row r="759" spans="2:10">
      <c r="B759" t="s">
        <v>312</v>
      </c>
      <c r="C759" s="24" t="s">
        <v>27</v>
      </c>
      <c r="D759" s="25">
        <v>6.6</v>
      </c>
      <c r="E759" s="25">
        <v>10.5</v>
      </c>
      <c r="G759" s="17">
        <f t="shared" si="39"/>
        <v>10.153846153846153</v>
      </c>
      <c r="H759" s="27" t="str">
        <f t="shared" si="40"/>
        <v>POSITIVO</v>
      </c>
      <c r="J759" s="17">
        <f t="shared" si="41"/>
        <v>9.4285714285714288</v>
      </c>
    </row>
    <row r="760" spans="2:10">
      <c r="B760" t="s">
        <v>1293</v>
      </c>
      <c r="C760" s="30" t="s">
        <v>27</v>
      </c>
      <c r="D760" s="13">
        <v>5.86</v>
      </c>
      <c r="E760" s="13">
        <v>12.9</v>
      </c>
      <c r="G760" s="17">
        <f t="shared" si="39"/>
        <v>9.0153846153846153</v>
      </c>
      <c r="H760" s="27" t="str">
        <f t="shared" si="40"/>
        <v>POSITIVO</v>
      </c>
      <c r="J760" s="17">
        <f t="shared" si="41"/>
        <v>8.3714285714285719</v>
      </c>
    </row>
    <row r="761" spans="2:10">
      <c r="B761" t="s">
        <v>974</v>
      </c>
      <c r="C761" s="30" t="s">
        <v>27</v>
      </c>
      <c r="D761" s="13">
        <v>6.45</v>
      </c>
      <c r="E761" s="13">
        <v>12.9</v>
      </c>
      <c r="G761" s="17">
        <f t="shared" si="39"/>
        <v>9.9230769230769234</v>
      </c>
      <c r="H761" s="27" t="str">
        <f t="shared" si="40"/>
        <v>POSITIVO</v>
      </c>
      <c r="J761" s="17">
        <f t="shared" si="41"/>
        <v>9.2142857142857153</v>
      </c>
    </row>
    <row r="762" spans="2:10">
      <c r="B762" t="s">
        <v>313</v>
      </c>
      <c r="C762" s="24" t="s">
        <v>27</v>
      </c>
      <c r="D762" s="25">
        <v>6.59</v>
      </c>
      <c r="E762" s="26">
        <v>10.199999999999999</v>
      </c>
      <c r="G762" s="17">
        <f t="shared" si="39"/>
        <v>10.138461538461538</v>
      </c>
      <c r="H762" s="27" t="str">
        <f t="shared" si="40"/>
        <v>POSITIVO</v>
      </c>
      <c r="J762" s="17">
        <f t="shared" si="41"/>
        <v>9.4142857142857146</v>
      </c>
    </row>
    <row r="763" spans="2:10">
      <c r="B763" t="s">
        <v>314</v>
      </c>
      <c r="C763" s="24" t="s">
        <v>27</v>
      </c>
      <c r="D763" s="25">
        <v>7.12</v>
      </c>
      <c r="E763" s="26">
        <v>12.5</v>
      </c>
      <c r="G763" s="17">
        <f t="shared" si="39"/>
        <v>10.953846153846154</v>
      </c>
      <c r="H763" s="27" t="str">
        <f t="shared" si="40"/>
        <v>POSITIVO</v>
      </c>
      <c r="J763" s="17">
        <f t="shared" si="41"/>
        <v>10.171428571428573</v>
      </c>
    </row>
    <row r="764" spans="2:10">
      <c r="B764" t="s">
        <v>315</v>
      </c>
      <c r="C764" s="24" t="s">
        <v>27</v>
      </c>
      <c r="D764" s="25">
        <v>7.2</v>
      </c>
      <c r="E764" s="26">
        <v>12.5</v>
      </c>
      <c r="G764" s="17">
        <f t="shared" si="39"/>
        <v>11.076923076923077</v>
      </c>
      <c r="H764" s="27" t="str">
        <f t="shared" si="40"/>
        <v>POSITIVO</v>
      </c>
      <c r="J764" s="17">
        <f t="shared" si="41"/>
        <v>10.285714285714286</v>
      </c>
    </row>
    <row r="765" spans="2:10">
      <c r="B765" t="s">
        <v>316</v>
      </c>
      <c r="C765" s="24" t="s">
        <v>27</v>
      </c>
      <c r="D765" s="25">
        <v>0.84</v>
      </c>
      <c r="E765" s="25">
        <v>1.5</v>
      </c>
      <c r="G765" s="17">
        <f t="shared" si="39"/>
        <v>1.2923076923076922</v>
      </c>
      <c r="H765" s="27" t="str">
        <f t="shared" si="40"/>
        <v>POSITIVO</v>
      </c>
      <c r="J765" s="17">
        <f t="shared" si="41"/>
        <v>1.2</v>
      </c>
    </row>
    <row r="766" spans="2:10">
      <c r="B766" t="s">
        <v>317</v>
      </c>
      <c r="C766" s="24" t="s">
        <v>27</v>
      </c>
      <c r="D766" s="25">
        <v>1.99</v>
      </c>
      <c r="E766" s="25">
        <v>3.5</v>
      </c>
      <c r="G766" s="17">
        <f t="shared" si="39"/>
        <v>3.0615384615384613</v>
      </c>
      <c r="H766" s="27" t="str">
        <f t="shared" si="40"/>
        <v>POSITIVO</v>
      </c>
      <c r="J766" s="17">
        <f t="shared" si="41"/>
        <v>2.842857142857143</v>
      </c>
    </row>
    <row r="767" spans="2:10">
      <c r="B767" t="s">
        <v>318</v>
      </c>
      <c r="C767" s="24" t="s">
        <v>27</v>
      </c>
      <c r="D767" s="25">
        <v>17.440000000000001</v>
      </c>
      <c r="E767" s="26">
        <v>27</v>
      </c>
      <c r="G767" s="17">
        <f t="shared" si="39"/>
        <v>26.830769230769231</v>
      </c>
      <c r="H767" s="27" t="str">
        <f t="shared" si="40"/>
        <v>POSITIVO</v>
      </c>
      <c r="J767" s="17">
        <f t="shared" si="41"/>
        <v>24.914285714285718</v>
      </c>
    </row>
    <row r="768" spans="2:10">
      <c r="B768" t="s">
        <v>1458</v>
      </c>
      <c r="C768" s="30" t="s">
        <v>27</v>
      </c>
      <c r="D768" s="13">
        <v>31.74</v>
      </c>
      <c r="E768" s="13">
        <v>49</v>
      </c>
      <c r="G768" s="17">
        <f t="shared" si="39"/>
        <v>48.830769230769228</v>
      </c>
      <c r="H768" s="27" t="str">
        <f t="shared" si="40"/>
        <v>POSITIVO</v>
      </c>
      <c r="J768" s="17">
        <f t="shared" si="41"/>
        <v>45.342857142857142</v>
      </c>
    </row>
    <row r="769" spans="2:10">
      <c r="B769" t="s">
        <v>977</v>
      </c>
      <c r="C769" s="30" t="s">
        <v>27</v>
      </c>
      <c r="D769" s="13">
        <v>3.23</v>
      </c>
      <c r="E769" s="13">
        <v>5.3</v>
      </c>
      <c r="G769" s="17">
        <f t="shared" si="39"/>
        <v>4.9692307692307693</v>
      </c>
      <c r="H769" s="27" t="str">
        <f t="shared" si="40"/>
        <v>POSITIVO</v>
      </c>
      <c r="J769" s="17">
        <f t="shared" si="41"/>
        <v>4.6142857142857148</v>
      </c>
    </row>
    <row r="770" spans="2:10">
      <c r="B770" t="s">
        <v>888</v>
      </c>
      <c r="C770" s="30" t="s">
        <v>27</v>
      </c>
      <c r="D770" s="25">
        <v>5.26</v>
      </c>
      <c r="E770" s="13">
        <v>8.9</v>
      </c>
      <c r="G770" s="17">
        <f t="shared" si="39"/>
        <v>8.092307692307692</v>
      </c>
      <c r="H770" s="27" t="str">
        <f t="shared" si="40"/>
        <v>POSITIVO</v>
      </c>
      <c r="J770" s="17">
        <f t="shared" si="41"/>
        <v>7.5142857142857142</v>
      </c>
    </row>
    <row r="771" spans="2:10">
      <c r="B771" t="s">
        <v>319</v>
      </c>
      <c r="C771" s="24" t="s">
        <v>27</v>
      </c>
      <c r="D771" s="25">
        <v>11.5</v>
      </c>
      <c r="E771" s="26">
        <v>18</v>
      </c>
      <c r="G771" s="17">
        <f t="shared" si="39"/>
        <v>17.692307692307693</v>
      </c>
      <c r="H771" s="27" t="str">
        <f t="shared" si="40"/>
        <v>POSITIVO</v>
      </c>
      <c r="J771" s="17">
        <f t="shared" si="41"/>
        <v>16.428571428571431</v>
      </c>
    </row>
    <row r="772" spans="2:10">
      <c r="B772" t="s">
        <v>1828</v>
      </c>
      <c r="C772" s="24" t="s">
        <v>27</v>
      </c>
      <c r="D772" s="25">
        <v>97.2</v>
      </c>
      <c r="E772" s="25">
        <v>140</v>
      </c>
      <c r="G772" s="17">
        <f t="shared" si="39"/>
        <v>149.53846153846155</v>
      </c>
      <c r="H772" s="27" t="str">
        <f t="shared" si="40"/>
        <v>NEGATIVO</v>
      </c>
      <c r="J772" s="17">
        <f t="shared" si="41"/>
        <v>138.85714285714286</v>
      </c>
    </row>
    <row r="773" spans="2:10">
      <c r="B773" t="s">
        <v>1829</v>
      </c>
      <c r="C773" s="24" t="s">
        <v>27</v>
      </c>
      <c r="D773" s="25">
        <v>77.08</v>
      </c>
      <c r="E773" s="25">
        <v>110</v>
      </c>
      <c r="G773" s="17">
        <f t="shared" si="39"/>
        <v>118.58461538461538</v>
      </c>
      <c r="H773" s="27" t="str">
        <f t="shared" si="40"/>
        <v>NEGATIVO</v>
      </c>
      <c r="J773" s="17">
        <f t="shared" si="41"/>
        <v>110.11428571428571</v>
      </c>
    </row>
    <row r="774" spans="2:10">
      <c r="B774" t="s">
        <v>1655</v>
      </c>
      <c r="C774" s="30" t="s">
        <v>27</v>
      </c>
      <c r="D774" s="13">
        <v>35</v>
      </c>
      <c r="E774" s="13">
        <v>54.8</v>
      </c>
      <c r="G774" s="17">
        <f t="shared" si="39"/>
        <v>53.846153846153847</v>
      </c>
      <c r="H774" s="27" t="str">
        <f t="shared" si="40"/>
        <v>POSITIVO</v>
      </c>
      <c r="J774" s="17">
        <f t="shared" si="41"/>
        <v>50</v>
      </c>
    </row>
    <row r="775" spans="2:10">
      <c r="B775" t="s">
        <v>1535</v>
      </c>
      <c r="C775" s="30" t="s">
        <v>27</v>
      </c>
      <c r="D775" s="13">
        <v>76.099999999999994</v>
      </c>
      <c r="E775" s="13">
        <v>125</v>
      </c>
      <c r="G775" s="17">
        <f t="shared" si="39"/>
        <v>117.07692307692307</v>
      </c>
      <c r="H775" s="27" t="str">
        <f t="shared" si="40"/>
        <v>POSITIVO</v>
      </c>
      <c r="J775" s="17">
        <f t="shared" si="41"/>
        <v>108.71428571428571</v>
      </c>
    </row>
    <row r="776" spans="2:10">
      <c r="B776" t="s">
        <v>1602</v>
      </c>
      <c r="C776" s="30" t="s">
        <v>27</v>
      </c>
      <c r="D776" s="13">
        <v>27.8</v>
      </c>
      <c r="E776" s="13">
        <v>45</v>
      </c>
      <c r="G776" s="17">
        <f t="shared" si="39"/>
        <v>42.769230769230766</v>
      </c>
      <c r="H776" s="27" t="str">
        <f t="shared" si="40"/>
        <v>POSITIVO</v>
      </c>
      <c r="J776" s="17">
        <f t="shared" si="41"/>
        <v>39.714285714285715</v>
      </c>
    </row>
    <row r="777" spans="2:10">
      <c r="B777" t="s">
        <v>320</v>
      </c>
      <c r="C777" s="24" t="s">
        <v>27</v>
      </c>
      <c r="D777" s="25">
        <v>44.9</v>
      </c>
      <c r="E777" s="26">
        <v>71</v>
      </c>
      <c r="G777" s="17">
        <f t="shared" si="39"/>
        <v>69.076923076923066</v>
      </c>
      <c r="H777" s="27" t="str">
        <f t="shared" si="40"/>
        <v>POSITIVO</v>
      </c>
      <c r="J777" s="17">
        <f t="shared" si="41"/>
        <v>64.142857142857139</v>
      </c>
    </row>
    <row r="778" spans="2:10">
      <c r="B778" t="s">
        <v>2328</v>
      </c>
      <c r="C778" s="30" t="s">
        <v>27</v>
      </c>
      <c r="D778" s="13">
        <v>74.05</v>
      </c>
      <c r="E778" s="13">
        <v>115</v>
      </c>
      <c r="G778" s="17">
        <f t="shared" si="39"/>
        <v>113.92307692307692</v>
      </c>
      <c r="H778" s="27" t="str">
        <f t="shared" si="40"/>
        <v>POSITIVO</v>
      </c>
      <c r="J778" s="17">
        <f t="shared" si="41"/>
        <v>105.78571428571429</v>
      </c>
    </row>
    <row r="779" spans="2:10">
      <c r="B779" t="s">
        <v>2324</v>
      </c>
      <c r="C779" s="24" t="s">
        <v>27</v>
      </c>
      <c r="D779" s="25">
        <v>93.9</v>
      </c>
      <c r="E779" s="26">
        <v>165</v>
      </c>
      <c r="G779" s="17">
        <f t="shared" si="39"/>
        <v>144.46153846153845</v>
      </c>
      <c r="H779" s="27" t="str">
        <f t="shared" si="40"/>
        <v>POSITIVO</v>
      </c>
      <c r="J779" s="17">
        <f t="shared" si="41"/>
        <v>134.14285714285717</v>
      </c>
    </row>
    <row r="780" spans="2:10">
      <c r="B780" t="s">
        <v>2325</v>
      </c>
      <c r="C780" s="24" t="s">
        <v>27</v>
      </c>
      <c r="D780" s="25">
        <v>29.35</v>
      </c>
      <c r="E780" s="26">
        <v>56</v>
      </c>
      <c r="G780" s="17">
        <f t="shared" si="39"/>
        <v>45.153846153846153</v>
      </c>
      <c r="H780" s="27" t="str">
        <f t="shared" si="40"/>
        <v>POSITIVO</v>
      </c>
      <c r="J780" s="17">
        <f t="shared" si="41"/>
        <v>41.928571428571431</v>
      </c>
    </row>
    <row r="781" spans="2:10">
      <c r="B781" t="s">
        <v>2326</v>
      </c>
      <c r="C781" s="24" t="s">
        <v>27</v>
      </c>
      <c r="D781" s="25">
        <v>16.899999999999999</v>
      </c>
      <c r="E781" s="26">
        <v>26</v>
      </c>
      <c r="G781" s="17">
        <f t="shared" si="39"/>
        <v>25.999999999999996</v>
      </c>
      <c r="H781" s="27" t="str">
        <f t="shared" si="40"/>
        <v>POSITIVO</v>
      </c>
      <c r="J781" s="17">
        <f t="shared" si="41"/>
        <v>24.142857142857142</v>
      </c>
    </row>
    <row r="782" spans="2:10">
      <c r="B782" t="s">
        <v>2327</v>
      </c>
      <c r="C782" s="24" t="s">
        <v>27</v>
      </c>
      <c r="D782" s="25">
        <v>98.77</v>
      </c>
      <c r="E782" s="26">
        <v>165</v>
      </c>
      <c r="G782" s="17">
        <f t="shared" si="39"/>
        <v>151.95384615384614</v>
      </c>
      <c r="H782" s="27" t="str">
        <f t="shared" si="40"/>
        <v>POSITIVO</v>
      </c>
      <c r="J782" s="17">
        <f t="shared" si="41"/>
        <v>141.1</v>
      </c>
    </row>
    <row r="783" spans="2:10">
      <c r="B783" t="s">
        <v>1408</v>
      </c>
      <c r="C783" s="30" t="s">
        <v>27</v>
      </c>
      <c r="D783" s="13">
        <v>13.4</v>
      </c>
      <c r="E783" s="13">
        <v>20.9</v>
      </c>
      <c r="G783" s="17">
        <f t="shared" si="39"/>
        <v>20.615384615384617</v>
      </c>
      <c r="H783" s="27" t="str">
        <f t="shared" si="40"/>
        <v>POSITIVO</v>
      </c>
      <c r="J783" s="17">
        <f t="shared" si="41"/>
        <v>19.142857142857146</v>
      </c>
    </row>
    <row r="784" spans="2:10">
      <c r="B784" t="s">
        <v>321</v>
      </c>
      <c r="C784" s="24" t="s">
        <v>27</v>
      </c>
      <c r="D784" s="25">
        <v>23</v>
      </c>
      <c r="E784" s="26">
        <v>36.5</v>
      </c>
      <c r="G784" s="17">
        <f t="shared" ref="G784:G845" si="42">(D784/65%)</f>
        <v>35.384615384615387</v>
      </c>
      <c r="H784" s="27" t="str">
        <f t="shared" ref="H784:H845" si="43">IF(E784&gt;=G784,"POSITIVO","NEGATIVO")</f>
        <v>POSITIVO</v>
      </c>
      <c r="J784" s="17">
        <f t="shared" ref="J784:J845" si="44">D784/70%</f>
        <v>32.857142857142861</v>
      </c>
    </row>
    <row r="785" spans="1:10">
      <c r="B785" t="s">
        <v>322</v>
      </c>
      <c r="C785" s="24" t="s">
        <v>27</v>
      </c>
      <c r="D785" s="25">
        <v>53.45</v>
      </c>
      <c r="E785" s="25">
        <v>83</v>
      </c>
      <c r="G785" s="17">
        <f t="shared" si="42"/>
        <v>82.230769230769226</v>
      </c>
      <c r="H785" s="27" t="str">
        <f t="shared" si="43"/>
        <v>POSITIVO</v>
      </c>
      <c r="J785" s="17">
        <f t="shared" si="44"/>
        <v>76.357142857142861</v>
      </c>
    </row>
    <row r="786" spans="1:10">
      <c r="B786" t="s">
        <v>851</v>
      </c>
      <c r="C786" s="24" t="s">
        <v>27</v>
      </c>
      <c r="D786" s="25">
        <v>7</v>
      </c>
      <c r="E786" s="26">
        <v>12</v>
      </c>
      <c r="G786" s="17">
        <f t="shared" si="42"/>
        <v>10.769230769230768</v>
      </c>
      <c r="H786" s="27" t="str">
        <f t="shared" si="43"/>
        <v>POSITIVO</v>
      </c>
      <c r="J786" s="17">
        <f t="shared" si="44"/>
        <v>10</v>
      </c>
    </row>
    <row r="787" spans="1:10">
      <c r="B787" t="s">
        <v>323</v>
      </c>
      <c r="C787" s="24" t="s">
        <v>27</v>
      </c>
      <c r="D787" s="25">
        <v>15.35</v>
      </c>
      <c r="E787" s="26">
        <v>25.5</v>
      </c>
      <c r="G787" s="17">
        <f t="shared" si="42"/>
        <v>23.615384615384613</v>
      </c>
      <c r="H787" s="27" t="str">
        <f t="shared" si="43"/>
        <v>POSITIVO</v>
      </c>
      <c r="J787" s="17">
        <f t="shared" si="44"/>
        <v>21.928571428571431</v>
      </c>
    </row>
    <row r="788" spans="1:10">
      <c r="B788" t="s">
        <v>324</v>
      </c>
      <c r="C788" s="24" t="s">
        <v>27</v>
      </c>
      <c r="D788" s="25">
        <v>26.5</v>
      </c>
      <c r="E788" s="25">
        <v>42</v>
      </c>
      <c r="G788" s="17">
        <f t="shared" si="42"/>
        <v>40.769230769230766</v>
      </c>
      <c r="H788" s="27" t="str">
        <f t="shared" si="43"/>
        <v>POSITIVO</v>
      </c>
      <c r="J788" s="17">
        <f t="shared" si="44"/>
        <v>37.857142857142861</v>
      </c>
    </row>
    <row r="789" spans="1:10">
      <c r="B789" t="s">
        <v>325</v>
      </c>
      <c r="C789" s="24" t="s">
        <v>27</v>
      </c>
      <c r="D789" s="25">
        <v>45.8</v>
      </c>
      <c r="E789" s="26">
        <v>71</v>
      </c>
      <c r="G789" s="17">
        <f t="shared" si="42"/>
        <v>70.461538461538453</v>
      </c>
      <c r="H789" s="27" t="str">
        <f t="shared" si="43"/>
        <v>POSITIVO</v>
      </c>
      <c r="J789" s="17">
        <f t="shared" si="44"/>
        <v>65.428571428571431</v>
      </c>
    </row>
    <row r="790" spans="1:10">
      <c r="B790" t="s">
        <v>768</v>
      </c>
      <c r="C790" s="24" t="s">
        <v>27</v>
      </c>
      <c r="D790" s="25">
        <v>12.87</v>
      </c>
      <c r="E790" s="26">
        <v>21</v>
      </c>
      <c r="G790" s="17">
        <f t="shared" si="42"/>
        <v>19.799999999999997</v>
      </c>
      <c r="H790" s="27" t="str">
        <f t="shared" si="43"/>
        <v>POSITIVO</v>
      </c>
      <c r="J790" s="17">
        <f t="shared" si="44"/>
        <v>18.385714285714286</v>
      </c>
    </row>
    <row r="791" spans="1:10">
      <c r="B791" t="s">
        <v>326</v>
      </c>
      <c r="C791" s="24" t="s">
        <v>27</v>
      </c>
      <c r="D791" s="25">
        <v>20.5</v>
      </c>
      <c r="E791" s="26">
        <v>32.5</v>
      </c>
      <c r="G791" s="17">
        <f t="shared" si="42"/>
        <v>31.538461538461537</v>
      </c>
      <c r="H791" s="27" t="str">
        <f t="shared" si="43"/>
        <v>POSITIVO</v>
      </c>
      <c r="J791" s="17">
        <f t="shared" si="44"/>
        <v>29.285714285714288</v>
      </c>
    </row>
    <row r="792" spans="1:10">
      <c r="B792" t="s">
        <v>1917</v>
      </c>
      <c r="C792" s="30" t="s">
        <v>27</v>
      </c>
      <c r="D792" s="13">
        <v>65.3</v>
      </c>
      <c r="E792" s="13">
        <v>105</v>
      </c>
      <c r="G792" s="17">
        <f t="shared" si="42"/>
        <v>100.46153846153845</v>
      </c>
      <c r="H792" s="27" t="str">
        <f t="shared" si="43"/>
        <v>POSITIVO</v>
      </c>
      <c r="J792" s="17">
        <f t="shared" si="44"/>
        <v>93.285714285714292</v>
      </c>
    </row>
    <row r="793" spans="1:10">
      <c r="B793" t="s">
        <v>327</v>
      </c>
      <c r="C793" s="24" t="s">
        <v>27</v>
      </c>
      <c r="D793" s="25">
        <v>77.25</v>
      </c>
      <c r="E793" s="26">
        <v>128</v>
      </c>
      <c r="G793" s="17">
        <f t="shared" si="42"/>
        <v>118.84615384615384</v>
      </c>
      <c r="H793" s="27" t="str">
        <f t="shared" si="43"/>
        <v>POSITIVO</v>
      </c>
      <c r="J793" s="17">
        <f t="shared" si="44"/>
        <v>110.35714285714286</v>
      </c>
    </row>
    <row r="794" spans="1:10">
      <c r="B794" t="s">
        <v>328</v>
      </c>
      <c r="C794" s="24" t="s">
        <v>27</v>
      </c>
      <c r="D794" s="25">
        <v>26.7</v>
      </c>
      <c r="E794" s="26">
        <v>42</v>
      </c>
      <c r="G794" s="17">
        <f t="shared" si="42"/>
        <v>41.076923076923073</v>
      </c>
      <c r="H794" s="27" t="str">
        <f t="shared" si="43"/>
        <v>POSITIVO</v>
      </c>
      <c r="J794" s="17">
        <f t="shared" si="44"/>
        <v>38.142857142857146</v>
      </c>
    </row>
    <row r="795" spans="1:10">
      <c r="B795" t="s">
        <v>329</v>
      </c>
      <c r="C795" s="24" t="s">
        <v>27</v>
      </c>
      <c r="D795" s="25">
        <v>44.2</v>
      </c>
      <c r="E795" s="26">
        <v>73</v>
      </c>
      <c r="G795" s="17">
        <f t="shared" si="42"/>
        <v>68</v>
      </c>
      <c r="H795" s="27" t="str">
        <f t="shared" si="43"/>
        <v>POSITIVO</v>
      </c>
      <c r="J795" s="17">
        <f t="shared" si="44"/>
        <v>63.142857142857153</v>
      </c>
    </row>
    <row r="796" spans="1:10">
      <c r="B796" t="s">
        <v>330</v>
      </c>
      <c r="C796" s="24" t="s">
        <v>27</v>
      </c>
      <c r="D796" s="25">
        <v>7.16</v>
      </c>
      <c r="E796" s="26">
        <v>11.9</v>
      </c>
      <c r="G796" s="17">
        <f t="shared" si="42"/>
        <v>11.015384615384615</v>
      </c>
      <c r="H796" s="27" t="str">
        <f t="shared" si="43"/>
        <v>POSITIVO</v>
      </c>
      <c r="J796" s="17">
        <f t="shared" si="44"/>
        <v>10.22857142857143</v>
      </c>
    </row>
    <row r="797" spans="1:10">
      <c r="B797" t="s">
        <v>331</v>
      </c>
      <c r="C797" s="24" t="s">
        <v>27</v>
      </c>
      <c r="D797" s="25">
        <v>4.21</v>
      </c>
      <c r="E797" s="26">
        <v>6.5</v>
      </c>
      <c r="G797" s="17">
        <f t="shared" si="42"/>
        <v>6.476923076923077</v>
      </c>
      <c r="H797" s="27" t="str">
        <f t="shared" si="43"/>
        <v>POSITIVO</v>
      </c>
      <c r="J797" s="17">
        <f t="shared" si="44"/>
        <v>6.0142857142857142</v>
      </c>
    </row>
    <row r="798" spans="1:10">
      <c r="A798" s="61" t="s">
        <v>2015</v>
      </c>
      <c r="B798" t="s">
        <v>2014</v>
      </c>
      <c r="C798" s="30" t="s">
        <v>27</v>
      </c>
      <c r="D798" s="13">
        <v>19</v>
      </c>
      <c r="E798" s="13">
        <v>30</v>
      </c>
      <c r="G798" s="17">
        <f t="shared" si="42"/>
        <v>29.23076923076923</v>
      </c>
      <c r="H798" s="27" t="str">
        <f t="shared" si="43"/>
        <v>POSITIVO</v>
      </c>
      <c r="J798" s="17">
        <f t="shared" si="44"/>
        <v>27.142857142857146</v>
      </c>
    </row>
    <row r="799" spans="1:10">
      <c r="A799" s="61" t="s">
        <v>2013</v>
      </c>
      <c r="B799" t="s">
        <v>2012</v>
      </c>
      <c r="C799" s="30" t="s">
        <v>27</v>
      </c>
      <c r="D799" s="13">
        <v>69</v>
      </c>
      <c r="E799" s="13">
        <v>110</v>
      </c>
      <c r="G799" s="17">
        <f t="shared" si="42"/>
        <v>106.15384615384615</v>
      </c>
      <c r="H799" s="27" t="str">
        <f t="shared" si="43"/>
        <v>POSITIVO</v>
      </c>
      <c r="J799" s="17">
        <f t="shared" si="44"/>
        <v>98.571428571428584</v>
      </c>
    </row>
    <row r="800" spans="1:10">
      <c r="B800" t="s">
        <v>1180</v>
      </c>
      <c r="C800" s="24" t="s">
        <v>27</v>
      </c>
      <c r="D800" s="25">
        <v>19</v>
      </c>
      <c r="E800" s="26">
        <v>32</v>
      </c>
      <c r="G800" s="17">
        <f t="shared" si="42"/>
        <v>29.23076923076923</v>
      </c>
      <c r="H800" s="27" t="str">
        <f t="shared" si="43"/>
        <v>POSITIVO</v>
      </c>
      <c r="J800" s="17">
        <f t="shared" si="44"/>
        <v>27.142857142857146</v>
      </c>
    </row>
    <row r="801" spans="2:10">
      <c r="B801" t="s">
        <v>1028</v>
      </c>
      <c r="C801" s="30" t="s">
        <v>27</v>
      </c>
      <c r="D801" s="13">
        <v>41.5</v>
      </c>
      <c r="E801" s="13">
        <v>64.900000000000006</v>
      </c>
      <c r="G801" s="17">
        <f t="shared" si="42"/>
        <v>63.846153846153847</v>
      </c>
      <c r="H801" s="27" t="str">
        <f t="shared" si="43"/>
        <v>POSITIVO</v>
      </c>
      <c r="J801" s="17">
        <f t="shared" si="44"/>
        <v>59.285714285714292</v>
      </c>
    </row>
    <row r="802" spans="2:10">
      <c r="B802" t="s">
        <v>1735</v>
      </c>
      <c r="C802" s="30" t="s">
        <v>27</v>
      </c>
      <c r="D802" s="13">
        <v>53.66</v>
      </c>
      <c r="E802" s="13">
        <v>83</v>
      </c>
      <c r="G802" s="17">
        <f t="shared" si="42"/>
        <v>82.553846153846152</v>
      </c>
      <c r="H802" s="27" t="str">
        <f t="shared" si="43"/>
        <v>POSITIVO</v>
      </c>
      <c r="J802" s="17">
        <f t="shared" si="44"/>
        <v>76.657142857142858</v>
      </c>
    </row>
    <row r="803" spans="2:10">
      <c r="B803" t="s">
        <v>1006</v>
      </c>
      <c r="C803" s="30" t="s">
        <v>27</v>
      </c>
      <c r="D803" s="13">
        <v>15.46</v>
      </c>
      <c r="E803" s="13">
        <v>24</v>
      </c>
      <c r="G803" s="17">
        <f t="shared" si="42"/>
        <v>23.784615384615385</v>
      </c>
      <c r="H803" s="27" t="str">
        <f t="shared" si="43"/>
        <v>POSITIVO</v>
      </c>
      <c r="J803" s="17">
        <f t="shared" si="44"/>
        <v>22.085714285714289</v>
      </c>
    </row>
    <row r="804" spans="2:10">
      <c r="B804" t="s">
        <v>332</v>
      </c>
      <c r="C804" s="24" t="s">
        <v>27</v>
      </c>
      <c r="D804" s="25">
        <v>19.5</v>
      </c>
      <c r="E804" s="26">
        <v>32</v>
      </c>
      <c r="G804" s="17">
        <f t="shared" si="42"/>
        <v>30</v>
      </c>
      <c r="H804" s="27" t="str">
        <f t="shared" si="43"/>
        <v>POSITIVO</v>
      </c>
      <c r="J804" s="17">
        <f t="shared" si="44"/>
        <v>27.857142857142858</v>
      </c>
    </row>
    <row r="805" spans="2:10">
      <c r="B805" t="s">
        <v>333</v>
      </c>
      <c r="C805" s="24" t="s">
        <v>27</v>
      </c>
      <c r="D805" s="25">
        <v>18.260000000000002</v>
      </c>
      <c r="E805" s="26">
        <v>30</v>
      </c>
      <c r="G805" s="17">
        <f t="shared" si="42"/>
        <v>28.092307692307692</v>
      </c>
      <c r="H805" s="27" t="str">
        <f t="shared" si="43"/>
        <v>POSITIVO</v>
      </c>
      <c r="J805" s="17">
        <f t="shared" si="44"/>
        <v>26.085714285714289</v>
      </c>
    </row>
    <row r="806" spans="2:10">
      <c r="B806" t="s">
        <v>1840</v>
      </c>
      <c r="C806" s="30" t="s">
        <v>27</v>
      </c>
      <c r="D806" s="13">
        <v>3.49</v>
      </c>
      <c r="E806" s="13">
        <v>6</v>
      </c>
      <c r="G806" s="17">
        <f t="shared" si="42"/>
        <v>5.3692307692307697</v>
      </c>
      <c r="H806" s="27" t="str">
        <f t="shared" si="43"/>
        <v>POSITIVO</v>
      </c>
      <c r="J806" s="17">
        <f t="shared" si="44"/>
        <v>4.9857142857142867</v>
      </c>
    </row>
    <row r="807" spans="2:10">
      <c r="B807" t="s">
        <v>1498</v>
      </c>
      <c r="C807" s="30" t="s">
        <v>27</v>
      </c>
      <c r="D807" s="13">
        <v>11.45</v>
      </c>
      <c r="E807" s="13">
        <v>19.899999999999999</v>
      </c>
      <c r="G807" s="17">
        <f t="shared" si="42"/>
        <v>17.615384615384613</v>
      </c>
      <c r="H807" s="27" t="str">
        <f t="shared" si="43"/>
        <v>POSITIVO</v>
      </c>
      <c r="J807" s="17">
        <f t="shared" si="44"/>
        <v>16.357142857142858</v>
      </c>
    </row>
    <row r="808" spans="2:10">
      <c r="B808" t="s">
        <v>1653</v>
      </c>
      <c r="C808" s="30" t="s">
        <v>27</v>
      </c>
      <c r="D808" s="13">
        <v>4.3499999999999996</v>
      </c>
      <c r="E808" s="13">
        <v>7</v>
      </c>
      <c r="G808" s="17">
        <f t="shared" si="42"/>
        <v>6.6923076923076916</v>
      </c>
      <c r="H808" s="27" t="str">
        <f t="shared" si="43"/>
        <v>POSITIVO</v>
      </c>
      <c r="J808" s="17">
        <f t="shared" si="44"/>
        <v>6.2142857142857144</v>
      </c>
    </row>
    <row r="809" spans="2:10">
      <c r="B809" t="s">
        <v>769</v>
      </c>
      <c r="C809" s="24" t="s">
        <v>27</v>
      </c>
      <c r="D809" s="25">
        <v>4.2699999999999996</v>
      </c>
      <c r="E809" s="26">
        <v>8.5</v>
      </c>
      <c r="G809" s="17">
        <f t="shared" si="42"/>
        <v>6.5692307692307681</v>
      </c>
      <c r="H809" s="27" t="str">
        <f t="shared" si="43"/>
        <v>POSITIVO</v>
      </c>
      <c r="J809" s="17">
        <f t="shared" si="44"/>
        <v>6.1</v>
      </c>
    </row>
    <row r="810" spans="2:10">
      <c r="B810" t="s">
        <v>334</v>
      </c>
      <c r="C810" s="24" t="s">
        <v>27</v>
      </c>
      <c r="D810" s="25">
        <v>4.3</v>
      </c>
      <c r="E810" s="26">
        <v>8</v>
      </c>
      <c r="G810" s="17">
        <f t="shared" si="42"/>
        <v>6.615384615384615</v>
      </c>
      <c r="H810" s="27" t="str">
        <f t="shared" si="43"/>
        <v>POSITIVO</v>
      </c>
      <c r="J810" s="17">
        <f t="shared" si="44"/>
        <v>6.1428571428571432</v>
      </c>
    </row>
    <row r="811" spans="2:10">
      <c r="B811" t="s">
        <v>335</v>
      </c>
      <c r="C811" s="24" t="s">
        <v>27</v>
      </c>
      <c r="D811" s="25">
        <v>6.3</v>
      </c>
      <c r="E811" s="26">
        <v>10.5</v>
      </c>
      <c r="G811" s="17">
        <f t="shared" si="42"/>
        <v>9.6923076923076916</v>
      </c>
      <c r="H811" s="27" t="str">
        <f t="shared" si="43"/>
        <v>POSITIVO</v>
      </c>
      <c r="J811" s="17">
        <f t="shared" si="44"/>
        <v>9</v>
      </c>
    </row>
    <row r="812" spans="2:10">
      <c r="B812" t="s">
        <v>1450</v>
      </c>
      <c r="C812" s="30" t="s">
        <v>27</v>
      </c>
      <c r="D812" s="13">
        <v>14.9</v>
      </c>
      <c r="E812" s="13">
        <v>23</v>
      </c>
      <c r="G812" s="17">
        <f t="shared" si="42"/>
        <v>22.923076923076923</v>
      </c>
      <c r="H812" s="27" t="str">
        <f t="shared" si="43"/>
        <v>POSITIVO</v>
      </c>
      <c r="J812" s="17">
        <f t="shared" si="44"/>
        <v>21.285714285714288</v>
      </c>
    </row>
    <row r="813" spans="2:10">
      <c r="B813" t="s">
        <v>1654</v>
      </c>
      <c r="C813" s="30" t="s">
        <v>27</v>
      </c>
      <c r="D813" s="13">
        <v>3.9</v>
      </c>
      <c r="E813" s="13">
        <v>6</v>
      </c>
      <c r="G813" s="17">
        <f t="shared" si="42"/>
        <v>6</v>
      </c>
      <c r="H813" s="27" t="str">
        <f t="shared" si="43"/>
        <v>POSITIVO</v>
      </c>
      <c r="J813" s="17">
        <f t="shared" si="44"/>
        <v>5.5714285714285721</v>
      </c>
    </row>
    <row r="814" spans="2:10">
      <c r="B814" t="s">
        <v>336</v>
      </c>
      <c r="C814" s="24" t="s">
        <v>27</v>
      </c>
      <c r="D814" s="25">
        <v>2.5</v>
      </c>
      <c r="E814" s="26">
        <v>5</v>
      </c>
      <c r="G814" s="17">
        <f t="shared" si="42"/>
        <v>3.8461538461538458</v>
      </c>
      <c r="H814" s="27" t="str">
        <f t="shared" si="43"/>
        <v>POSITIVO</v>
      </c>
      <c r="J814" s="17">
        <f t="shared" si="44"/>
        <v>3.5714285714285716</v>
      </c>
    </row>
    <row r="815" spans="2:10">
      <c r="B815" t="s">
        <v>337</v>
      </c>
      <c r="C815" s="24" t="s">
        <v>27</v>
      </c>
      <c r="D815" s="25">
        <v>2.92</v>
      </c>
      <c r="E815" s="26">
        <v>5</v>
      </c>
      <c r="G815" s="17">
        <f t="shared" si="42"/>
        <v>4.4923076923076923</v>
      </c>
      <c r="H815" s="27" t="str">
        <f t="shared" si="43"/>
        <v>POSITIVO</v>
      </c>
      <c r="J815" s="17">
        <f t="shared" si="44"/>
        <v>4.1714285714285717</v>
      </c>
    </row>
    <row r="816" spans="2:10">
      <c r="B816" t="s">
        <v>338</v>
      </c>
      <c r="C816" s="24" t="s">
        <v>27</v>
      </c>
      <c r="D816" s="25">
        <v>25</v>
      </c>
      <c r="E816" s="26">
        <v>40</v>
      </c>
      <c r="G816" s="17">
        <f t="shared" si="42"/>
        <v>38.46153846153846</v>
      </c>
      <c r="H816" s="27" t="str">
        <f t="shared" si="43"/>
        <v>POSITIVO</v>
      </c>
      <c r="J816" s="17">
        <f t="shared" si="44"/>
        <v>35.714285714285715</v>
      </c>
    </row>
    <row r="817" spans="2:10">
      <c r="B817" t="s">
        <v>1672</v>
      </c>
      <c r="C817" s="30" t="s">
        <v>27</v>
      </c>
      <c r="D817" s="13">
        <v>49.62</v>
      </c>
      <c r="E817" s="13">
        <v>76.900000000000006</v>
      </c>
      <c r="G817" s="17">
        <f t="shared" si="42"/>
        <v>76.33846153846153</v>
      </c>
      <c r="H817" s="27" t="str">
        <f t="shared" si="43"/>
        <v>POSITIVO</v>
      </c>
      <c r="J817" s="17">
        <f t="shared" si="44"/>
        <v>70.885714285714286</v>
      </c>
    </row>
    <row r="818" spans="2:10">
      <c r="B818" t="s">
        <v>1147</v>
      </c>
      <c r="C818" s="30" t="s">
        <v>27</v>
      </c>
      <c r="D818" s="13">
        <v>35.53</v>
      </c>
      <c r="E818" s="13">
        <v>55</v>
      </c>
      <c r="G818" s="17">
        <f t="shared" si="42"/>
        <v>54.661538461538463</v>
      </c>
      <c r="H818" s="27" t="str">
        <f t="shared" si="43"/>
        <v>POSITIVO</v>
      </c>
      <c r="J818" s="17">
        <f t="shared" si="44"/>
        <v>50.75714285714286</v>
      </c>
    </row>
    <row r="819" spans="2:10">
      <c r="B819" t="s">
        <v>1673</v>
      </c>
      <c r="C819" s="30" t="s">
        <v>27</v>
      </c>
      <c r="D819" s="13">
        <v>35.75</v>
      </c>
      <c r="E819" s="13">
        <v>56</v>
      </c>
      <c r="G819" s="17">
        <f t="shared" si="42"/>
        <v>55</v>
      </c>
      <c r="H819" s="27" t="str">
        <f t="shared" si="43"/>
        <v>POSITIVO</v>
      </c>
      <c r="J819" s="17">
        <f t="shared" si="44"/>
        <v>51.071428571428577</v>
      </c>
    </row>
    <row r="820" spans="2:10">
      <c r="B820" t="s">
        <v>1830</v>
      </c>
      <c r="C820" s="30" t="s">
        <v>27</v>
      </c>
      <c r="D820" s="13">
        <v>35.53</v>
      </c>
      <c r="E820" s="13">
        <v>55</v>
      </c>
      <c r="G820" s="17">
        <f t="shared" si="42"/>
        <v>54.661538461538463</v>
      </c>
      <c r="H820" s="27" t="str">
        <f t="shared" si="43"/>
        <v>POSITIVO</v>
      </c>
      <c r="J820" s="17">
        <f t="shared" si="44"/>
        <v>50.75714285714286</v>
      </c>
    </row>
    <row r="821" spans="2:10">
      <c r="B821" t="s">
        <v>1190</v>
      </c>
      <c r="C821" s="24" t="s">
        <v>27</v>
      </c>
      <c r="D821" s="25">
        <v>54.7</v>
      </c>
      <c r="E821" s="26">
        <v>75</v>
      </c>
      <c r="G821" s="17">
        <f t="shared" si="42"/>
        <v>84.15384615384616</v>
      </c>
      <c r="H821" s="27" t="str">
        <f t="shared" si="43"/>
        <v>NEGATIVO</v>
      </c>
      <c r="J821" s="17">
        <f t="shared" si="44"/>
        <v>78.142857142857153</v>
      </c>
    </row>
    <row r="822" spans="2:10">
      <c r="B822" t="s">
        <v>1191</v>
      </c>
      <c r="C822" s="24" t="s">
        <v>27</v>
      </c>
      <c r="D822" s="25">
        <v>61.94</v>
      </c>
      <c r="E822" s="26">
        <v>85</v>
      </c>
      <c r="G822" s="17">
        <f t="shared" si="42"/>
        <v>95.292307692307688</v>
      </c>
      <c r="H822" s="27" t="str">
        <f t="shared" si="43"/>
        <v>NEGATIVO</v>
      </c>
      <c r="J822" s="17">
        <f t="shared" si="44"/>
        <v>88.485714285714295</v>
      </c>
    </row>
    <row r="823" spans="2:10">
      <c r="B823" t="s">
        <v>339</v>
      </c>
      <c r="C823" s="24" t="s">
        <v>27</v>
      </c>
      <c r="D823" s="25">
        <v>48.37</v>
      </c>
      <c r="E823" s="26">
        <v>65.3</v>
      </c>
      <c r="G823" s="17">
        <f t="shared" si="42"/>
        <v>74.41538461538461</v>
      </c>
      <c r="H823" s="27" t="str">
        <f t="shared" si="43"/>
        <v>NEGATIVO</v>
      </c>
      <c r="J823" s="17">
        <f t="shared" si="44"/>
        <v>69.099999999999994</v>
      </c>
    </row>
    <row r="824" spans="2:10">
      <c r="B824" t="s">
        <v>340</v>
      </c>
      <c r="C824" s="24" t="s">
        <v>27</v>
      </c>
      <c r="D824" s="25">
        <v>33.32</v>
      </c>
      <c r="E824" s="26">
        <v>52</v>
      </c>
      <c r="G824" s="17">
        <f t="shared" si="42"/>
        <v>51.261538461538457</v>
      </c>
      <c r="H824" s="27" t="str">
        <f t="shared" si="43"/>
        <v>POSITIVO</v>
      </c>
      <c r="J824" s="17">
        <f t="shared" si="44"/>
        <v>47.6</v>
      </c>
    </row>
    <row r="825" spans="2:10">
      <c r="B825" t="s">
        <v>341</v>
      </c>
      <c r="C825" s="24" t="s">
        <v>27</v>
      </c>
      <c r="D825" s="25">
        <v>25.66</v>
      </c>
      <c r="E825" s="26">
        <v>42.8</v>
      </c>
      <c r="G825" s="17">
        <f t="shared" si="42"/>
        <v>39.476923076923079</v>
      </c>
      <c r="H825" s="27" t="str">
        <f t="shared" si="43"/>
        <v>POSITIVO</v>
      </c>
      <c r="J825" s="17">
        <f t="shared" si="44"/>
        <v>36.657142857142858</v>
      </c>
    </row>
    <row r="826" spans="2:10">
      <c r="B826" t="s">
        <v>1671</v>
      </c>
      <c r="C826" s="30" t="s">
        <v>27</v>
      </c>
      <c r="D826" s="13">
        <v>47.43</v>
      </c>
      <c r="E826" s="13">
        <v>73.900000000000006</v>
      </c>
      <c r="G826" s="17">
        <f t="shared" si="42"/>
        <v>72.969230769230762</v>
      </c>
      <c r="H826" s="27" t="str">
        <f t="shared" si="43"/>
        <v>POSITIVO</v>
      </c>
      <c r="J826" s="17">
        <f t="shared" si="44"/>
        <v>67.757142857142867</v>
      </c>
    </row>
    <row r="827" spans="2:10">
      <c r="B827" t="s">
        <v>916</v>
      </c>
      <c r="C827" s="30" t="s">
        <v>27</v>
      </c>
      <c r="D827" s="13">
        <v>129.86000000000001</v>
      </c>
      <c r="E827" s="13">
        <v>199.9</v>
      </c>
      <c r="G827" s="17">
        <f t="shared" si="42"/>
        <v>199.78461538461539</v>
      </c>
      <c r="H827" s="27" t="str">
        <f t="shared" si="43"/>
        <v>POSITIVO</v>
      </c>
      <c r="J827" s="17">
        <f t="shared" si="44"/>
        <v>185.51428571428573</v>
      </c>
    </row>
    <row r="828" spans="2:10">
      <c r="B828" t="s">
        <v>1350</v>
      </c>
      <c r="C828" s="30" t="s">
        <v>27</v>
      </c>
      <c r="D828" s="13">
        <v>149.77000000000001</v>
      </c>
      <c r="E828" s="13">
        <v>235</v>
      </c>
      <c r="G828" s="17">
        <f t="shared" si="42"/>
        <v>230.41538461538462</v>
      </c>
      <c r="H828" s="27" t="str">
        <f t="shared" si="43"/>
        <v>POSITIVO</v>
      </c>
      <c r="J828" s="17">
        <f t="shared" si="44"/>
        <v>213.95714285714288</v>
      </c>
    </row>
    <row r="829" spans="2:10">
      <c r="B829" t="s">
        <v>342</v>
      </c>
      <c r="C829" s="24" t="s">
        <v>27</v>
      </c>
      <c r="D829" s="25">
        <v>188.33</v>
      </c>
      <c r="E829" s="26">
        <v>290</v>
      </c>
      <c r="G829" s="17">
        <f t="shared" si="42"/>
        <v>289.73846153846154</v>
      </c>
      <c r="H829" s="27" t="str">
        <f t="shared" si="43"/>
        <v>POSITIVO</v>
      </c>
      <c r="J829" s="17">
        <f t="shared" si="44"/>
        <v>269.0428571428572</v>
      </c>
    </row>
    <row r="830" spans="2:10">
      <c r="B830" t="s">
        <v>1349</v>
      </c>
      <c r="C830" s="30" t="s">
        <v>27</v>
      </c>
      <c r="D830" s="13">
        <v>198.65</v>
      </c>
      <c r="E830" s="13">
        <v>310</v>
      </c>
      <c r="G830" s="17">
        <f t="shared" si="42"/>
        <v>305.61538461538464</v>
      </c>
      <c r="H830" s="27" t="str">
        <f t="shared" si="43"/>
        <v>POSITIVO</v>
      </c>
      <c r="J830" s="17">
        <f t="shared" si="44"/>
        <v>283.78571428571433</v>
      </c>
    </row>
    <row r="831" spans="2:10">
      <c r="B831" t="s">
        <v>343</v>
      </c>
      <c r="C831" s="24" t="s">
        <v>27</v>
      </c>
      <c r="D831" s="25">
        <v>235.59</v>
      </c>
      <c r="E831" s="26">
        <v>363</v>
      </c>
      <c r="G831" s="17">
        <f t="shared" si="42"/>
        <v>362.44615384615383</v>
      </c>
      <c r="H831" s="27" t="str">
        <f t="shared" si="43"/>
        <v>POSITIVO</v>
      </c>
      <c r="J831" s="17">
        <f t="shared" si="44"/>
        <v>336.55714285714288</v>
      </c>
    </row>
    <row r="832" spans="2:10">
      <c r="B832" t="s">
        <v>344</v>
      </c>
      <c r="C832" s="24" t="s">
        <v>27</v>
      </c>
      <c r="D832" s="25">
        <v>605.67999999999995</v>
      </c>
      <c r="E832" s="26">
        <v>930</v>
      </c>
      <c r="G832" s="17">
        <f t="shared" si="42"/>
        <v>931.81538461538446</v>
      </c>
      <c r="H832" s="27" t="str">
        <f t="shared" si="43"/>
        <v>NEGATIVO</v>
      </c>
      <c r="J832" s="17">
        <f t="shared" si="44"/>
        <v>865.25714285714287</v>
      </c>
    </row>
    <row r="833" spans="2:10">
      <c r="B833" t="s">
        <v>1863</v>
      </c>
      <c r="C833" s="30" t="s">
        <v>27</v>
      </c>
      <c r="D833" s="13">
        <v>16.399999999999999</v>
      </c>
      <c r="E833" s="13">
        <v>25.5</v>
      </c>
      <c r="G833" s="17">
        <f t="shared" si="42"/>
        <v>25.230769230769226</v>
      </c>
      <c r="H833" s="27" t="str">
        <f t="shared" si="43"/>
        <v>POSITIVO</v>
      </c>
      <c r="J833" s="17">
        <f t="shared" si="44"/>
        <v>23.428571428571427</v>
      </c>
    </row>
    <row r="834" spans="2:10">
      <c r="B834" t="s">
        <v>345</v>
      </c>
      <c r="C834" s="24" t="s">
        <v>27</v>
      </c>
      <c r="D834" s="25">
        <v>4.66</v>
      </c>
      <c r="E834" s="26">
        <v>8.5</v>
      </c>
      <c r="G834" s="17">
        <f t="shared" si="42"/>
        <v>7.1692307692307695</v>
      </c>
      <c r="H834" s="27" t="str">
        <f t="shared" si="43"/>
        <v>POSITIVO</v>
      </c>
      <c r="J834" s="17">
        <f t="shared" si="44"/>
        <v>6.6571428571428575</v>
      </c>
    </row>
    <row r="835" spans="2:10">
      <c r="B835" t="s">
        <v>346</v>
      </c>
      <c r="C835" s="24" t="s">
        <v>27</v>
      </c>
      <c r="D835" s="25">
        <v>39.340000000000003</v>
      </c>
      <c r="E835" s="26">
        <v>52</v>
      </c>
      <c r="G835" s="17">
        <f t="shared" si="42"/>
        <v>60.523076923076928</v>
      </c>
      <c r="H835" s="27" t="str">
        <f t="shared" si="43"/>
        <v>NEGATIVO</v>
      </c>
      <c r="J835" s="17">
        <f t="shared" si="44"/>
        <v>56.20000000000001</v>
      </c>
    </row>
    <row r="836" spans="2:10">
      <c r="B836" t="s">
        <v>347</v>
      </c>
      <c r="C836" s="24" t="s">
        <v>27</v>
      </c>
      <c r="D836" s="25">
        <v>10</v>
      </c>
      <c r="E836" s="26">
        <v>15</v>
      </c>
      <c r="G836" s="17">
        <f t="shared" si="42"/>
        <v>15.384615384615383</v>
      </c>
      <c r="H836" s="27" t="str">
        <f t="shared" si="43"/>
        <v>NEGATIVO</v>
      </c>
      <c r="J836" s="17">
        <f t="shared" si="44"/>
        <v>14.285714285714286</v>
      </c>
    </row>
    <row r="837" spans="2:10">
      <c r="B837" t="s">
        <v>348</v>
      </c>
      <c r="C837" s="24" t="s">
        <v>27</v>
      </c>
      <c r="D837" s="25">
        <v>14</v>
      </c>
      <c r="E837" s="26">
        <v>22</v>
      </c>
      <c r="G837" s="17">
        <f t="shared" si="42"/>
        <v>21.538461538461537</v>
      </c>
      <c r="H837" s="27" t="str">
        <f t="shared" si="43"/>
        <v>POSITIVO</v>
      </c>
      <c r="J837" s="17">
        <f t="shared" si="44"/>
        <v>20</v>
      </c>
    </row>
    <row r="838" spans="2:10">
      <c r="B838" t="s">
        <v>1451</v>
      </c>
      <c r="C838" s="30" t="s">
        <v>27</v>
      </c>
      <c r="D838" s="13">
        <v>13.9</v>
      </c>
      <c r="E838" s="13">
        <v>22</v>
      </c>
      <c r="G838" s="17">
        <f t="shared" si="42"/>
        <v>21.384615384615383</v>
      </c>
      <c r="H838" s="27" t="str">
        <f t="shared" si="43"/>
        <v>POSITIVO</v>
      </c>
      <c r="J838" s="17">
        <f t="shared" si="44"/>
        <v>19.857142857142858</v>
      </c>
    </row>
    <row r="839" spans="2:10">
      <c r="B839" t="s">
        <v>349</v>
      </c>
      <c r="C839" s="24" t="s">
        <v>27</v>
      </c>
      <c r="D839" s="25">
        <v>2.19</v>
      </c>
      <c r="E839" s="26">
        <v>4.8</v>
      </c>
      <c r="G839" s="17">
        <f t="shared" si="42"/>
        <v>3.3692307692307693</v>
      </c>
      <c r="H839" s="27" t="str">
        <f t="shared" si="43"/>
        <v>POSITIVO</v>
      </c>
      <c r="J839" s="17">
        <f t="shared" si="44"/>
        <v>3.1285714285714286</v>
      </c>
    </row>
    <row r="840" spans="2:10">
      <c r="B840" t="s">
        <v>1049</v>
      </c>
      <c r="C840" s="30" t="s">
        <v>27</v>
      </c>
      <c r="D840" s="13">
        <v>6.45</v>
      </c>
      <c r="E840" s="13">
        <v>11.2</v>
      </c>
      <c r="G840" s="17">
        <f t="shared" si="42"/>
        <v>9.9230769230769234</v>
      </c>
      <c r="H840" s="27" t="str">
        <f t="shared" si="43"/>
        <v>POSITIVO</v>
      </c>
      <c r="J840" s="17">
        <f t="shared" si="44"/>
        <v>9.2142857142857153</v>
      </c>
    </row>
    <row r="841" spans="2:10">
      <c r="B841" t="s">
        <v>1158</v>
      </c>
      <c r="C841" s="30" t="s">
        <v>27</v>
      </c>
      <c r="D841" s="13">
        <v>12.5</v>
      </c>
      <c r="E841" s="13">
        <v>22</v>
      </c>
      <c r="G841" s="17">
        <f t="shared" si="42"/>
        <v>19.23076923076923</v>
      </c>
      <c r="H841" s="27" t="str">
        <f t="shared" si="43"/>
        <v>POSITIVO</v>
      </c>
      <c r="J841" s="17">
        <f t="shared" si="44"/>
        <v>17.857142857142858</v>
      </c>
    </row>
    <row r="842" spans="2:10">
      <c r="B842" t="s">
        <v>1699</v>
      </c>
      <c r="C842" s="30" t="s">
        <v>27</v>
      </c>
      <c r="D842" s="13">
        <v>12.5</v>
      </c>
      <c r="E842" s="13">
        <v>19.899999999999999</v>
      </c>
      <c r="G842" s="17">
        <f t="shared" si="42"/>
        <v>19.23076923076923</v>
      </c>
      <c r="H842" s="27" t="str">
        <f t="shared" si="43"/>
        <v>POSITIVO</v>
      </c>
      <c r="J842" s="17">
        <f t="shared" si="44"/>
        <v>17.857142857142858</v>
      </c>
    </row>
    <row r="843" spans="2:10">
      <c r="B843" t="s">
        <v>1885</v>
      </c>
      <c r="C843" s="30" t="s">
        <v>27</v>
      </c>
      <c r="D843" s="13">
        <v>8.4</v>
      </c>
      <c r="E843" s="13">
        <v>14</v>
      </c>
      <c r="G843" s="17">
        <f t="shared" si="42"/>
        <v>12.923076923076923</v>
      </c>
      <c r="H843" s="27" t="str">
        <f t="shared" si="43"/>
        <v>POSITIVO</v>
      </c>
      <c r="J843" s="17">
        <f t="shared" si="44"/>
        <v>12.000000000000002</v>
      </c>
    </row>
    <row r="844" spans="2:10">
      <c r="B844" t="s">
        <v>1095</v>
      </c>
      <c r="C844" s="30" t="s">
        <v>27</v>
      </c>
      <c r="D844" s="13">
        <v>9.0500000000000007</v>
      </c>
      <c r="E844" s="13">
        <v>16</v>
      </c>
      <c r="G844" s="17">
        <f t="shared" si="42"/>
        <v>13.923076923076923</v>
      </c>
      <c r="H844" s="27" t="str">
        <f t="shared" si="43"/>
        <v>POSITIVO</v>
      </c>
      <c r="J844" s="17">
        <f t="shared" si="44"/>
        <v>12.928571428571431</v>
      </c>
    </row>
    <row r="845" spans="2:10">
      <c r="B845" t="s">
        <v>1096</v>
      </c>
      <c r="C845" s="30" t="s">
        <v>27</v>
      </c>
      <c r="D845" s="13">
        <v>9.5500000000000007</v>
      </c>
      <c r="E845" s="13">
        <v>18</v>
      </c>
      <c r="G845" s="17">
        <f t="shared" si="42"/>
        <v>14.692307692307693</v>
      </c>
      <c r="H845" s="27" t="str">
        <f t="shared" si="43"/>
        <v>POSITIVO</v>
      </c>
      <c r="J845" s="17">
        <f t="shared" si="44"/>
        <v>13.642857142857144</v>
      </c>
    </row>
    <row r="846" spans="2:10">
      <c r="B846" t="s">
        <v>1726</v>
      </c>
      <c r="C846" s="30" t="s">
        <v>27</v>
      </c>
      <c r="D846" s="13">
        <v>110</v>
      </c>
      <c r="E846" s="13">
        <v>170</v>
      </c>
      <c r="G846" s="17">
        <f t="shared" ref="G846:G894" si="45">(D846/65%)</f>
        <v>169.23076923076923</v>
      </c>
      <c r="H846" s="27" t="str">
        <f t="shared" ref="H846:H894" si="46">IF(E846&gt;=G846,"POSITIVO","NEGATIVO")</f>
        <v>POSITIVO</v>
      </c>
      <c r="J846" s="17">
        <f t="shared" ref="J846:J894" si="47">D846/70%</f>
        <v>157.14285714285714</v>
      </c>
    </row>
    <row r="847" spans="2:10">
      <c r="B847" t="s">
        <v>1660</v>
      </c>
      <c r="C847" s="30" t="s">
        <v>27</v>
      </c>
      <c r="D847" s="13">
        <v>3.9</v>
      </c>
      <c r="E847" s="13">
        <v>6</v>
      </c>
      <c r="G847" s="17">
        <f t="shared" si="45"/>
        <v>6</v>
      </c>
      <c r="H847" s="27" t="str">
        <f t="shared" si="46"/>
        <v>POSITIVO</v>
      </c>
      <c r="J847" s="17">
        <f t="shared" si="47"/>
        <v>5.5714285714285721</v>
      </c>
    </row>
    <row r="848" spans="2:10">
      <c r="B848" t="s">
        <v>1718</v>
      </c>
      <c r="C848" s="24" t="s">
        <v>27</v>
      </c>
      <c r="D848" s="25">
        <v>24.24</v>
      </c>
      <c r="E848" s="26">
        <v>38</v>
      </c>
      <c r="G848" s="17">
        <f t="shared" si="45"/>
        <v>37.292307692307688</v>
      </c>
      <c r="H848" s="27" t="str">
        <f t="shared" si="46"/>
        <v>POSITIVO</v>
      </c>
      <c r="J848" s="17">
        <f t="shared" si="47"/>
        <v>34.628571428571426</v>
      </c>
    </row>
    <row r="849" spans="1:10">
      <c r="B849" t="s">
        <v>1983</v>
      </c>
      <c r="C849" s="30" t="s">
        <v>27</v>
      </c>
      <c r="D849" s="13">
        <v>16.88</v>
      </c>
      <c r="E849" s="13">
        <v>26</v>
      </c>
      <c r="G849" s="17">
        <f t="shared" si="45"/>
        <v>25.969230769230766</v>
      </c>
      <c r="H849" s="27" t="str">
        <f t="shared" si="46"/>
        <v>POSITIVO</v>
      </c>
      <c r="J849" s="17">
        <f t="shared" si="47"/>
        <v>24.114285714285714</v>
      </c>
    </row>
    <row r="850" spans="1:10">
      <c r="B850" t="s">
        <v>1140</v>
      </c>
      <c r="C850" s="30" t="s">
        <v>27</v>
      </c>
      <c r="D850" s="13">
        <v>4.5</v>
      </c>
      <c r="E850" s="13">
        <v>7</v>
      </c>
      <c r="G850" s="17">
        <f t="shared" si="45"/>
        <v>6.9230769230769225</v>
      </c>
      <c r="H850" s="27" t="str">
        <f t="shared" si="46"/>
        <v>POSITIVO</v>
      </c>
      <c r="J850" s="17">
        <f t="shared" si="47"/>
        <v>6.4285714285714288</v>
      </c>
    </row>
    <row r="851" spans="1:10">
      <c r="B851" t="s">
        <v>350</v>
      </c>
      <c r="C851" s="24" t="s">
        <v>27</v>
      </c>
      <c r="D851" s="25">
        <v>2.5</v>
      </c>
      <c r="E851" s="26">
        <v>8</v>
      </c>
      <c r="G851" s="17">
        <f t="shared" si="45"/>
        <v>3.8461538461538458</v>
      </c>
      <c r="H851" s="27" t="str">
        <f t="shared" si="46"/>
        <v>POSITIVO</v>
      </c>
      <c r="J851" s="17">
        <f t="shared" si="47"/>
        <v>3.5714285714285716</v>
      </c>
    </row>
    <row r="852" spans="1:10">
      <c r="B852" t="s">
        <v>351</v>
      </c>
      <c r="C852" s="24" t="s">
        <v>27</v>
      </c>
      <c r="D852" s="25">
        <v>1.57</v>
      </c>
      <c r="E852" s="26">
        <v>2.4500000000000002</v>
      </c>
      <c r="G852" s="17">
        <f t="shared" si="45"/>
        <v>2.4153846153846152</v>
      </c>
      <c r="H852" s="27" t="str">
        <f t="shared" si="46"/>
        <v>POSITIVO</v>
      </c>
      <c r="J852" s="17">
        <f t="shared" si="47"/>
        <v>2.2428571428571429</v>
      </c>
    </row>
    <row r="853" spans="1:10">
      <c r="B853" t="s">
        <v>352</v>
      </c>
      <c r="C853" s="24" t="s">
        <v>27</v>
      </c>
      <c r="D853" s="25">
        <v>1</v>
      </c>
      <c r="E853" s="26">
        <v>1.85</v>
      </c>
      <c r="G853" s="17">
        <f t="shared" si="45"/>
        <v>1.5384615384615383</v>
      </c>
      <c r="H853" s="27" t="str">
        <f t="shared" si="46"/>
        <v>POSITIVO</v>
      </c>
      <c r="J853" s="17">
        <f t="shared" si="47"/>
        <v>1.4285714285714286</v>
      </c>
    </row>
    <row r="854" spans="1:10">
      <c r="B854" t="s">
        <v>1329</v>
      </c>
      <c r="C854" s="30" t="s">
        <v>27</v>
      </c>
      <c r="D854" s="13">
        <v>214.28</v>
      </c>
      <c r="E854" s="13">
        <v>345</v>
      </c>
      <c r="G854" s="17">
        <f t="shared" si="45"/>
        <v>329.66153846153844</v>
      </c>
      <c r="H854" s="27" t="str">
        <f t="shared" si="46"/>
        <v>POSITIVO</v>
      </c>
      <c r="J854" s="17">
        <f t="shared" si="47"/>
        <v>306.11428571428576</v>
      </c>
    </row>
    <row r="855" spans="1:10">
      <c r="B855" t="s">
        <v>1168</v>
      </c>
      <c r="C855" s="30" t="s">
        <v>27</v>
      </c>
      <c r="D855" s="13">
        <v>52.31</v>
      </c>
      <c r="E855" s="13">
        <v>87.5</v>
      </c>
      <c r="G855" s="17">
        <f t="shared" si="45"/>
        <v>80.476923076923072</v>
      </c>
      <c r="H855" s="27" t="str">
        <f t="shared" si="46"/>
        <v>POSITIVO</v>
      </c>
      <c r="J855" s="17">
        <f t="shared" si="47"/>
        <v>74.728571428571442</v>
      </c>
    </row>
    <row r="856" spans="1:10">
      <c r="A856" s="61" t="s">
        <v>2310</v>
      </c>
      <c r="B856" t="s">
        <v>1169</v>
      </c>
      <c r="C856" s="24" t="s">
        <v>27</v>
      </c>
      <c r="D856" s="25">
        <v>65</v>
      </c>
      <c r="E856" s="26">
        <v>100</v>
      </c>
      <c r="G856" s="17">
        <f t="shared" si="45"/>
        <v>100</v>
      </c>
      <c r="H856" s="27" t="str">
        <f t="shared" si="46"/>
        <v>POSITIVO</v>
      </c>
      <c r="J856" s="17">
        <f t="shared" si="47"/>
        <v>92.857142857142861</v>
      </c>
    </row>
    <row r="857" spans="1:10">
      <c r="A857" s="61" t="s">
        <v>2309</v>
      </c>
      <c r="B857" t="s">
        <v>1170</v>
      </c>
      <c r="C857" s="24" t="s">
        <v>27</v>
      </c>
      <c r="D857" s="25">
        <v>11.72</v>
      </c>
      <c r="E857" s="26">
        <v>18</v>
      </c>
      <c r="G857" s="17">
        <f t="shared" si="45"/>
        <v>18.030769230769231</v>
      </c>
      <c r="H857" s="27" t="str">
        <f t="shared" si="46"/>
        <v>NEGATIVO</v>
      </c>
      <c r="J857" s="17">
        <f t="shared" si="47"/>
        <v>16.742857142857144</v>
      </c>
    </row>
    <row r="858" spans="1:10">
      <c r="B858" t="s">
        <v>1328</v>
      </c>
      <c r="C858" s="30" t="s">
        <v>27</v>
      </c>
      <c r="D858" s="13">
        <v>83.15</v>
      </c>
      <c r="E858" s="13">
        <v>130</v>
      </c>
      <c r="G858" s="17">
        <f t="shared" si="45"/>
        <v>127.92307692307693</v>
      </c>
      <c r="H858" s="27" t="str">
        <f t="shared" si="46"/>
        <v>POSITIVO</v>
      </c>
      <c r="J858" s="17">
        <f t="shared" si="47"/>
        <v>118.78571428571431</v>
      </c>
    </row>
    <row r="859" spans="1:10">
      <c r="B859" t="s">
        <v>1892</v>
      </c>
      <c r="C859" s="30" t="s">
        <v>27</v>
      </c>
      <c r="D859" s="13">
        <v>71</v>
      </c>
      <c r="E859" s="13">
        <v>110</v>
      </c>
      <c r="G859" s="17">
        <f t="shared" si="45"/>
        <v>109.23076923076923</v>
      </c>
      <c r="H859" s="27" t="str">
        <f t="shared" si="46"/>
        <v>POSITIVO</v>
      </c>
      <c r="J859" s="17">
        <f t="shared" si="47"/>
        <v>101.42857142857143</v>
      </c>
    </row>
    <row r="860" spans="1:10">
      <c r="B860" t="s">
        <v>1894</v>
      </c>
      <c r="C860" s="30" t="s">
        <v>27</v>
      </c>
      <c r="D860" s="13">
        <v>19.989999999999998</v>
      </c>
      <c r="E860" s="13">
        <v>32</v>
      </c>
      <c r="G860" s="17">
        <f t="shared" si="45"/>
        <v>30.753846153846151</v>
      </c>
      <c r="H860" s="27" t="str">
        <f t="shared" si="46"/>
        <v>POSITIVO</v>
      </c>
      <c r="J860" s="17">
        <f t="shared" si="47"/>
        <v>28.557142857142857</v>
      </c>
    </row>
    <row r="861" spans="1:10">
      <c r="A861" s="61" t="s">
        <v>2313</v>
      </c>
      <c r="B861" t="s">
        <v>2312</v>
      </c>
      <c r="C861" s="30" t="s">
        <v>27</v>
      </c>
      <c r="D861" s="13">
        <v>26.5</v>
      </c>
      <c r="E861" s="13">
        <v>41</v>
      </c>
      <c r="G861" s="17">
        <f t="shared" si="45"/>
        <v>40.769230769230766</v>
      </c>
      <c r="H861" s="27" t="str">
        <f t="shared" si="46"/>
        <v>POSITIVO</v>
      </c>
      <c r="J861" s="17">
        <f t="shared" si="47"/>
        <v>37.857142857142861</v>
      </c>
    </row>
    <row r="862" spans="1:10">
      <c r="B862" t="s">
        <v>1923</v>
      </c>
      <c r="C862" s="30" t="s">
        <v>27</v>
      </c>
      <c r="D862" s="13">
        <v>225.56</v>
      </c>
      <c r="E862" s="13">
        <v>350</v>
      </c>
      <c r="G862" s="17">
        <f t="shared" si="45"/>
        <v>347.01538461538462</v>
      </c>
      <c r="H862" s="27" t="str">
        <f t="shared" si="46"/>
        <v>POSITIVO</v>
      </c>
      <c r="J862" s="17">
        <f t="shared" si="47"/>
        <v>322.22857142857146</v>
      </c>
    </row>
    <row r="863" spans="1:10">
      <c r="B863" t="s">
        <v>1330</v>
      </c>
      <c r="C863" s="30" t="s">
        <v>27</v>
      </c>
      <c r="D863" s="13">
        <v>166.71</v>
      </c>
      <c r="E863" s="13">
        <v>260</v>
      </c>
      <c r="G863" s="17">
        <f t="shared" si="45"/>
        <v>256.47692307692307</v>
      </c>
      <c r="H863" s="27" t="str">
        <f t="shared" si="46"/>
        <v>POSITIVO</v>
      </c>
      <c r="J863" s="17">
        <f t="shared" si="47"/>
        <v>238.15714285714287</v>
      </c>
    </row>
    <row r="864" spans="1:10">
      <c r="B864" t="s">
        <v>1165</v>
      </c>
      <c r="C864" s="24" t="s">
        <v>27</v>
      </c>
      <c r="D864" s="25">
        <v>38.479999999999997</v>
      </c>
      <c r="E864" s="26">
        <v>60</v>
      </c>
      <c r="G864" s="17">
        <f t="shared" si="45"/>
        <v>59.199999999999996</v>
      </c>
      <c r="H864" s="27" t="str">
        <f t="shared" si="46"/>
        <v>POSITIVO</v>
      </c>
      <c r="J864" s="17">
        <f t="shared" si="47"/>
        <v>54.971428571428568</v>
      </c>
    </row>
    <row r="865" spans="1:10">
      <c r="B865" t="s">
        <v>988</v>
      </c>
      <c r="C865" s="24" t="s">
        <v>27</v>
      </c>
      <c r="D865" s="13">
        <v>234.33</v>
      </c>
      <c r="E865" s="13">
        <v>361</v>
      </c>
      <c r="G865" s="17">
        <f t="shared" si="45"/>
        <v>360.50769230769231</v>
      </c>
      <c r="H865" s="27" t="str">
        <f t="shared" si="46"/>
        <v>POSITIVO</v>
      </c>
      <c r="J865" s="17">
        <f t="shared" si="47"/>
        <v>334.75714285714292</v>
      </c>
    </row>
    <row r="866" spans="1:10">
      <c r="B866" t="s">
        <v>353</v>
      </c>
      <c r="C866" s="24" t="s">
        <v>27</v>
      </c>
      <c r="D866" s="25">
        <v>60.19</v>
      </c>
      <c r="E866" s="26">
        <v>93</v>
      </c>
      <c r="G866" s="17">
        <f t="shared" si="45"/>
        <v>92.6</v>
      </c>
      <c r="H866" s="27" t="str">
        <f t="shared" si="46"/>
        <v>POSITIVO</v>
      </c>
      <c r="J866" s="17">
        <f t="shared" si="47"/>
        <v>85.985714285714295</v>
      </c>
    </row>
    <row r="867" spans="1:10">
      <c r="B867" t="s">
        <v>1171</v>
      </c>
      <c r="C867" s="24" t="s">
        <v>27</v>
      </c>
      <c r="D867" s="25">
        <v>86.2</v>
      </c>
      <c r="E867" s="26">
        <v>133</v>
      </c>
      <c r="G867" s="17">
        <f t="shared" si="45"/>
        <v>132.61538461538461</v>
      </c>
      <c r="H867" s="27" t="str">
        <f t="shared" si="46"/>
        <v>POSITIVO</v>
      </c>
      <c r="J867" s="17">
        <f t="shared" si="47"/>
        <v>123.14285714285715</v>
      </c>
    </row>
    <row r="868" spans="1:10">
      <c r="B868" t="s">
        <v>1172</v>
      </c>
      <c r="C868" s="24" t="s">
        <v>27</v>
      </c>
      <c r="D868" s="25">
        <v>25.78</v>
      </c>
      <c r="E868" s="25">
        <v>40</v>
      </c>
      <c r="G868" s="17">
        <f t="shared" si="45"/>
        <v>39.661538461538463</v>
      </c>
      <c r="H868" s="27" t="str">
        <f t="shared" si="46"/>
        <v>POSITIVO</v>
      </c>
      <c r="J868" s="17">
        <f t="shared" si="47"/>
        <v>36.828571428571429</v>
      </c>
    </row>
    <row r="869" spans="1:10">
      <c r="B869" t="s">
        <v>1924</v>
      </c>
      <c r="C869" s="30" t="s">
        <v>27</v>
      </c>
      <c r="D869" s="13">
        <v>57.86</v>
      </c>
      <c r="E869" s="13">
        <v>90</v>
      </c>
      <c r="G869" s="17">
        <f t="shared" si="45"/>
        <v>89.015384615384605</v>
      </c>
      <c r="H869" s="27" t="str">
        <f t="shared" si="46"/>
        <v>POSITIVO</v>
      </c>
      <c r="J869" s="17">
        <f t="shared" si="47"/>
        <v>82.657142857142858</v>
      </c>
    </row>
    <row r="870" spans="1:10">
      <c r="A870" s="61" t="s">
        <v>2311</v>
      </c>
      <c r="B870" t="s">
        <v>354</v>
      </c>
      <c r="C870" s="24" t="s">
        <v>27</v>
      </c>
      <c r="D870" s="25">
        <v>53.85</v>
      </c>
      <c r="E870" s="26">
        <v>85</v>
      </c>
      <c r="G870" s="17">
        <f t="shared" si="45"/>
        <v>82.84615384615384</v>
      </c>
      <c r="H870" s="27" t="str">
        <f t="shared" si="46"/>
        <v>POSITIVO</v>
      </c>
      <c r="J870" s="17">
        <f t="shared" si="47"/>
        <v>76.928571428571431</v>
      </c>
    </row>
    <row r="871" spans="1:10">
      <c r="B871" t="s">
        <v>355</v>
      </c>
      <c r="C871" s="24" t="s">
        <v>27</v>
      </c>
      <c r="D871" s="25">
        <v>10.84</v>
      </c>
      <c r="E871" s="26">
        <v>18</v>
      </c>
      <c r="G871" s="17">
        <f t="shared" si="45"/>
        <v>16.676923076923075</v>
      </c>
      <c r="H871" s="27" t="str">
        <f t="shared" si="46"/>
        <v>POSITIVO</v>
      </c>
      <c r="J871" s="17">
        <f t="shared" si="47"/>
        <v>15.485714285714286</v>
      </c>
    </row>
    <row r="872" spans="1:10">
      <c r="B872" t="s">
        <v>1780</v>
      </c>
      <c r="C872" s="30" t="s">
        <v>27</v>
      </c>
      <c r="D872" s="13">
        <v>10.6</v>
      </c>
      <c r="E872" s="13">
        <v>19.5</v>
      </c>
      <c r="G872" s="17">
        <f t="shared" si="45"/>
        <v>16.307692307692307</v>
      </c>
      <c r="H872" s="27" t="str">
        <f t="shared" si="46"/>
        <v>POSITIVO</v>
      </c>
      <c r="J872" s="17">
        <f t="shared" si="47"/>
        <v>15.142857142857144</v>
      </c>
    </row>
    <row r="873" spans="1:10">
      <c r="B873" t="s">
        <v>1173</v>
      </c>
      <c r="C873" s="24" t="s">
        <v>27</v>
      </c>
      <c r="D873" s="25">
        <v>24.22</v>
      </c>
      <c r="E873" s="25">
        <v>38</v>
      </c>
      <c r="G873" s="17">
        <f t="shared" si="45"/>
        <v>37.261538461538457</v>
      </c>
      <c r="H873" s="27" t="str">
        <f t="shared" si="46"/>
        <v>POSITIVO</v>
      </c>
      <c r="J873" s="17">
        <f t="shared" si="47"/>
        <v>34.6</v>
      </c>
    </row>
    <row r="874" spans="1:10">
      <c r="B874" t="s">
        <v>1174</v>
      </c>
      <c r="C874" s="24" t="s">
        <v>27</v>
      </c>
      <c r="D874" s="25">
        <v>10.59</v>
      </c>
      <c r="E874" s="26">
        <v>19.5</v>
      </c>
      <c r="G874" s="17">
        <f t="shared" si="45"/>
        <v>16.292307692307691</v>
      </c>
      <c r="H874" s="27" t="str">
        <f t="shared" si="46"/>
        <v>POSITIVO</v>
      </c>
      <c r="J874" s="17">
        <f t="shared" si="47"/>
        <v>15.12857142857143</v>
      </c>
    </row>
    <row r="875" spans="1:10">
      <c r="B875" t="s">
        <v>1175</v>
      </c>
      <c r="C875" s="24" t="s">
        <v>27</v>
      </c>
      <c r="D875" s="25">
        <v>85.28</v>
      </c>
      <c r="E875" s="26">
        <v>132</v>
      </c>
      <c r="G875" s="17">
        <f t="shared" si="45"/>
        <v>131.19999999999999</v>
      </c>
      <c r="H875" s="27" t="str">
        <f t="shared" si="46"/>
        <v>POSITIVO</v>
      </c>
      <c r="J875" s="17">
        <f t="shared" si="47"/>
        <v>121.82857142857144</v>
      </c>
    </row>
    <row r="876" spans="1:10">
      <c r="B876" t="s">
        <v>1176</v>
      </c>
      <c r="C876" s="24" t="s">
        <v>27</v>
      </c>
      <c r="D876" s="25">
        <v>25.63</v>
      </c>
      <c r="E876" s="26">
        <v>40</v>
      </c>
      <c r="G876" s="17">
        <f t="shared" si="45"/>
        <v>39.430769230769229</v>
      </c>
      <c r="H876" s="27" t="str">
        <f t="shared" si="46"/>
        <v>POSITIVO</v>
      </c>
      <c r="J876" s="17">
        <f t="shared" si="47"/>
        <v>36.614285714285714</v>
      </c>
    </row>
    <row r="877" spans="1:10">
      <c r="B877" t="s">
        <v>1177</v>
      </c>
      <c r="C877" s="24" t="s">
        <v>27</v>
      </c>
      <c r="D877" s="25">
        <v>88</v>
      </c>
      <c r="E877" s="25">
        <v>138</v>
      </c>
      <c r="G877" s="17">
        <f t="shared" si="45"/>
        <v>135.38461538461539</v>
      </c>
      <c r="H877" s="27" t="str">
        <f t="shared" si="46"/>
        <v>POSITIVO</v>
      </c>
      <c r="J877" s="17">
        <f t="shared" si="47"/>
        <v>125.71428571428572</v>
      </c>
    </row>
    <row r="878" spans="1:10">
      <c r="B878" t="s">
        <v>1167</v>
      </c>
      <c r="C878" s="30" t="s">
        <v>27</v>
      </c>
      <c r="D878" s="13">
        <v>86.19</v>
      </c>
      <c r="E878" s="13">
        <v>135</v>
      </c>
      <c r="G878" s="17">
        <f t="shared" si="45"/>
        <v>132.6</v>
      </c>
      <c r="H878" s="27" t="str">
        <f t="shared" si="46"/>
        <v>POSITIVO</v>
      </c>
      <c r="J878" s="17">
        <f t="shared" si="47"/>
        <v>123.12857142857143</v>
      </c>
    </row>
    <row r="879" spans="1:10">
      <c r="B879" t="s">
        <v>1166</v>
      </c>
      <c r="C879" s="24" t="s">
        <v>27</v>
      </c>
      <c r="D879" s="25">
        <v>24.26</v>
      </c>
      <c r="E879" s="26">
        <v>40</v>
      </c>
      <c r="G879" s="17">
        <f t="shared" si="45"/>
        <v>37.323076923076925</v>
      </c>
      <c r="H879" s="27" t="str">
        <f t="shared" si="46"/>
        <v>POSITIVO</v>
      </c>
      <c r="J879" s="17">
        <f t="shared" si="47"/>
        <v>34.657142857142858</v>
      </c>
    </row>
    <row r="880" spans="1:10">
      <c r="B880" t="s">
        <v>1076</v>
      </c>
      <c r="C880" s="24" t="s">
        <v>27</v>
      </c>
      <c r="D880" s="13">
        <v>6.2</v>
      </c>
      <c r="E880" s="13">
        <v>9.6</v>
      </c>
      <c r="G880" s="17">
        <f t="shared" si="45"/>
        <v>9.5384615384615383</v>
      </c>
      <c r="H880" s="27" t="str">
        <f t="shared" si="46"/>
        <v>POSITIVO</v>
      </c>
      <c r="J880" s="17">
        <f t="shared" si="47"/>
        <v>8.8571428571428577</v>
      </c>
    </row>
    <row r="881" spans="2:10">
      <c r="B881" t="s">
        <v>1072</v>
      </c>
      <c r="C881" s="30" t="s">
        <v>27</v>
      </c>
      <c r="D881" s="13">
        <v>9.9</v>
      </c>
      <c r="E881" s="13">
        <v>15.5</v>
      </c>
      <c r="G881" s="17">
        <f t="shared" si="45"/>
        <v>15.23076923076923</v>
      </c>
      <c r="H881" s="27" t="str">
        <f t="shared" si="46"/>
        <v>POSITIVO</v>
      </c>
      <c r="J881" s="17">
        <f t="shared" si="47"/>
        <v>14.142857142857144</v>
      </c>
    </row>
    <row r="882" spans="2:10">
      <c r="B882" t="s">
        <v>1641</v>
      </c>
      <c r="C882" s="30" t="s">
        <v>27</v>
      </c>
      <c r="D882" s="13">
        <v>9.1999999999999993</v>
      </c>
      <c r="E882" s="13">
        <v>14.5</v>
      </c>
      <c r="G882" s="17">
        <f t="shared" si="45"/>
        <v>14.153846153846152</v>
      </c>
      <c r="H882" s="27" t="str">
        <f t="shared" si="46"/>
        <v>POSITIVO</v>
      </c>
      <c r="J882" s="17">
        <f t="shared" si="47"/>
        <v>13.142857142857142</v>
      </c>
    </row>
    <row r="883" spans="2:10">
      <c r="B883" t="s">
        <v>1071</v>
      </c>
      <c r="C883" s="30" t="s">
        <v>27</v>
      </c>
      <c r="D883" s="13">
        <v>12.15</v>
      </c>
      <c r="E883" s="13">
        <v>18.8</v>
      </c>
      <c r="G883" s="17">
        <f t="shared" si="45"/>
        <v>18.692307692307693</v>
      </c>
      <c r="H883" s="27" t="str">
        <f t="shared" si="46"/>
        <v>POSITIVO</v>
      </c>
      <c r="J883" s="17">
        <f t="shared" si="47"/>
        <v>17.357142857142858</v>
      </c>
    </row>
    <row r="884" spans="2:10">
      <c r="B884" t="s">
        <v>356</v>
      </c>
      <c r="C884" s="24" t="s">
        <v>27</v>
      </c>
      <c r="D884" s="25">
        <v>8.3000000000000007</v>
      </c>
      <c r="E884" s="26">
        <v>13.5</v>
      </c>
      <c r="G884" s="17">
        <f t="shared" si="45"/>
        <v>12.76923076923077</v>
      </c>
      <c r="H884" s="27" t="str">
        <f t="shared" si="46"/>
        <v>POSITIVO</v>
      </c>
      <c r="J884" s="17">
        <f t="shared" si="47"/>
        <v>11.857142857142859</v>
      </c>
    </row>
    <row r="885" spans="2:10">
      <c r="B885" t="s">
        <v>930</v>
      </c>
      <c r="C885" s="30" t="s">
        <v>27</v>
      </c>
      <c r="D885" s="13">
        <v>11.9</v>
      </c>
      <c r="E885" s="13">
        <v>23.9</v>
      </c>
      <c r="G885" s="17">
        <f t="shared" si="45"/>
        <v>18.307692307692307</v>
      </c>
      <c r="H885" s="27" t="str">
        <f t="shared" si="46"/>
        <v>POSITIVO</v>
      </c>
      <c r="J885" s="17">
        <f t="shared" si="47"/>
        <v>17</v>
      </c>
    </row>
    <row r="886" spans="2:10">
      <c r="B886" t="s">
        <v>1731</v>
      </c>
      <c r="C886" s="30" t="s">
        <v>27</v>
      </c>
      <c r="D886" s="13">
        <v>11</v>
      </c>
      <c r="E886" s="13">
        <v>18.899999999999999</v>
      </c>
      <c r="G886" s="17">
        <f t="shared" si="45"/>
        <v>16.923076923076923</v>
      </c>
      <c r="H886" s="27" t="str">
        <f t="shared" si="46"/>
        <v>POSITIVO</v>
      </c>
      <c r="J886" s="17">
        <f t="shared" si="47"/>
        <v>15.714285714285715</v>
      </c>
    </row>
    <row r="887" spans="2:10">
      <c r="B887" t="s">
        <v>1695</v>
      </c>
      <c r="C887" s="30" t="s">
        <v>27</v>
      </c>
      <c r="D887" s="13">
        <v>38</v>
      </c>
      <c r="E887" s="13">
        <v>59.9</v>
      </c>
      <c r="G887" s="17">
        <f t="shared" si="45"/>
        <v>58.46153846153846</v>
      </c>
      <c r="H887" s="27" t="str">
        <f t="shared" si="46"/>
        <v>POSITIVO</v>
      </c>
      <c r="J887" s="17">
        <f t="shared" si="47"/>
        <v>54.285714285714292</v>
      </c>
    </row>
    <row r="888" spans="2:10">
      <c r="B888" t="s">
        <v>357</v>
      </c>
      <c r="C888" s="24" t="s">
        <v>27</v>
      </c>
      <c r="D888" s="25">
        <v>25.17</v>
      </c>
      <c r="E888" s="26">
        <v>39</v>
      </c>
      <c r="G888" s="17">
        <f t="shared" si="45"/>
        <v>38.723076923076924</v>
      </c>
      <c r="H888" s="27" t="str">
        <f t="shared" si="46"/>
        <v>POSITIVO</v>
      </c>
      <c r="J888" s="17">
        <f t="shared" si="47"/>
        <v>35.957142857142863</v>
      </c>
    </row>
    <row r="889" spans="2:10">
      <c r="B889" t="s">
        <v>981</v>
      </c>
      <c r="C889" s="24" t="s">
        <v>27</v>
      </c>
      <c r="D889" s="25">
        <v>50.96</v>
      </c>
      <c r="E889" s="26">
        <v>70</v>
      </c>
      <c r="G889" s="17">
        <f t="shared" si="45"/>
        <v>78.400000000000006</v>
      </c>
      <c r="H889" s="27" t="str">
        <f t="shared" si="46"/>
        <v>NEGATIVO</v>
      </c>
      <c r="J889" s="17">
        <f t="shared" si="47"/>
        <v>72.800000000000011</v>
      </c>
    </row>
    <row r="890" spans="2:10">
      <c r="B890" t="s">
        <v>982</v>
      </c>
      <c r="C890" s="30" t="s">
        <v>27</v>
      </c>
      <c r="D890" s="13">
        <v>24.28</v>
      </c>
      <c r="E890" s="13">
        <v>38.5</v>
      </c>
      <c r="G890" s="17">
        <f t="shared" si="45"/>
        <v>37.353846153846156</v>
      </c>
      <c r="H890" s="27" t="str">
        <f t="shared" si="46"/>
        <v>POSITIVO</v>
      </c>
      <c r="J890" s="17">
        <f t="shared" si="47"/>
        <v>34.68571428571429</v>
      </c>
    </row>
    <row r="891" spans="2:10">
      <c r="B891" t="s">
        <v>358</v>
      </c>
      <c r="C891" s="24" t="s">
        <v>27</v>
      </c>
      <c r="D891" s="25">
        <v>28.1</v>
      </c>
      <c r="E891" s="26">
        <v>44</v>
      </c>
      <c r="G891" s="17">
        <f t="shared" si="45"/>
        <v>43.230769230769234</v>
      </c>
      <c r="H891" s="27" t="str">
        <f t="shared" si="46"/>
        <v>POSITIVO</v>
      </c>
      <c r="J891" s="17">
        <f t="shared" si="47"/>
        <v>40.142857142857146</v>
      </c>
    </row>
    <row r="892" spans="2:10">
      <c r="B892" t="s">
        <v>359</v>
      </c>
      <c r="C892" s="24" t="s">
        <v>27</v>
      </c>
      <c r="D892" s="25">
        <v>71.430000000000007</v>
      </c>
      <c r="E892" s="26">
        <v>110</v>
      </c>
      <c r="G892" s="17">
        <f t="shared" si="45"/>
        <v>109.8923076923077</v>
      </c>
      <c r="H892" s="27" t="str">
        <f t="shared" si="46"/>
        <v>POSITIVO</v>
      </c>
      <c r="J892" s="17">
        <f t="shared" si="47"/>
        <v>102.04285714285716</v>
      </c>
    </row>
    <row r="893" spans="2:10">
      <c r="B893" t="s">
        <v>360</v>
      </c>
      <c r="C893" s="24" t="s">
        <v>27</v>
      </c>
      <c r="D893" s="25">
        <v>149</v>
      </c>
      <c r="E893" s="26">
        <v>230</v>
      </c>
      <c r="G893" s="17">
        <f t="shared" si="45"/>
        <v>229.23076923076923</v>
      </c>
      <c r="H893" s="27" t="str">
        <f t="shared" si="46"/>
        <v>POSITIVO</v>
      </c>
      <c r="J893" s="17">
        <f t="shared" si="47"/>
        <v>212.85714285714286</v>
      </c>
    </row>
    <row r="894" spans="2:10">
      <c r="B894" t="s">
        <v>1805</v>
      </c>
      <c r="C894" s="30" t="s">
        <v>27</v>
      </c>
      <c r="D894" s="13">
        <v>106.7</v>
      </c>
      <c r="E894" s="13">
        <v>165</v>
      </c>
      <c r="G894" s="17">
        <f t="shared" si="45"/>
        <v>164.15384615384616</v>
      </c>
      <c r="H894" s="27" t="str">
        <f t="shared" si="46"/>
        <v>POSITIVO</v>
      </c>
      <c r="J894" s="17">
        <f t="shared" si="47"/>
        <v>152.42857142857144</v>
      </c>
    </row>
    <row r="895" spans="2:10">
      <c r="B895" t="s">
        <v>883</v>
      </c>
      <c r="C895" s="30" t="s">
        <v>27</v>
      </c>
      <c r="D895" s="25">
        <v>45.99</v>
      </c>
      <c r="E895" s="13">
        <v>72</v>
      </c>
      <c r="G895" s="17">
        <f t="shared" ref="G895:G951" si="48">(D895/65%)</f>
        <v>70.753846153846155</v>
      </c>
      <c r="H895" s="27" t="str">
        <f t="shared" ref="H895:H951" si="49">IF(E895&gt;=G895,"POSITIVO","NEGATIVO")</f>
        <v>POSITIVO</v>
      </c>
      <c r="J895" s="17">
        <f t="shared" ref="J895:J951" si="50">D895/70%</f>
        <v>65.7</v>
      </c>
    </row>
    <row r="896" spans="2:10">
      <c r="B896" t="s">
        <v>1512</v>
      </c>
      <c r="C896" s="24" t="s">
        <v>27</v>
      </c>
      <c r="D896" s="13">
        <v>20.58</v>
      </c>
      <c r="E896" s="13">
        <v>35</v>
      </c>
      <c r="G896" s="17">
        <f t="shared" si="48"/>
        <v>31.661538461538459</v>
      </c>
      <c r="H896" s="27" t="str">
        <f t="shared" si="49"/>
        <v>POSITIVO</v>
      </c>
      <c r="J896" s="17">
        <f t="shared" si="50"/>
        <v>29.4</v>
      </c>
    </row>
    <row r="897" spans="2:10">
      <c r="B897" t="s">
        <v>1514</v>
      </c>
      <c r="C897" s="24" t="s">
        <v>27</v>
      </c>
      <c r="D897" s="13">
        <v>23.62</v>
      </c>
      <c r="E897" s="13">
        <v>38</v>
      </c>
      <c r="G897" s="17">
        <f t="shared" si="48"/>
        <v>36.338461538461537</v>
      </c>
      <c r="H897" s="27" t="str">
        <f t="shared" si="49"/>
        <v>POSITIVO</v>
      </c>
      <c r="J897" s="17">
        <f t="shared" si="50"/>
        <v>33.742857142857147</v>
      </c>
    </row>
    <row r="898" spans="2:10">
      <c r="B898" t="s">
        <v>1513</v>
      </c>
      <c r="C898" s="24" t="s">
        <v>27</v>
      </c>
      <c r="D898" s="13">
        <v>20.58</v>
      </c>
      <c r="E898" s="13">
        <v>35</v>
      </c>
      <c r="G898" s="17">
        <f t="shared" si="48"/>
        <v>31.661538461538459</v>
      </c>
      <c r="H898" s="27" t="str">
        <f t="shared" si="49"/>
        <v>POSITIVO</v>
      </c>
      <c r="J898" s="17">
        <f t="shared" si="50"/>
        <v>29.4</v>
      </c>
    </row>
    <row r="899" spans="2:10">
      <c r="B899" t="s">
        <v>361</v>
      </c>
      <c r="C899" s="24" t="s">
        <v>27</v>
      </c>
      <c r="D899" s="25">
        <v>24.4</v>
      </c>
      <c r="E899" s="26">
        <v>39.9</v>
      </c>
      <c r="G899" s="17">
        <f t="shared" si="48"/>
        <v>37.538461538461533</v>
      </c>
      <c r="H899" s="27" t="str">
        <f t="shared" si="49"/>
        <v>POSITIVO</v>
      </c>
      <c r="J899" s="17">
        <f t="shared" si="50"/>
        <v>34.857142857142854</v>
      </c>
    </row>
    <row r="900" spans="2:10">
      <c r="B900" t="s">
        <v>1667</v>
      </c>
      <c r="C900" s="30" t="s">
        <v>27</v>
      </c>
      <c r="D900" s="13">
        <v>30.93</v>
      </c>
      <c r="E900" s="13">
        <v>47.9</v>
      </c>
      <c r="G900" s="17">
        <f t="shared" si="48"/>
        <v>47.584615384615383</v>
      </c>
      <c r="H900" s="27" t="str">
        <f t="shared" si="49"/>
        <v>POSITIVO</v>
      </c>
      <c r="J900" s="17">
        <f t="shared" si="50"/>
        <v>44.18571428571429</v>
      </c>
    </row>
    <row r="901" spans="2:10">
      <c r="B901" t="s">
        <v>362</v>
      </c>
      <c r="C901" s="24" t="s">
        <v>27</v>
      </c>
      <c r="D901" s="25">
        <v>4.99</v>
      </c>
      <c r="E901" s="26">
        <v>8</v>
      </c>
      <c r="G901" s="17">
        <f t="shared" si="48"/>
        <v>7.6769230769230772</v>
      </c>
      <c r="H901" s="27" t="str">
        <f t="shared" si="49"/>
        <v>POSITIVO</v>
      </c>
      <c r="J901" s="17">
        <f t="shared" si="50"/>
        <v>7.128571428571429</v>
      </c>
    </row>
    <row r="902" spans="2:10">
      <c r="B902" t="s">
        <v>1425</v>
      </c>
      <c r="C902" s="30" t="s">
        <v>27</v>
      </c>
      <c r="D902" s="13">
        <v>9.7200000000000006</v>
      </c>
      <c r="E902" s="13">
        <v>16</v>
      </c>
      <c r="G902" s="17">
        <f t="shared" si="48"/>
        <v>14.953846153846154</v>
      </c>
      <c r="H902" s="27" t="str">
        <f t="shared" si="49"/>
        <v>POSITIVO</v>
      </c>
      <c r="J902" s="17">
        <f t="shared" si="50"/>
        <v>13.885714285714288</v>
      </c>
    </row>
    <row r="903" spans="2:10">
      <c r="B903" t="s">
        <v>363</v>
      </c>
      <c r="C903" s="24" t="s">
        <v>27</v>
      </c>
      <c r="D903" s="25">
        <v>70.150000000000006</v>
      </c>
      <c r="E903" s="26">
        <v>110</v>
      </c>
      <c r="G903" s="17">
        <f t="shared" si="48"/>
        <v>107.92307692307693</v>
      </c>
      <c r="H903" s="27" t="str">
        <f t="shared" si="49"/>
        <v>POSITIVO</v>
      </c>
      <c r="J903" s="17">
        <f t="shared" si="50"/>
        <v>100.21428571428572</v>
      </c>
    </row>
    <row r="904" spans="2:10">
      <c r="B904" t="s">
        <v>364</v>
      </c>
      <c r="C904" s="24" t="s">
        <v>27</v>
      </c>
      <c r="D904" s="25">
        <v>29.9</v>
      </c>
      <c r="E904" s="26">
        <v>47</v>
      </c>
      <c r="G904" s="17">
        <f t="shared" si="48"/>
        <v>45.999999999999993</v>
      </c>
      <c r="H904" s="27" t="str">
        <f t="shared" si="49"/>
        <v>POSITIVO</v>
      </c>
      <c r="J904" s="17">
        <f t="shared" si="50"/>
        <v>42.714285714285715</v>
      </c>
    </row>
    <row r="905" spans="2:10">
      <c r="B905" t="s">
        <v>365</v>
      </c>
      <c r="C905" s="24" t="s">
        <v>27</v>
      </c>
      <c r="D905" s="25">
        <v>7.2</v>
      </c>
      <c r="E905" s="26">
        <v>12</v>
      </c>
      <c r="G905" s="17">
        <f t="shared" si="48"/>
        <v>11.076923076923077</v>
      </c>
      <c r="H905" s="27" t="str">
        <f t="shared" si="49"/>
        <v>POSITIVO</v>
      </c>
      <c r="J905" s="17">
        <f t="shared" si="50"/>
        <v>10.285714285714286</v>
      </c>
    </row>
    <row r="906" spans="2:10">
      <c r="B906" t="s">
        <v>366</v>
      </c>
      <c r="C906" s="24" t="s">
        <v>27</v>
      </c>
      <c r="D906" s="25">
        <v>18.899999999999999</v>
      </c>
      <c r="E906" s="26">
        <v>32</v>
      </c>
      <c r="G906" s="17">
        <f t="shared" si="48"/>
        <v>29.076923076923073</v>
      </c>
      <c r="H906" s="27" t="str">
        <f t="shared" si="49"/>
        <v>POSITIVO</v>
      </c>
      <c r="J906" s="17">
        <f t="shared" si="50"/>
        <v>27</v>
      </c>
    </row>
    <row r="907" spans="2:10">
      <c r="B907" t="s">
        <v>961</v>
      </c>
      <c r="C907" s="30" t="s">
        <v>27</v>
      </c>
      <c r="D907" s="13">
        <v>15.9</v>
      </c>
      <c r="E907" s="13">
        <v>34</v>
      </c>
      <c r="G907" s="17">
        <f t="shared" si="48"/>
        <v>24.46153846153846</v>
      </c>
      <c r="H907" s="27" t="str">
        <f t="shared" si="49"/>
        <v>POSITIVO</v>
      </c>
      <c r="J907" s="17">
        <f t="shared" si="50"/>
        <v>22.714285714285715</v>
      </c>
    </row>
    <row r="908" spans="2:10">
      <c r="B908" t="s">
        <v>367</v>
      </c>
      <c r="C908" s="24" t="s">
        <v>27</v>
      </c>
      <c r="D908" s="25">
        <v>17.5</v>
      </c>
      <c r="E908" s="26">
        <v>35</v>
      </c>
      <c r="G908" s="17">
        <f t="shared" si="48"/>
        <v>26.923076923076923</v>
      </c>
      <c r="H908" s="27" t="str">
        <f t="shared" si="49"/>
        <v>POSITIVO</v>
      </c>
      <c r="J908" s="17">
        <f t="shared" si="50"/>
        <v>25</v>
      </c>
    </row>
    <row r="909" spans="2:10">
      <c r="B909" t="s">
        <v>368</v>
      </c>
      <c r="C909" s="24" t="s">
        <v>27</v>
      </c>
      <c r="D909" s="25">
        <v>18.899999999999999</v>
      </c>
      <c r="E909" s="26">
        <v>37</v>
      </c>
      <c r="G909" s="17">
        <f t="shared" si="48"/>
        <v>29.076923076923073</v>
      </c>
      <c r="H909" s="27" t="str">
        <f t="shared" si="49"/>
        <v>POSITIVO</v>
      </c>
      <c r="J909" s="17">
        <f t="shared" si="50"/>
        <v>27</v>
      </c>
    </row>
    <row r="910" spans="2:10">
      <c r="B910" t="s">
        <v>1521</v>
      </c>
      <c r="C910" s="30" t="s">
        <v>27</v>
      </c>
      <c r="D910" s="13">
        <v>16.989999999999998</v>
      </c>
      <c r="E910" s="13">
        <v>27</v>
      </c>
      <c r="G910" s="17">
        <f t="shared" si="48"/>
        <v>26.138461538461534</v>
      </c>
      <c r="H910" s="27" t="str">
        <f t="shared" si="49"/>
        <v>POSITIVO</v>
      </c>
      <c r="J910" s="17">
        <f t="shared" si="50"/>
        <v>24.271428571428572</v>
      </c>
    </row>
    <row r="911" spans="2:10">
      <c r="B911" t="s">
        <v>1255</v>
      </c>
      <c r="C911" s="30" t="s">
        <v>27</v>
      </c>
      <c r="D911" s="13">
        <v>18.600000000000001</v>
      </c>
      <c r="E911" s="13">
        <v>29.5</v>
      </c>
      <c r="G911" s="17">
        <f t="shared" si="48"/>
        <v>28.615384615384617</v>
      </c>
      <c r="H911" s="27" t="str">
        <f t="shared" si="49"/>
        <v>POSITIVO</v>
      </c>
      <c r="J911" s="17">
        <f t="shared" si="50"/>
        <v>26.571428571428577</v>
      </c>
    </row>
    <row r="912" spans="2:10">
      <c r="B912" t="s">
        <v>1648</v>
      </c>
      <c r="C912" s="30" t="s">
        <v>27</v>
      </c>
      <c r="D912" s="13">
        <v>372.64</v>
      </c>
      <c r="E912" s="13">
        <v>575</v>
      </c>
      <c r="G912" s="17">
        <f t="shared" si="48"/>
        <v>573.29230769230765</v>
      </c>
      <c r="H912" s="27" t="str">
        <f t="shared" si="49"/>
        <v>POSITIVO</v>
      </c>
      <c r="J912" s="17">
        <f t="shared" si="50"/>
        <v>532.34285714285716</v>
      </c>
    </row>
    <row r="913" spans="1:10">
      <c r="B913" t="s">
        <v>1649</v>
      </c>
      <c r="C913" s="30" t="s">
        <v>27</v>
      </c>
      <c r="D913" s="13">
        <v>278.89999999999998</v>
      </c>
      <c r="E913" s="13">
        <v>439</v>
      </c>
      <c r="G913" s="17">
        <f t="shared" si="48"/>
        <v>429.07692307692304</v>
      </c>
      <c r="H913" s="27" t="str">
        <f t="shared" si="49"/>
        <v>POSITIVO</v>
      </c>
      <c r="J913" s="17">
        <f t="shared" si="50"/>
        <v>398.42857142857144</v>
      </c>
    </row>
    <row r="914" spans="1:10">
      <c r="B914" t="s">
        <v>1246</v>
      </c>
      <c r="C914" s="30" t="s">
        <v>27</v>
      </c>
      <c r="D914" s="13">
        <v>176.87</v>
      </c>
      <c r="E914" s="13">
        <v>295</v>
      </c>
      <c r="G914" s="17">
        <f t="shared" si="48"/>
        <v>272.10769230769233</v>
      </c>
      <c r="H914" s="27" t="str">
        <f t="shared" si="49"/>
        <v>POSITIVO</v>
      </c>
      <c r="J914" s="17">
        <f t="shared" si="50"/>
        <v>252.67142857142861</v>
      </c>
    </row>
    <row r="915" spans="1:10">
      <c r="B915" t="s">
        <v>1245</v>
      </c>
      <c r="C915" s="30" t="s">
        <v>27</v>
      </c>
      <c r="D915" s="13">
        <v>290</v>
      </c>
      <c r="E915" s="13">
        <v>475</v>
      </c>
      <c r="G915" s="17">
        <f t="shared" si="48"/>
        <v>446.15384615384613</v>
      </c>
      <c r="H915" s="27" t="str">
        <f t="shared" si="49"/>
        <v>POSITIVO</v>
      </c>
      <c r="J915" s="17">
        <f t="shared" si="50"/>
        <v>414.28571428571433</v>
      </c>
    </row>
    <row r="916" spans="1:10">
      <c r="B916" t="s">
        <v>1247</v>
      </c>
      <c r="C916" s="30" t="s">
        <v>27</v>
      </c>
      <c r="D916" s="13">
        <v>277.77</v>
      </c>
      <c r="E916" s="13">
        <v>447</v>
      </c>
      <c r="G916" s="17">
        <f t="shared" si="48"/>
        <v>427.3384615384615</v>
      </c>
      <c r="H916" s="27" t="str">
        <f t="shared" si="49"/>
        <v>POSITIVO</v>
      </c>
      <c r="J916" s="17">
        <f t="shared" si="50"/>
        <v>396.81428571428569</v>
      </c>
    </row>
    <row r="917" spans="1:10">
      <c r="B917" t="s">
        <v>1243</v>
      </c>
      <c r="C917" s="30" t="s">
        <v>27</v>
      </c>
      <c r="D917" s="13">
        <v>154.61000000000001</v>
      </c>
      <c r="E917" s="13">
        <v>254</v>
      </c>
      <c r="G917" s="17">
        <f t="shared" si="48"/>
        <v>237.86153846153849</v>
      </c>
      <c r="H917" s="27" t="str">
        <f t="shared" si="49"/>
        <v>POSITIVO</v>
      </c>
      <c r="J917" s="17">
        <f t="shared" si="50"/>
        <v>220.87142857142859</v>
      </c>
    </row>
    <row r="918" spans="1:10">
      <c r="B918" t="s">
        <v>1244</v>
      </c>
      <c r="C918" s="30" t="s">
        <v>27</v>
      </c>
      <c r="D918" s="13">
        <v>148</v>
      </c>
      <c r="E918" s="13">
        <v>235</v>
      </c>
      <c r="G918" s="17">
        <f t="shared" si="48"/>
        <v>227.69230769230768</v>
      </c>
      <c r="H918" s="27" t="str">
        <f t="shared" si="49"/>
        <v>POSITIVO</v>
      </c>
      <c r="J918" s="17">
        <f t="shared" si="50"/>
        <v>211.42857142857144</v>
      </c>
    </row>
    <row r="919" spans="1:10">
      <c r="B919" t="s">
        <v>1647</v>
      </c>
      <c r="C919" s="30" t="s">
        <v>27</v>
      </c>
      <c r="D919" s="13">
        <v>404.79</v>
      </c>
      <c r="E919" s="13">
        <v>630</v>
      </c>
      <c r="G919" s="17">
        <f t="shared" si="48"/>
        <v>622.75384615384621</v>
      </c>
      <c r="H919" s="27" t="str">
        <f t="shared" si="49"/>
        <v>POSITIVO</v>
      </c>
      <c r="J919" s="17">
        <f t="shared" si="50"/>
        <v>578.2714285714286</v>
      </c>
    </row>
    <row r="920" spans="1:10">
      <c r="A920" s="61" t="s">
        <v>2404</v>
      </c>
      <c r="B920" t="s">
        <v>1164</v>
      </c>
      <c r="C920" s="24" t="s">
        <v>27</v>
      </c>
      <c r="D920" s="25">
        <v>3.3</v>
      </c>
      <c r="E920" s="26">
        <v>6.5</v>
      </c>
      <c r="G920" s="17">
        <f t="shared" si="48"/>
        <v>5.0769230769230766</v>
      </c>
      <c r="H920" s="27" t="str">
        <f t="shared" si="49"/>
        <v>POSITIVO</v>
      </c>
      <c r="J920" s="17">
        <f t="shared" si="50"/>
        <v>4.7142857142857144</v>
      </c>
    </row>
    <row r="921" spans="1:10">
      <c r="A921" s="61" t="s">
        <v>2060</v>
      </c>
      <c r="B921" t="s">
        <v>1236</v>
      </c>
      <c r="C921" s="24" t="s">
        <v>27</v>
      </c>
      <c r="D921" s="13">
        <v>4.72</v>
      </c>
      <c r="E921" s="13">
        <v>7.5</v>
      </c>
      <c r="G921" s="17">
        <f t="shared" si="48"/>
        <v>7.2615384615384606</v>
      </c>
      <c r="H921" s="27" t="str">
        <f t="shared" si="49"/>
        <v>POSITIVO</v>
      </c>
      <c r="J921" s="17">
        <f t="shared" si="50"/>
        <v>6.7428571428571429</v>
      </c>
    </row>
    <row r="922" spans="1:10">
      <c r="B922" t="s">
        <v>770</v>
      </c>
      <c r="C922" s="24" t="s">
        <v>27</v>
      </c>
      <c r="D922" s="25">
        <v>8.99</v>
      </c>
      <c r="E922" s="26">
        <v>13.9</v>
      </c>
      <c r="G922" s="17">
        <f t="shared" si="48"/>
        <v>13.830769230769231</v>
      </c>
      <c r="H922" s="27" t="str">
        <f t="shared" si="49"/>
        <v>POSITIVO</v>
      </c>
      <c r="J922" s="17">
        <f t="shared" si="50"/>
        <v>12.842857142857143</v>
      </c>
    </row>
    <row r="923" spans="1:10">
      <c r="B923" t="s">
        <v>369</v>
      </c>
      <c r="C923" s="24" t="s">
        <v>27</v>
      </c>
      <c r="D923" s="25">
        <v>10.18</v>
      </c>
      <c r="E923" s="25">
        <v>17.5</v>
      </c>
      <c r="G923" s="17">
        <f t="shared" si="48"/>
        <v>15.661538461538461</v>
      </c>
      <c r="H923" s="27" t="str">
        <f t="shared" si="49"/>
        <v>POSITIVO</v>
      </c>
      <c r="J923" s="17">
        <f t="shared" si="50"/>
        <v>14.542857142857143</v>
      </c>
    </row>
    <row r="924" spans="1:10">
      <c r="B924" t="s">
        <v>370</v>
      </c>
      <c r="C924" s="24" t="s">
        <v>27</v>
      </c>
      <c r="D924" s="25">
        <v>4.51</v>
      </c>
      <c r="E924" s="26">
        <v>8</v>
      </c>
      <c r="G924" s="17">
        <f t="shared" si="48"/>
        <v>6.9384615384615378</v>
      </c>
      <c r="H924" s="27" t="str">
        <f t="shared" si="49"/>
        <v>POSITIVO</v>
      </c>
      <c r="J924" s="17">
        <f t="shared" si="50"/>
        <v>6.4428571428571431</v>
      </c>
    </row>
    <row r="925" spans="1:10">
      <c r="B925" t="s">
        <v>371</v>
      </c>
      <c r="C925" s="24" t="s">
        <v>27</v>
      </c>
      <c r="D925" s="25">
        <v>17.8</v>
      </c>
      <c r="E925" s="26">
        <v>26.5</v>
      </c>
      <c r="G925" s="17">
        <f t="shared" si="48"/>
        <v>27.384615384615383</v>
      </c>
      <c r="H925" s="27" t="str">
        <f t="shared" si="49"/>
        <v>NEGATIVO</v>
      </c>
      <c r="J925" s="17">
        <f t="shared" si="50"/>
        <v>25.428571428571431</v>
      </c>
    </row>
    <row r="926" spans="1:10">
      <c r="B926" t="s">
        <v>372</v>
      </c>
      <c r="C926" s="24" t="s">
        <v>27</v>
      </c>
      <c r="D926" s="25">
        <v>3.7</v>
      </c>
      <c r="E926" s="26">
        <v>6.5</v>
      </c>
      <c r="G926" s="17">
        <f t="shared" si="48"/>
        <v>5.6923076923076925</v>
      </c>
      <c r="H926" s="27" t="str">
        <f t="shared" si="49"/>
        <v>POSITIVO</v>
      </c>
      <c r="J926" s="17">
        <f t="shared" si="50"/>
        <v>5.2857142857142865</v>
      </c>
    </row>
    <row r="927" spans="1:10">
      <c r="B927" t="s">
        <v>1156</v>
      </c>
      <c r="C927" s="24" t="s">
        <v>27</v>
      </c>
      <c r="D927" s="13">
        <v>3.99</v>
      </c>
      <c r="E927" s="13">
        <v>6.5</v>
      </c>
      <c r="G927" s="17">
        <f t="shared" si="48"/>
        <v>6.1384615384615389</v>
      </c>
      <c r="H927" s="27" t="str">
        <f t="shared" si="49"/>
        <v>POSITIVO</v>
      </c>
      <c r="J927" s="17">
        <f t="shared" si="50"/>
        <v>5.7000000000000011</v>
      </c>
    </row>
    <row r="928" spans="1:10">
      <c r="B928" t="s">
        <v>373</v>
      </c>
      <c r="C928" s="24" t="s">
        <v>27</v>
      </c>
      <c r="D928" s="25">
        <v>6.75</v>
      </c>
      <c r="E928" s="25">
        <v>9.6999999999999993</v>
      </c>
      <c r="G928" s="17">
        <f t="shared" si="48"/>
        <v>10.384615384615385</v>
      </c>
      <c r="H928" s="27" t="str">
        <f t="shared" si="49"/>
        <v>NEGATIVO</v>
      </c>
      <c r="J928" s="17">
        <f t="shared" si="50"/>
        <v>9.6428571428571441</v>
      </c>
    </row>
    <row r="929" spans="1:10">
      <c r="B929" t="s">
        <v>374</v>
      </c>
      <c r="C929" s="24" t="s">
        <v>27</v>
      </c>
      <c r="D929" s="25">
        <v>2.5</v>
      </c>
      <c r="E929" s="26">
        <v>3.9</v>
      </c>
      <c r="G929" s="17">
        <f t="shared" si="48"/>
        <v>3.8461538461538458</v>
      </c>
      <c r="H929" s="27" t="str">
        <f t="shared" si="49"/>
        <v>POSITIVO</v>
      </c>
      <c r="J929" s="17">
        <f t="shared" si="50"/>
        <v>3.5714285714285716</v>
      </c>
    </row>
    <row r="930" spans="1:10">
      <c r="B930" t="s">
        <v>771</v>
      </c>
      <c r="C930" s="24" t="s">
        <v>27</v>
      </c>
      <c r="D930" s="25">
        <v>3.75</v>
      </c>
      <c r="E930" s="26">
        <v>8</v>
      </c>
      <c r="G930" s="17">
        <f t="shared" si="48"/>
        <v>5.7692307692307692</v>
      </c>
      <c r="H930" s="27" t="str">
        <f t="shared" si="49"/>
        <v>POSITIVO</v>
      </c>
      <c r="J930" s="17">
        <f t="shared" si="50"/>
        <v>5.3571428571428577</v>
      </c>
    </row>
    <row r="931" spans="1:10">
      <c r="B931" t="s">
        <v>1098</v>
      </c>
      <c r="C931" s="30" t="s">
        <v>27</v>
      </c>
      <c r="D931" s="13">
        <v>1.42</v>
      </c>
      <c r="E931" s="13">
        <v>2.5</v>
      </c>
      <c r="G931" s="17">
        <f t="shared" si="48"/>
        <v>2.1846153846153844</v>
      </c>
      <c r="H931" s="27" t="str">
        <f t="shared" si="49"/>
        <v>POSITIVO</v>
      </c>
      <c r="J931" s="17">
        <f t="shared" si="50"/>
        <v>2.0285714285714285</v>
      </c>
    </row>
    <row r="932" spans="1:10">
      <c r="B932" t="s">
        <v>375</v>
      </c>
      <c r="C932" s="24" t="s">
        <v>27</v>
      </c>
      <c r="D932" s="25">
        <v>2.68</v>
      </c>
      <c r="E932" s="26">
        <v>4.5</v>
      </c>
      <c r="G932" s="17">
        <f t="shared" si="48"/>
        <v>4.1230769230769235</v>
      </c>
      <c r="H932" s="27" t="str">
        <f t="shared" si="49"/>
        <v>POSITIVO</v>
      </c>
      <c r="J932" s="17">
        <f t="shared" si="50"/>
        <v>3.8285714285714292</v>
      </c>
    </row>
    <row r="933" spans="1:10">
      <c r="B933" t="s">
        <v>1594</v>
      </c>
      <c r="C933" s="30" t="s">
        <v>27</v>
      </c>
      <c r="D933" s="13">
        <v>3.65</v>
      </c>
      <c r="E933" s="13">
        <v>5.8</v>
      </c>
      <c r="G933" s="17">
        <f t="shared" si="48"/>
        <v>5.615384615384615</v>
      </c>
      <c r="H933" s="27" t="str">
        <f t="shared" si="49"/>
        <v>POSITIVO</v>
      </c>
      <c r="J933" s="17">
        <f t="shared" si="50"/>
        <v>5.2142857142857144</v>
      </c>
    </row>
    <row r="934" spans="1:10">
      <c r="B934" t="s">
        <v>1595</v>
      </c>
      <c r="C934" s="30" t="s">
        <v>27</v>
      </c>
      <c r="D934" s="13">
        <v>6.16</v>
      </c>
      <c r="E934" s="13">
        <v>9.5</v>
      </c>
      <c r="G934" s="17">
        <f t="shared" si="48"/>
        <v>9.476923076923077</v>
      </c>
      <c r="H934" s="27" t="str">
        <f t="shared" si="49"/>
        <v>POSITIVO</v>
      </c>
      <c r="J934" s="17">
        <f t="shared" si="50"/>
        <v>8.8000000000000007</v>
      </c>
    </row>
    <row r="935" spans="1:10">
      <c r="B935" t="s">
        <v>376</v>
      </c>
      <c r="C935" s="24" t="s">
        <v>27</v>
      </c>
      <c r="D935" s="25">
        <v>13.4</v>
      </c>
      <c r="E935" s="26">
        <v>21</v>
      </c>
      <c r="G935" s="17">
        <f t="shared" si="48"/>
        <v>20.615384615384617</v>
      </c>
      <c r="H935" s="27" t="str">
        <f t="shared" si="49"/>
        <v>POSITIVO</v>
      </c>
      <c r="J935" s="17">
        <f t="shared" si="50"/>
        <v>19.142857142857146</v>
      </c>
    </row>
    <row r="936" spans="1:10">
      <c r="B936" t="s">
        <v>1083</v>
      </c>
      <c r="C936" s="24" t="s">
        <v>27</v>
      </c>
      <c r="D936" s="13">
        <v>6.19</v>
      </c>
      <c r="E936" s="13">
        <v>9.8000000000000007</v>
      </c>
      <c r="G936" s="17">
        <f t="shared" si="48"/>
        <v>9.523076923076923</v>
      </c>
      <c r="H936" s="27" t="str">
        <f t="shared" si="49"/>
        <v>POSITIVO</v>
      </c>
      <c r="J936" s="17">
        <f t="shared" si="50"/>
        <v>8.8428571428571434</v>
      </c>
    </row>
    <row r="937" spans="1:10">
      <c r="B937" t="s">
        <v>377</v>
      </c>
      <c r="C937" s="24" t="s">
        <v>27</v>
      </c>
      <c r="D937" s="25">
        <v>12.28</v>
      </c>
      <c r="E937" s="26">
        <v>18.899999999999999</v>
      </c>
      <c r="G937" s="17">
        <f t="shared" si="48"/>
        <v>18.892307692307689</v>
      </c>
      <c r="H937" s="27" t="str">
        <f t="shared" si="49"/>
        <v>POSITIVO</v>
      </c>
      <c r="J937" s="17">
        <f t="shared" si="50"/>
        <v>17.542857142857144</v>
      </c>
    </row>
    <row r="938" spans="1:10">
      <c r="B938" t="s">
        <v>378</v>
      </c>
      <c r="C938" s="24" t="s">
        <v>27</v>
      </c>
      <c r="D938" s="25">
        <v>8.15</v>
      </c>
      <c r="E938" s="26">
        <v>13</v>
      </c>
      <c r="G938" s="17">
        <f t="shared" si="48"/>
        <v>12.538461538461538</v>
      </c>
      <c r="H938" s="27" t="str">
        <f t="shared" si="49"/>
        <v>POSITIVO</v>
      </c>
      <c r="J938" s="17">
        <f t="shared" si="50"/>
        <v>11.642857142857144</v>
      </c>
    </row>
    <row r="939" spans="1:10">
      <c r="A939" s="61" t="s">
        <v>2531</v>
      </c>
      <c r="B939" t="s">
        <v>1599</v>
      </c>
      <c r="C939" s="30" t="s">
        <v>27</v>
      </c>
      <c r="D939" s="13">
        <v>7.5</v>
      </c>
      <c r="E939" s="13">
        <v>15.3</v>
      </c>
      <c r="G939" s="17">
        <f t="shared" si="48"/>
        <v>11.538461538461538</v>
      </c>
      <c r="H939" s="27" t="str">
        <f t="shared" si="49"/>
        <v>POSITIVO</v>
      </c>
      <c r="J939" s="17">
        <f t="shared" si="50"/>
        <v>10.714285714285715</v>
      </c>
    </row>
    <row r="940" spans="1:10">
      <c r="B940" t="s">
        <v>379</v>
      </c>
      <c r="C940" s="24" t="s">
        <v>27</v>
      </c>
      <c r="D940" s="25">
        <v>0.99</v>
      </c>
      <c r="E940" s="25">
        <v>2</v>
      </c>
      <c r="G940" s="17">
        <f t="shared" si="48"/>
        <v>1.523076923076923</v>
      </c>
      <c r="H940" s="27" t="str">
        <f t="shared" si="49"/>
        <v>POSITIVO</v>
      </c>
      <c r="J940" s="17">
        <f t="shared" si="50"/>
        <v>1.4142857142857144</v>
      </c>
    </row>
    <row r="941" spans="1:10">
      <c r="B941" t="s">
        <v>772</v>
      </c>
      <c r="C941" s="24" t="s">
        <v>27</v>
      </c>
      <c r="D941" s="25">
        <v>13.21</v>
      </c>
      <c r="E941" s="26">
        <v>21</v>
      </c>
      <c r="G941" s="17">
        <f t="shared" si="48"/>
        <v>20.323076923076922</v>
      </c>
      <c r="H941" s="27" t="str">
        <f t="shared" si="49"/>
        <v>POSITIVO</v>
      </c>
      <c r="J941" s="17">
        <f t="shared" si="50"/>
        <v>18.871428571428574</v>
      </c>
    </row>
    <row r="942" spans="1:10">
      <c r="B942" t="s">
        <v>380</v>
      </c>
      <c r="C942" s="24" t="s">
        <v>27</v>
      </c>
      <c r="D942" s="25">
        <v>9.5</v>
      </c>
      <c r="E942" s="26">
        <v>18</v>
      </c>
      <c r="G942" s="17">
        <f t="shared" si="48"/>
        <v>14.615384615384615</v>
      </c>
      <c r="H942" s="27" t="str">
        <f t="shared" si="49"/>
        <v>POSITIVO</v>
      </c>
      <c r="J942" s="17">
        <f t="shared" si="50"/>
        <v>13.571428571428573</v>
      </c>
    </row>
    <row r="943" spans="1:10">
      <c r="B943" t="s">
        <v>1327</v>
      </c>
      <c r="C943" s="30" t="s">
        <v>27</v>
      </c>
      <c r="D943" s="13">
        <v>8.99</v>
      </c>
      <c r="E943" s="13">
        <v>15</v>
      </c>
      <c r="G943" s="17">
        <f t="shared" si="48"/>
        <v>13.830769230769231</v>
      </c>
      <c r="H943" s="27" t="str">
        <f t="shared" si="49"/>
        <v>POSITIVO</v>
      </c>
      <c r="J943" s="17">
        <f t="shared" si="50"/>
        <v>12.842857142857143</v>
      </c>
    </row>
    <row r="944" spans="1:10">
      <c r="B944" t="s">
        <v>1326</v>
      </c>
      <c r="C944" s="30" t="s">
        <v>27</v>
      </c>
      <c r="D944" s="13">
        <v>9.56</v>
      </c>
      <c r="E944" s="13">
        <v>16</v>
      </c>
      <c r="G944" s="17">
        <f t="shared" si="48"/>
        <v>14.707692307692309</v>
      </c>
      <c r="H944" s="27" t="str">
        <f t="shared" si="49"/>
        <v>POSITIVO</v>
      </c>
      <c r="J944" s="17">
        <f t="shared" si="50"/>
        <v>13.657142857142858</v>
      </c>
    </row>
    <row r="945" spans="1:10">
      <c r="B945" t="s">
        <v>1288</v>
      </c>
      <c r="C945" s="24" t="s">
        <v>27</v>
      </c>
      <c r="D945" s="13">
        <v>1.49</v>
      </c>
      <c r="E945" s="13">
        <v>3</v>
      </c>
      <c r="G945" s="17">
        <f t="shared" si="48"/>
        <v>2.2923076923076922</v>
      </c>
      <c r="H945" s="27" t="str">
        <f t="shared" si="49"/>
        <v>POSITIVO</v>
      </c>
      <c r="J945" s="17">
        <f t="shared" si="50"/>
        <v>2.1285714285714286</v>
      </c>
    </row>
    <row r="946" spans="1:10">
      <c r="B946" t="s">
        <v>381</v>
      </c>
      <c r="C946" s="24" t="s">
        <v>27</v>
      </c>
      <c r="D946" s="25">
        <v>4.34</v>
      </c>
      <c r="E946" s="26">
        <v>8</v>
      </c>
      <c r="G946" s="17">
        <f t="shared" si="48"/>
        <v>6.6769230769230763</v>
      </c>
      <c r="H946" s="27" t="str">
        <f t="shared" si="49"/>
        <v>POSITIVO</v>
      </c>
      <c r="J946" s="17">
        <f t="shared" si="50"/>
        <v>6.2</v>
      </c>
    </row>
    <row r="947" spans="1:10">
      <c r="A947" s="61" t="s">
        <v>2526</v>
      </c>
      <c r="B947" t="s">
        <v>2525</v>
      </c>
      <c r="C947" s="30" t="s">
        <v>27</v>
      </c>
      <c r="D947" s="13">
        <v>2.99</v>
      </c>
      <c r="E947" s="13">
        <v>7</v>
      </c>
      <c r="G947" s="17">
        <f t="shared" si="48"/>
        <v>4.6000000000000005</v>
      </c>
      <c r="H947" s="27" t="str">
        <f t="shared" si="49"/>
        <v>POSITIVO</v>
      </c>
      <c r="J947" s="17">
        <f t="shared" si="50"/>
        <v>4.2714285714285722</v>
      </c>
    </row>
    <row r="948" spans="1:10">
      <c r="B948" t="s">
        <v>1832</v>
      </c>
      <c r="C948" s="30" t="s">
        <v>27</v>
      </c>
      <c r="D948" s="13">
        <v>18.95</v>
      </c>
      <c r="E948" s="13">
        <v>29.9</v>
      </c>
      <c r="G948" s="17">
        <f t="shared" si="48"/>
        <v>29.153846153846153</v>
      </c>
      <c r="H948" s="27" t="str">
        <f t="shared" si="49"/>
        <v>POSITIVO</v>
      </c>
      <c r="J948" s="17">
        <f t="shared" si="50"/>
        <v>27.071428571428573</v>
      </c>
    </row>
    <row r="949" spans="1:10">
      <c r="B949" t="s">
        <v>979</v>
      </c>
      <c r="C949" s="30" t="s">
        <v>27</v>
      </c>
      <c r="D949" s="13">
        <v>6.6</v>
      </c>
      <c r="E949" s="13">
        <v>10.5</v>
      </c>
      <c r="G949" s="17">
        <f t="shared" si="48"/>
        <v>10.153846153846153</v>
      </c>
      <c r="H949" s="27" t="str">
        <f t="shared" si="49"/>
        <v>POSITIVO</v>
      </c>
      <c r="J949" s="17">
        <f t="shared" si="50"/>
        <v>9.4285714285714288</v>
      </c>
    </row>
    <row r="950" spans="1:10">
      <c r="B950" t="s">
        <v>1274</v>
      </c>
      <c r="C950" s="30" t="s">
        <v>27</v>
      </c>
      <c r="D950" s="13">
        <v>100</v>
      </c>
      <c r="E950" s="13">
        <v>148</v>
      </c>
      <c r="G950" s="17">
        <f t="shared" si="48"/>
        <v>153.84615384615384</v>
      </c>
      <c r="H950" s="27" t="str">
        <f t="shared" si="49"/>
        <v>NEGATIVO</v>
      </c>
      <c r="J950" s="17">
        <f t="shared" si="50"/>
        <v>142.85714285714286</v>
      </c>
    </row>
    <row r="951" spans="1:10">
      <c r="B951" t="s">
        <v>1273</v>
      </c>
      <c r="C951" s="30" t="s">
        <v>27</v>
      </c>
      <c r="D951" s="13">
        <v>40</v>
      </c>
      <c r="E951" s="13">
        <v>63</v>
      </c>
      <c r="G951" s="17">
        <f t="shared" si="48"/>
        <v>61.538461538461533</v>
      </c>
      <c r="H951" s="27" t="str">
        <f t="shared" si="49"/>
        <v>POSITIVO</v>
      </c>
      <c r="J951" s="17">
        <f t="shared" si="50"/>
        <v>57.142857142857146</v>
      </c>
    </row>
    <row r="952" spans="1:10">
      <c r="B952" t="s">
        <v>382</v>
      </c>
      <c r="C952" s="24" t="s">
        <v>27</v>
      </c>
      <c r="D952" s="25">
        <v>39.85</v>
      </c>
      <c r="E952" s="26">
        <v>65</v>
      </c>
      <c r="G952" s="17">
        <f t="shared" ref="G952:G1008" si="51">(D952/65%)</f>
        <v>61.307692307692307</v>
      </c>
      <c r="H952" s="27" t="str">
        <f t="shared" ref="H952:H1008" si="52">IF(E952&gt;=G952,"POSITIVO","NEGATIVO")</f>
        <v>POSITIVO</v>
      </c>
      <c r="J952" s="17">
        <f t="shared" ref="J952:J1008" si="53">D952/70%</f>
        <v>56.928571428571438</v>
      </c>
    </row>
    <row r="953" spans="1:10">
      <c r="B953" t="s">
        <v>383</v>
      </c>
      <c r="C953" s="24" t="s">
        <v>27</v>
      </c>
      <c r="D953" s="25">
        <v>7.18</v>
      </c>
      <c r="E953" s="26">
        <v>14.6</v>
      </c>
      <c r="G953" s="17">
        <f t="shared" si="51"/>
        <v>11.046153846153846</v>
      </c>
      <c r="H953" s="27" t="str">
        <f t="shared" si="52"/>
        <v>POSITIVO</v>
      </c>
      <c r="J953" s="17">
        <f t="shared" si="53"/>
        <v>10.257142857142858</v>
      </c>
    </row>
    <row r="954" spans="1:10">
      <c r="B954" t="s">
        <v>384</v>
      </c>
      <c r="C954" s="24" t="s">
        <v>27</v>
      </c>
      <c r="D954" s="25">
        <v>0.69</v>
      </c>
      <c r="E954" s="26">
        <v>1.1000000000000001</v>
      </c>
      <c r="G954" s="17">
        <f t="shared" si="51"/>
        <v>1.0615384615384613</v>
      </c>
      <c r="H954" s="27" t="str">
        <f t="shared" si="52"/>
        <v>POSITIVO</v>
      </c>
      <c r="J954" s="17">
        <f t="shared" si="53"/>
        <v>0.98571428571428565</v>
      </c>
    </row>
    <row r="955" spans="1:10">
      <c r="B955" t="s">
        <v>385</v>
      </c>
      <c r="C955" s="24" t="s">
        <v>27</v>
      </c>
      <c r="D955" s="25">
        <v>0.25</v>
      </c>
      <c r="E955" s="26">
        <v>0.45</v>
      </c>
      <c r="G955" s="17">
        <f t="shared" si="51"/>
        <v>0.38461538461538458</v>
      </c>
      <c r="H955" s="27" t="str">
        <f t="shared" si="52"/>
        <v>POSITIVO</v>
      </c>
      <c r="J955" s="17">
        <f t="shared" si="53"/>
        <v>0.35714285714285715</v>
      </c>
    </row>
    <row r="956" spans="1:10">
      <c r="B956" t="s">
        <v>386</v>
      </c>
      <c r="C956" s="24" t="s">
        <v>27</v>
      </c>
      <c r="D956" s="25">
        <v>0.67</v>
      </c>
      <c r="E956" s="26">
        <v>1.05</v>
      </c>
      <c r="G956" s="17">
        <f t="shared" si="51"/>
        <v>1.0307692307692309</v>
      </c>
      <c r="H956" s="27" t="str">
        <f t="shared" si="52"/>
        <v>POSITIVO</v>
      </c>
      <c r="J956" s="17">
        <f t="shared" si="53"/>
        <v>0.9571428571428573</v>
      </c>
    </row>
    <row r="957" spans="1:10">
      <c r="B957" t="s">
        <v>1841</v>
      </c>
      <c r="C957" s="30" t="s">
        <v>27</v>
      </c>
      <c r="D957" s="13">
        <v>0.3</v>
      </c>
      <c r="E957" s="13">
        <v>0.5</v>
      </c>
      <c r="G957" s="17">
        <f t="shared" si="51"/>
        <v>0.46153846153846151</v>
      </c>
      <c r="H957" s="27" t="str">
        <f t="shared" si="52"/>
        <v>POSITIVO</v>
      </c>
      <c r="J957" s="17">
        <f t="shared" si="53"/>
        <v>0.4285714285714286</v>
      </c>
    </row>
    <row r="958" spans="1:10">
      <c r="B958" t="s">
        <v>387</v>
      </c>
      <c r="C958" s="24" t="s">
        <v>27</v>
      </c>
      <c r="D958" s="25">
        <v>0.51</v>
      </c>
      <c r="E958" s="26">
        <v>0.8</v>
      </c>
      <c r="G958" s="17">
        <f t="shared" si="51"/>
        <v>0.7846153846153846</v>
      </c>
      <c r="H958" s="27" t="str">
        <f t="shared" si="52"/>
        <v>POSITIVO</v>
      </c>
      <c r="J958" s="17">
        <f t="shared" si="53"/>
        <v>0.72857142857142865</v>
      </c>
    </row>
    <row r="959" spans="1:10">
      <c r="B959" t="s">
        <v>1088</v>
      </c>
      <c r="C959" s="30" t="s">
        <v>27</v>
      </c>
      <c r="D959" s="13">
        <v>16.7</v>
      </c>
      <c r="E959" s="13">
        <v>26</v>
      </c>
      <c r="G959" s="17">
        <f t="shared" si="51"/>
        <v>25.69230769230769</v>
      </c>
      <c r="H959" s="27" t="str">
        <f t="shared" si="52"/>
        <v>POSITIVO</v>
      </c>
      <c r="J959" s="17">
        <f t="shared" si="53"/>
        <v>23.857142857142858</v>
      </c>
    </row>
    <row r="960" spans="1:10">
      <c r="B960" t="s">
        <v>388</v>
      </c>
      <c r="C960" s="24" t="s">
        <v>27</v>
      </c>
      <c r="D960" s="25">
        <v>22.9</v>
      </c>
      <c r="E960" s="26">
        <v>36</v>
      </c>
      <c r="G960" s="17">
        <f t="shared" si="51"/>
        <v>35.230769230769226</v>
      </c>
      <c r="H960" s="27" t="str">
        <f t="shared" si="52"/>
        <v>POSITIVO</v>
      </c>
      <c r="J960" s="17">
        <f t="shared" si="53"/>
        <v>32.714285714285715</v>
      </c>
    </row>
    <row r="961" spans="1:10">
      <c r="B961" t="s">
        <v>1094</v>
      </c>
      <c r="C961" s="24" t="s">
        <v>27</v>
      </c>
      <c r="D961" s="13">
        <v>5.9</v>
      </c>
      <c r="E961" s="13">
        <v>12</v>
      </c>
      <c r="G961" s="17">
        <f t="shared" si="51"/>
        <v>9.0769230769230766</v>
      </c>
      <c r="H961" s="27" t="str">
        <f t="shared" si="52"/>
        <v>POSITIVO</v>
      </c>
      <c r="J961" s="17">
        <f t="shared" si="53"/>
        <v>8.4285714285714288</v>
      </c>
    </row>
    <row r="962" spans="1:10">
      <c r="B962" t="s">
        <v>1862</v>
      </c>
      <c r="C962" s="30" t="s">
        <v>27</v>
      </c>
      <c r="D962" s="13">
        <v>6.35</v>
      </c>
      <c r="E962" s="13">
        <v>10</v>
      </c>
      <c r="G962" s="17">
        <f t="shared" si="51"/>
        <v>9.7692307692307683</v>
      </c>
      <c r="H962" s="27" t="str">
        <f t="shared" si="52"/>
        <v>POSITIVO</v>
      </c>
      <c r="J962" s="17">
        <f t="shared" si="53"/>
        <v>9.0714285714285712</v>
      </c>
    </row>
    <row r="963" spans="1:10">
      <c r="B963" t="s">
        <v>1093</v>
      </c>
      <c r="C963" s="24" t="s">
        <v>27</v>
      </c>
      <c r="D963" s="13">
        <v>6.9</v>
      </c>
      <c r="E963" s="13">
        <v>14</v>
      </c>
      <c r="G963" s="17">
        <f t="shared" si="51"/>
        <v>10.615384615384615</v>
      </c>
      <c r="H963" s="27" t="str">
        <f t="shared" si="52"/>
        <v>POSITIVO</v>
      </c>
      <c r="J963" s="17">
        <f t="shared" si="53"/>
        <v>9.8571428571428577</v>
      </c>
    </row>
    <row r="964" spans="1:10">
      <c r="B964" t="s">
        <v>389</v>
      </c>
      <c r="C964" s="24" t="s">
        <v>27</v>
      </c>
      <c r="D964" s="25">
        <v>6.99</v>
      </c>
      <c r="E964" s="26">
        <v>10.8</v>
      </c>
      <c r="G964" s="17">
        <f t="shared" si="51"/>
        <v>10.753846153846153</v>
      </c>
      <c r="H964" s="27" t="str">
        <f t="shared" si="52"/>
        <v>POSITIVO</v>
      </c>
      <c r="J964" s="17">
        <f t="shared" si="53"/>
        <v>9.9857142857142858</v>
      </c>
    </row>
    <row r="965" spans="1:10">
      <c r="B965" t="s">
        <v>1523</v>
      </c>
      <c r="C965" s="30" t="s">
        <v>27</v>
      </c>
      <c r="D965" s="13">
        <v>15.9</v>
      </c>
      <c r="E965" s="13">
        <v>25</v>
      </c>
      <c r="G965" s="17">
        <f t="shared" si="51"/>
        <v>24.46153846153846</v>
      </c>
      <c r="H965" s="27" t="str">
        <f t="shared" si="52"/>
        <v>POSITIVO</v>
      </c>
      <c r="J965" s="17">
        <f t="shared" si="53"/>
        <v>22.714285714285715</v>
      </c>
    </row>
    <row r="966" spans="1:10">
      <c r="B966" t="s">
        <v>390</v>
      </c>
      <c r="C966" s="24" t="s">
        <v>27</v>
      </c>
      <c r="D966" s="25">
        <v>9.9</v>
      </c>
      <c r="E966" s="26">
        <v>16</v>
      </c>
      <c r="G966" s="17">
        <f t="shared" si="51"/>
        <v>15.23076923076923</v>
      </c>
      <c r="H966" s="27" t="str">
        <f t="shared" si="52"/>
        <v>POSITIVO</v>
      </c>
      <c r="J966" s="17">
        <f t="shared" si="53"/>
        <v>14.142857142857144</v>
      </c>
    </row>
    <row r="967" spans="1:10">
      <c r="B967" t="s">
        <v>1569</v>
      </c>
      <c r="C967" s="30" t="s">
        <v>27</v>
      </c>
      <c r="D967" s="13">
        <v>7.7</v>
      </c>
      <c r="E967" s="13">
        <v>15.8</v>
      </c>
      <c r="G967" s="17">
        <f t="shared" si="51"/>
        <v>11.846153846153847</v>
      </c>
      <c r="H967" s="27" t="str">
        <f t="shared" si="52"/>
        <v>POSITIVO</v>
      </c>
      <c r="J967" s="17">
        <f t="shared" si="53"/>
        <v>11.000000000000002</v>
      </c>
    </row>
    <row r="968" spans="1:10">
      <c r="A968" s="61" t="s">
        <v>2562</v>
      </c>
      <c r="B968" t="s">
        <v>391</v>
      </c>
      <c r="C968" s="24" t="s">
        <v>27</v>
      </c>
      <c r="D968" s="25">
        <v>22.68</v>
      </c>
      <c r="E968" s="26">
        <v>35</v>
      </c>
      <c r="G968" s="17">
        <f t="shared" si="51"/>
        <v>34.892307692307689</v>
      </c>
      <c r="H968" s="27" t="str">
        <f t="shared" si="52"/>
        <v>POSITIVO</v>
      </c>
      <c r="J968" s="17">
        <f t="shared" si="53"/>
        <v>32.4</v>
      </c>
    </row>
    <row r="969" spans="1:10">
      <c r="B969" t="s">
        <v>1764</v>
      </c>
      <c r="C969" s="30" t="s">
        <v>27</v>
      </c>
      <c r="D969" s="13">
        <v>34.19</v>
      </c>
      <c r="E969" s="13">
        <v>52.8</v>
      </c>
      <c r="G969" s="17">
        <f t="shared" si="51"/>
        <v>52.599999999999994</v>
      </c>
      <c r="H969" s="27" t="str">
        <f t="shared" si="52"/>
        <v>POSITIVO</v>
      </c>
      <c r="J969" s="17">
        <f t="shared" si="53"/>
        <v>48.842857142857142</v>
      </c>
    </row>
    <row r="970" spans="1:10">
      <c r="B970" t="s">
        <v>1765</v>
      </c>
      <c r="C970" s="30" t="s">
        <v>27</v>
      </c>
      <c r="D970" s="13">
        <v>18.48</v>
      </c>
      <c r="E970" s="13">
        <v>28.9</v>
      </c>
      <c r="G970" s="17">
        <f t="shared" si="51"/>
        <v>28.430769230769229</v>
      </c>
      <c r="H970" s="27" t="str">
        <f t="shared" si="52"/>
        <v>POSITIVO</v>
      </c>
      <c r="J970" s="17">
        <f t="shared" si="53"/>
        <v>26.400000000000002</v>
      </c>
    </row>
    <row r="971" spans="1:10">
      <c r="B971" t="s">
        <v>1763</v>
      </c>
      <c r="C971" s="30" t="s">
        <v>27</v>
      </c>
      <c r="D971" s="13">
        <v>20.12</v>
      </c>
      <c r="E971" s="13">
        <v>31.5</v>
      </c>
      <c r="G971" s="17">
        <f t="shared" si="51"/>
        <v>30.953846153846154</v>
      </c>
      <c r="H971" s="27" t="str">
        <f t="shared" si="52"/>
        <v>POSITIVO</v>
      </c>
      <c r="J971" s="17">
        <f t="shared" si="53"/>
        <v>28.742857142857147</v>
      </c>
    </row>
    <row r="972" spans="1:10">
      <c r="B972" t="s">
        <v>1766</v>
      </c>
      <c r="C972" s="30" t="s">
        <v>27</v>
      </c>
      <c r="D972" s="13">
        <v>9.83</v>
      </c>
      <c r="E972" s="13">
        <v>15.5</v>
      </c>
      <c r="G972" s="17">
        <f t="shared" si="51"/>
        <v>15.123076923076923</v>
      </c>
      <c r="H972" s="27" t="str">
        <f t="shared" si="52"/>
        <v>POSITIVO</v>
      </c>
      <c r="J972" s="17">
        <f t="shared" si="53"/>
        <v>14.042857142857144</v>
      </c>
    </row>
    <row r="973" spans="1:10">
      <c r="B973" t="s">
        <v>392</v>
      </c>
      <c r="C973" s="24" t="s">
        <v>27</v>
      </c>
      <c r="D973" s="25">
        <v>2.94</v>
      </c>
      <c r="E973" s="26">
        <v>5</v>
      </c>
      <c r="G973" s="17">
        <f t="shared" si="51"/>
        <v>4.523076923076923</v>
      </c>
      <c r="H973" s="27" t="str">
        <f t="shared" si="52"/>
        <v>POSITIVO</v>
      </c>
      <c r="J973" s="17">
        <f t="shared" si="53"/>
        <v>4.2</v>
      </c>
    </row>
    <row r="974" spans="1:10">
      <c r="B974" t="s">
        <v>393</v>
      </c>
      <c r="C974" s="24" t="s">
        <v>27</v>
      </c>
      <c r="D974" s="25">
        <v>12.52</v>
      </c>
      <c r="E974" s="26">
        <v>19.5</v>
      </c>
      <c r="G974" s="17">
        <f t="shared" si="51"/>
        <v>19.261538461538461</v>
      </c>
      <c r="H974" s="27" t="str">
        <f t="shared" si="52"/>
        <v>POSITIVO</v>
      </c>
      <c r="J974" s="17">
        <f t="shared" si="53"/>
        <v>17.885714285714286</v>
      </c>
    </row>
    <row r="975" spans="1:10">
      <c r="B975" t="s">
        <v>394</v>
      </c>
      <c r="C975" s="24" t="s">
        <v>27</v>
      </c>
      <c r="D975" s="25">
        <v>29</v>
      </c>
      <c r="E975" s="26">
        <v>45</v>
      </c>
      <c r="G975" s="17">
        <f t="shared" si="51"/>
        <v>44.615384615384613</v>
      </c>
      <c r="H975" s="27" t="str">
        <f t="shared" si="52"/>
        <v>POSITIVO</v>
      </c>
      <c r="J975" s="17">
        <f t="shared" si="53"/>
        <v>41.428571428571431</v>
      </c>
    </row>
    <row r="976" spans="1:10">
      <c r="B976" t="s">
        <v>395</v>
      </c>
      <c r="C976" s="24" t="s">
        <v>27</v>
      </c>
      <c r="D976" s="25">
        <v>84</v>
      </c>
      <c r="E976" s="26">
        <v>130</v>
      </c>
      <c r="G976" s="17">
        <f t="shared" si="51"/>
        <v>129.23076923076923</v>
      </c>
      <c r="H976" s="27" t="str">
        <f t="shared" si="52"/>
        <v>POSITIVO</v>
      </c>
      <c r="J976" s="17">
        <f t="shared" si="53"/>
        <v>120.00000000000001</v>
      </c>
    </row>
    <row r="977" spans="2:10">
      <c r="B977" t="s">
        <v>2000</v>
      </c>
      <c r="C977" s="30" t="s">
        <v>27</v>
      </c>
      <c r="D977" s="13">
        <v>6.5</v>
      </c>
      <c r="E977" s="13">
        <v>10</v>
      </c>
      <c r="G977" s="17">
        <f t="shared" si="51"/>
        <v>10</v>
      </c>
      <c r="H977" s="27" t="str">
        <f t="shared" si="52"/>
        <v>POSITIVO</v>
      </c>
      <c r="J977" s="17">
        <f t="shared" si="53"/>
        <v>9.2857142857142865</v>
      </c>
    </row>
    <row r="978" spans="2:10">
      <c r="B978" t="s">
        <v>396</v>
      </c>
      <c r="C978" s="24" t="s">
        <v>27</v>
      </c>
      <c r="D978" s="25">
        <v>2.4500000000000002</v>
      </c>
      <c r="E978" s="26">
        <v>5</v>
      </c>
      <c r="G978" s="17">
        <f t="shared" si="51"/>
        <v>3.7692307692307692</v>
      </c>
      <c r="H978" s="27" t="str">
        <f t="shared" si="52"/>
        <v>POSITIVO</v>
      </c>
      <c r="J978" s="17">
        <f t="shared" si="53"/>
        <v>3.5000000000000004</v>
      </c>
    </row>
    <row r="979" spans="2:10">
      <c r="B979" t="s">
        <v>1302</v>
      </c>
      <c r="C979" s="30" t="s">
        <v>27</v>
      </c>
      <c r="D979" s="13">
        <v>5.58</v>
      </c>
      <c r="E979" s="13">
        <v>9</v>
      </c>
      <c r="G979" s="17">
        <f t="shared" si="51"/>
        <v>8.5846153846153843</v>
      </c>
      <c r="H979" s="27" t="str">
        <f t="shared" si="52"/>
        <v>POSITIVO</v>
      </c>
      <c r="J979" s="17">
        <f t="shared" si="53"/>
        <v>7.9714285714285724</v>
      </c>
    </row>
    <row r="980" spans="2:10">
      <c r="B980" t="s">
        <v>397</v>
      </c>
      <c r="C980" s="24" t="s">
        <v>27</v>
      </c>
      <c r="D980" s="25">
        <v>1.68</v>
      </c>
      <c r="E980" s="26">
        <v>2.6</v>
      </c>
      <c r="G980" s="17">
        <f t="shared" si="51"/>
        <v>2.5846153846153843</v>
      </c>
      <c r="H980" s="27" t="str">
        <f t="shared" si="52"/>
        <v>POSITIVO</v>
      </c>
      <c r="J980" s="17">
        <f t="shared" si="53"/>
        <v>2.4</v>
      </c>
    </row>
    <row r="981" spans="2:10">
      <c r="B981" t="s">
        <v>920</v>
      </c>
      <c r="C981" s="24" t="s">
        <v>27</v>
      </c>
      <c r="D981" s="13">
        <v>23.49</v>
      </c>
      <c r="E981" s="13">
        <v>38</v>
      </c>
      <c r="G981" s="17">
        <f t="shared" si="51"/>
        <v>36.138461538461534</v>
      </c>
      <c r="H981" s="27" t="str">
        <f t="shared" si="52"/>
        <v>POSITIVO</v>
      </c>
      <c r="J981" s="17">
        <f t="shared" si="53"/>
        <v>33.557142857142857</v>
      </c>
    </row>
    <row r="982" spans="2:10">
      <c r="B982" t="s">
        <v>398</v>
      </c>
      <c r="C982" s="24" t="s">
        <v>27</v>
      </c>
      <c r="D982" s="25">
        <v>32.01</v>
      </c>
      <c r="E982" s="26">
        <v>53.9</v>
      </c>
      <c r="G982" s="17">
        <f t="shared" si="51"/>
        <v>49.246153846153838</v>
      </c>
      <c r="H982" s="27" t="str">
        <f t="shared" si="52"/>
        <v>POSITIVO</v>
      </c>
      <c r="J982" s="17">
        <f t="shared" si="53"/>
        <v>45.728571428571428</v>
      </c>
    </row>
    <row r="983" spans="2:10">
      <c r="B983" t="s">
        <v>1526</v>
      </c>
      <c r="C983" s="30" t="s">
        <v>27</v>
      </c>
      <c r="D983" s="13">
        <v>76.47</v>
      </c>
      <c r="E983" s="13">
        <v>120</v>
      </c>
      <c r="G983" s="17">
        <f t="shared" si="51"/>
        <v>117.64615384615384</v>
      </c>
      <c r="H983" s="27" t="str">
        <f t="shared" si="52"/>
        <v>POSITIVO</v>
      </c>
      <c r="J983" s="17">
        <f t="shared" si="53"/>
        <v>109.24285714285715</v>
      </c>
    </row>
    <row r="984" spans="2:10">
      <c r="B984" t="s">
        <v>399</v>
      </c>
      <c r="C984" s="24" t="s">
        <v>27</v>
      </c>
      <c r="D984" s="25">
        <v>20.14</v>
      </c>
      <c r="E984" s="26">
        <v>32</v>
      </c>
      <c r="G984" s="17">
        <f t="shared" si="51"/>
        <v>30.984615384615385</v>
      </c>
      <c r="H984" s="27" t="str">
        <f t="shared" si="52"/>
        <v>POSITIVO</v>
      </c>
      <c r="J984" s="17">
        <f t="shared" si="53"/>
        <v>28.771428571428576</v>
      </c>
    </row>
    <row r="985" spans="2:10">
      <c r="B985" t="s">
        <v>400</v>
      </c>
      <c r="C985" s="24" t="s">
        <v>27</v>
      </c>
      <c r="D985" s="25">
        <v>26.42</v>
      </c>
      <c r="E985" s="26">
        <v>43.9</v>
      </c>
      <c r="G985" s="17">
        <f t="shared" si="51"/>
        <v>40.646153846153844</v>
      </c>
      <c r="H985" s="27" t="str">
        <f t="shared" si="52"/>
        <v>POSITIVO</v>
      </c>
      <c r="J985" s="17">
        <f t="shared" si="53"/>
        <v>37.742857142857147</v>
      </c>
    </row>
    <row r="986" spans="2:10">
      <c r="B986" t="s">
        <v>921</v>
      </c>
      <c r="C986" s="24" t="s">
        <v>27</v>
      </c>
      <c r="D986" s="13">
        <v>37.54</v>
      </c>
      <c r="E986" s="13">
        <v>64.5</v>
      </c>
      <c r="G986" s="17">
        <f t="shared" si="51"/>
        <v>57.753846153846148</v>
      </c>
      <c r="H986" s="27" t="str">
        <f t="shared" si="52"/>
        <v>POSITIVO</v>
      </c>
      <c r="J986" s="17">
        <f t="shared" si="53"/>
        <v>53.628571428571433</v>
      </c>
    </row>
    <row r="987" spans="2:10">
      <c r="B987" t="s">
        <v>1149</v>
      </c>
      <c r="C987" s="24" t="s">
        <v>27</v>
      </c>
      <c r="D987" s="13">
        <v>22.54</v>
      </c>
      <c r="E987" s="13">
        <v>35</v>
      </c>
      <c r="G987" s="17">
        <f t="shared" si="51"/>
        <v>34.676923076923075</v>
      </c>
      <c r="H987" s="27" t="str">
        <f t="shared" si="52"/>
        <v>POSITIVO</v>
      </c>
      <c r="J987" s="17">
        <f t="shared" si="53"/>
        <v>32.200000000000003</v>
      </c>
    </row>
    <row r="988" spans="2:10">
      <c r="B988" t="s">
        <v>1525</v>
      </c>
      <c r="C988" s="30" t="s">
        <v>27</v>
      </c>
      <c r="D988" s="13">
        <v>74.56</v>
      </c>
      <c r="E988" s="13">
        <v>115</v>
      </c>
      <c r="G988" s="17">
        <f t="shared" si="51"/>
        <v>114.70769230769231</v>
      </c>
      <c r="H988" s="27" t="str">
        <f t="shared" si="52"/>
        <v>POSITIVO</v>
      </c>
      <c r="J988" s="17">
        <f t="shared" si="53"/>
        <v>106.51428571428572</v>
      </c>
    </row>
    <row r="989" spans="2:10">
      <c r="B989" t="s">
        <v>773</v>
      </c>
      <c r="C989" s="24" t="s">
        <v>27</v>
      </c>
      <c r="D989" s="25">
        <v>19.48</v>
      </c>
      <c r="E989" s="26">
        <v>30</v>
      </c>
      <c r="G989" s="17">
        <f t="shared" si="51"/>
        <v>29.969230769230769</v>
      </c>
      <c r="H989" s="27" t="str">
        <f t="shared" si="52"/>
        <v>POSITIVO</v>
      </c>
      <c r="J989" s="17">
        <f t="shared" si="53"/>
        <v>27.828571428571429</v>
      </c>
    </row>
    <row r="990" spans="2:10">
      <c r="B990" t="s">
        <v>774</v>
      </c>
      <c r="C990" s="24" t="s">
        <v>27</v>
      </c>
      <c r="D990" s="25">
        <v>11.76</v>
      </c>
      <c r="E990" s="26">
        <v>20</v>
      </c>
      <c r="G990" s="17">
        <f t="shared" si="51"/>
        <v>18.092307692307692</v>
      </c>
      <c r="H990" s="27" t="str">
        <f t="shared" si="52"/>
        <v>POSITIVO</v>
      </c>
      <c r="J990" s="17">
        <f t="shared" si="53"/>
        <v>16.8</v>
      </c>
    </row>
    <row r="991" spans="2:10">
      <c r="B991" t="s">
        <v>1148</v>
      </c>
      <c r="C991" s="24" t="s">
        <v>27</v>
      </c>
      <c r="D991" s="13">
        <v>30.39</v>
      </c>
      <c r="E991" s="13">
        <v>47.5</v>
      </c>
      <c r="G991" s="17">
        <f t="shared" si="51"/>
        <v>46.753846153846155</v>
      </c>
      <c r="H991" s="27" t="str">
        <f t="shared" si="52"/>
        <v>POSITIVO</v>
      </c>
      <c r="J991" s="17">
        <f t="shared" si="53"/>
        <v>43.414285714285718</v>
      </c>
    </row>
    <row r="992" spans="2:10">
      <c r="B992" t="s">
        <v>775</v>
      </c>
      <c r="C992" s="24" t="s">
        <v>27</v>
      </c>
      <c r="D992" s="25">
        <v>31.14</v>
      </c>
      <c r="E992" s="26">
        <v>48</v>
      </c>
      <c r="G992" s="17">
        <f t="shared" si="51"/>
        <v>47.907692307692308</v>
      </c>
      <c r="H992" s="27" t="str">
        <f t="shared" si="52"/>
        <v>POSITIVO</v>
      </c>
      <c r="J992" s="17">
        <f t="shared" si="53"/>
        <v>44.485714285714288</v>
      </c>
    </row>
    <row r="993" spans="1:10">
      <c r="B993" t="s">
        <v>776</v>
      </c>
      <c r="C993" s="24" t="s">
        <v>27</v>
      </c>
      <c r="D993" s="25">
        <v>27.75</v>
      </c>
      <c r="E993" s="26">
        <v>45</v>
      </c>
      <c r="G993" s="17">
        <f t="shared" si="51"/>
        <v>42.692307692307693</v>
      </c>
      <c r="H993" s="27" t="str">
        <f t="shared" si="52"/>
        <v>POSITIVO</v>
      </c>
      <c r="J993" s="17">
        <f t="shared" si="53"/>
        <v>39.642857142857146</v>
      </c>
    </row>
    <row r="994" spans="1:10">
      <c r="B994" t="s">
        <v>401</v>
      </c>
      <c r="C994" s="24" t="s">
        <v>27</v>
      </c>
      <c r="D994" s="25">
        <v>44</v>
      </c>
      <c r="E994" s="26">
        <v>60</v>
      </c>
      <c r="G994" s="17">
        <f t="shared" si="51"/>
        <v>67.692307692307693</v>
      </c>
      <c r="H994" s="27" t="str">
        <f t="shared" si="52"/>
        <v>NEGATIVO</v>
      </c>
      <c r="J994" s="17">
        <f t="shared" si="53"/>
        <v>62.857142857142861</v>
      </c>
    </row>
    <row r="995" spans="1:10">
      <c r="B995" t="s">
        <v>402</v>
      </c>
      <c r="C995" s="24" t="s">
        <v>27</v>
      </c>
      <c r="D995" s="25">
        <v>45</v>
      </c>
      <c r="E995" s="26">
        <v>65</v>
      </c>
      <c r="G995" s="17">
        <f t="shared" si="51"/>
        <v>69.230769230769226</v>
      </c>
      <c r="H995" s="27" t="str">
        <f t="shared" si="52"/>
        <v>NEGATIVO</v>
      </c>
      <c r="J995" s="17">
        <f t="shared" si="53"/>
        <v>64.285714285714292</v>
      </c>
    </row>
    <row r="996" spans="1:10">
      <c r="B996" t="s">
        <v>403</v>
      </c>
      <c r="C996" s="24" t="s">
        <v>27</v>
      </c>
      <c r="D996" s="25">
        <v>70</v>
      </c>
      <c r="E996" s="26">
        <v>100</v>
      </c>
      <c r="G996" s="17">
        <f t="shared" si="51"/>
        <v>107.69230769230769</v>
      </c>
      <c r="H996" s="27" t="str">
        <f t="shared" si="52"/>
        <v>NEGATIVO</v>
      </c>
      <c r="J996" s="17">
        <f t="shared" si="53"/>
        <v>100</v>
      </c>
    </row>
    <row r="997" spans="1:10">
      <c r="B997" t="s">
        <v>404</v>
      </c>
      <c r="C997" s="24" t="s">
        <v>27</v>
      </c>
      <c r="D997" s="25">
        <v>4.6500000000000004</v>
      </c>
      <c r="E997" s="26">
        <v>9</v>
      </c>
      <c r="G997" s="17">
        <f t="shared" si="51"/>
        <v>7.1538461538461542</v>
      </c>
      <c r="H997" s="27" t="str">
        <f t="shared" si="52"/>
        <v>POSITIVO</v>
      </c>
      <c r="J997" s="17">
        <f t="shared" si="53"/>
        <v>6.6428571428571441</v>
      </c>
    </row>
    <row r="998" spans="1:10">
      <c r="B998" t="s">
        <v>917</v>
      </c>
      <c r="C998" s="24" t="s">
        <v>27</v>
      </c>
      <c r="D998" s="13">
        <v>9.0299999999999994</v>
      </c>
      <c r="E998" s="13">
        <v>15.5</v>
      </c>
      <c r="G998" s="17">
        <f t="shared" si="51"/>
        <v>13.892307692307691</v>
      </c>
      <c r="H998" s="27" t="str">
        <f t="shared" si="52"/>
        <v>POSITIVO</v>
      </c>
      <c r="J998" s="17">
        <f t="shared" si="53"/>
        <v>12.9</v>
      </c>
    </row>
    <row r="999" spans="1:10">
      <c r="B999" t="s">
        <v>985</v>
      </c>
      <c r="C999" s="30" t="s">
        <v>27</v>
      </c>
      <c r="D999" s="13">
        <v>38</v>
      </c>
      <c r="E999" s="13">
        <v>60</v>
      </c>
      <c r="G999" s="17">
        <f t="shared" si="51"/>
        <v>58.46153846153846</v>
      </c>
      <c r="H999" s="27" t="str">
        <f t="shared" si="52"/>
        <v>POSITIVO</v>
      </c>
      <c r="J999" s="17">
        <f t="shared" si="53"/>
        <v>54.285714285714292</v>
      </c>
    </row>
    <row r="1000" spans="1:10">
      <c r="B1000" t="s">
        <v>405</v>
      </c>
      <c r="C1000" s="24" t="s">
        <v>27</v>
      </c>
      <c r="D1000" s="25">
        <v>19.670000000000002</v>
      </c>
      <c r="E1000" s="25">
        <v>35</v>
      </c>
      <c r="G1000" s="17">
        <f t="shared" si="51"/>
        <v>30.261538461538464</v>
      </c>
      <c r="H1000" s="27" t="str">
        <f t="shared" si="52"/>
        <v>POSITIVO</v>
      </c>
      <c r="J1000" s="17">
        <f t="shared" si="53"/>
        <v>28.100000000000005</v>
      </c>
    </row>
    <row r="1001" spans="1:10">
      <c r="B1001" t="s">
        <v>1259</v>
      </c>
      <c r="C1001" s="30" t="s">
        <v>27</v>
      </c>
      <c r="D1001" s="13">
        <v>15.74</v>
      </c>
      <c r="E1001" s="13">
        <v>25.6</v>
      </c>
      <c r="G1001" s="17">
        <f t="shared" si="51"/>
        <v>24.215384615384615</v>
      </c>
      <c r="H1001" s="27" t="str">
        <f t="shared" si="52"/>
        <v>POSITIVO</v>
      </c>
      <c r="J1001" s="17">
        <f t="shared" si="53"/>
        <v>22.485714285714288</v>
      </c>
    </row>
    <row r="1002" spans="1:10">
      <c r="B1002" t="s">
        <v>891</v>
      </c>
      <c r="C1002" s="30" t="s">
        <v>27</v>
      </c>
      <c r="D1002" s="34">
        <v>4.99</v>
      </c>
      <c r="E1002" s="35">
        <v>11.9</v>
      </c>
      <c r="G1002" s="17">
        <f t="shared" si="51"/>
        <v>7.6769230769230772</v>
      </c>
      <c r="H1002" s="27" t="str">
        <f t="shared" si="52"/>
        <v>POSITIVO</v>
      </c>
      <c r="J1002" s="17">
        <f t="shared" si="53"/>
        <v>7.128571428571429</v>
      </c>
    </row>
    <row r="1003" spans="1:10">
      <c r="B1003" t="s">
        <v>972</v>
      </c>
      <c r="C1003" s="30" t="s">
        <v>27</v>
      </c>
      <c r="D1003" s="13">
        <v>71.900000000000006</v>
      </c>
      <c r="E1003" s="13">
        <v>112</v>
      </c>
      <c r="G1003" s="17">
        <f t="shared" si="51"/>
        <v>110.61538461538463</v>
      </c>
      <c r="H1003" s="27" t="str">
        <f t="shared" si="52"/>
        <v>POSITIVO</v>
      </c>
      <c r="J1003" s="17">
        <f t="shared" si="53"/>
        <v>102.71428571428572</v>
      </c>
    </row>
    <row r="1004" spans="1:10">
      <c r="B1004" t="s">
        <v>1292</v>
      </c>
      <c r="C1004" s="30" t="s">
        <v>27</v>
      </c>
      <c r="D1004" s="13">
        <v>17.899999999999999</v>
      </c>
      <c r="E1004" s="13">
        <v>30</v>
      </c>
      <c r="G1004" s="17">
        <f t="shared" si="51"/>
        <v>27.538461538461537</v>
      </c>
      <c r="H1004" s="27" t="str">
        <f t="shared" si="52"/>
        <v>POSITIVO</v>
      </c>
      <c r="J1004" s="17">
        <f t="shared" si="53"/>
        <v>25.571428571428569</v>
      </c>
    </row>
    <row r="1005" spans="1:10">
      <c r="B1005" t="s">
        <v>406</v>
      </c>
      <c r="C1005" s="24" t="s">
        <v>27</v>
      </c>
      <c r="D1005" s="25">
        <v>53.8</v>
      </c>
      <c r="E1005" s="26">
        <v>85</v>
      </c>
      <c r="G1005" s="17">
        <f t="shared" si="51"/>
        <v>82.769230769230759</v>
      </c>
      <c r="H1005" s="27" t="str">
        <f t="shared" si="52"/>
        <v>POSITIVO</v>
      </c>
      <c r="J1005" s="17">
        <f t="shared" si="53"/>
        <v>76.857142857142861</v>
      </c>
    </row>
    <row r="1006" spans="1:10">
      <c r="B1006" t="s">
        <v>1109</v>
      </c>
      <c r="C1006" s="24" t="s">
        <v>27</v>
      </c>
      <c r="D1006" s="25">
        <v>5.2</v>
      </c>
      <c r="E1006" s="26">
        <v>8.3000000000000007</v>
      </c>
      <c r="G1006" s="17">
        <f t="shared" si="51"/>
        <v>8</v>
      </c>
      <c r="H1006" s="27" t="str">
        <f t="shared" si="52"/>
        <v>POSITIVO</v>
      </c>
      <c r="J1006" s="17">
        <f t="shared" si="53"/>
        <v>7.4285714285714297</v>
      </c>
    </row>
    <row r="1007" spans="1:10">
      <c r="A1007" s="61" t="s">
        <v>2510</v>
      </c>
      <c r="B1007" t="s">
        <v>1110</v>
      </c>
      <c r="C1007" s="24" t="s">
        <v>27</v>
      </c>
      <c r="D1007" s="25">
        <v>4.8</v>
      </c>
      <c r="E1007" s="25">
        <v>8.5</v>
      </c>
      <c r="G1007" s="17">
        <f t="shared" si="51"/>
        <v>7.3846153846153841</v>
      </c>
      <c r="H1007" s="27" t="str">
        <f t="shared" si="52"/>
        <v>POSITIVO</v>
      </c>
      <c r="J1007" s="17">
        <f t="shared" si="53"/>
        <v>6.8571428571428577</v>
      </c>
    </row>
    <row r="1008" spans="1:10">
      <c r="A1008" s="61" t="s">
        <v>2511</v>
      </c>
      <c r="B1008" t="s">
        <v>1111</v>
      </c>
      <c r="C1008" s="24" t="s">
        <v>27</v>
      </c>
      <c r="D1008" s="25">
        <v>8.33</v>
      </c>
      <c r="E1008" s="26">
        <v>13.2</v>
      </c>
      <c r="G1008" s="17">
        <f t="shared" si="51"/>
        <v>12.815384615384614</v>
      </c>
      <c r="H1008" s="27" t="str">
        <f t="shared" si="52"/>
        <v>POSITIVO</v>
      </c>
      <c r="J1008" s="17">
        <f t="shared" si="53"/>
        <v>11.9</v>
      </c>
    </row>
    <row r="1009" spans="1:10">
      <c r="B1009" t="s">
        <v>1112</v>
      </c>
      <c r="C1009" s="24" t="s">
        <v>27</v>
      </c>
      <c r="D1009" s="25">
        <v>11.99</v>
      </c>
      <c r="E1009" s="26">
        <v>19.5</v>
      </c>
      <c r="G1009" s="17">
        <f t="shared" ref="G1009:G1062" si="54">(D1009/65%)</f>
        <v>18.446153846153845</v>
      </c>
      <c r="H1009" s="27" t="str">
        <f t="shared" ref="H1009:H1062" si="55">IF(E1009&gt;=G1009,"POSITIVO","NEGATIVO")</f>
        <v>POSITIVO</v>
      </c>
      <c r="J1009" s="17">
        <f t="shared" ref="J1009:J1062" si="56">D1009/70%</f>
        <v>17.12857142857143</v>
      </c>
    </row>
    <row r="1010" spans="1:10">
      <c r="A1010" s="61" t="s">
        <v>2506</v>
      </c>
      <c r="B1010" t="s">
        <v>1114</v>
      </c>
      <c r="C1010" s="24" t="s">
        <v>27</v>
      </c>
      <c r="D1010" s="25">
        <v>3.4</v>
      </c>
      <c r="E1010" s="25">
        <v>7</v>
      </c>
      <c r="G1010" s="17">
        <f t="shared" si="54"/>
        <v>5.2307692307692308</v>
      </c>
      <c r="H1010" s="27" t="str">
        <f t="shared" si="55"/>
        <v>POSITIVO</v>
      </c>
      <c r="J1010" s="17">
        <f t="shared" si="56"/>
        <v>4.8571428571428577</v>
      </c>
    </row>
    <row r="1011" spans="1:10">
      <c r="A1011" s="61" t="s">
        <v>2507</v>
      </c>
      <c r="B1011" t="s">
        <v>1113</v>
      </c>
      <c r="C1011" s="24" t="s">
        <v>27</v>
      </c>
      <c r="D1011" s="25">
        <v>6.9</v>
      </c>
      <c r="E1011" s="26">
        <v>10.9</v>
      </c>
      <c r="G1011" s="17">
        <f t="shared" si="54"/>
        <v>10.615384615384615</v>
      </c>
      <c r="H1011" s="27" t="str">
        <f t="shared" si="55"/>
        <v>POSITIVO</v>
      </c>
      <c r="J1011" s="17">
        <f t="shared" si="56"/>
        <v>9.8571428571428577</v>
      </c>
    </row>
    <row r="1012" spans="1:10">
      <c r="A1012" s="61" t="s">
        <v>2509</v>
      </c>
      <c r="B1012" t="s">
        <v>2508</v>
      </c>
      <c r="C1012" s="30" t="s">
        <v>27</v>
      </c>
      <c r="D1012" s="13">
        <v>9.9</v>
      </c>
      <c r="E1012" s="13">
        <v>15.5</v>
      </c>
      <c r="G1012" s="17">
        <f t="shared" si="54"/>
        <v>15.23076923076923</v>
      </c>
      <c r="H1012" s="27" t="str">
        <f t="shared" si="55"/>
        <v>POSITIVO</v>
      </c>
      <c r="J1012" s="17">
        <f t="shared" si="56"/>
        <v>14.142857142857144</v>
      </c>
    </row>
    <row r="1013" spans="1:10">
      <c r="A1013" s="61" t="s">
        <v>2512</v>
      </c>
      <c r="B1013" t="s">
        <v>1115</v>
      </c>
      <c r="C1013" s="24" t="s">
        <v>27</v>
      </c>
      <c r="D1013" s="25">
        <v>6.85</v>
      </c>
      <c r="E1013" s="26">
        <v>10.8</v>
      </c>
      <c r="G1013" s="17">
        <f t="shared" si="54"/>
        <v>10.538461538461538</v>
      </c>
      <c r="H1013" s="27" t="str">
        <f t="shared" si="55"/>
        <v>POSITIVO</v>
      </c>
      <c r="J1013" s="17">
        <f t="shared" si="56"/>
        <v>9.7857142857142865</v>
      </c>
    </row>
    <row r="1014" spans="1:10">
      <c r="A1014" s="61" t="s">
        <v>2513</v>
      </c>
      <c r="B1014" t="s">
        <v>1116</v>
      </c>
      <c r="C1014" s="30" t="s">
        <v>27</v>
      </c>
      <c r="D1014" s="13">
        <v>10.99</v>
      </c>
      <c r="E1014" s="13">
        <v>17.2</v>
      </c>
      <c r="G1014" s="17">
        <f t="shared" si="54"/>
        <v>16.907692307692308</v>
      </c>
      <c r="H1014" s="27" t="str">
        <f t="shared" si="55"/>
        <v>POSITIVO</v>
      </c>
      <c r="J1014" s="17">
        <f t="shared" si="56"/>
        <v>15.700000000000001</v>
      </c>
    </row>
    <row r="1015" spans="1:10">
      <c r="A1015" s="61" t="s">
        <v>2517</v>
      </c>
      <c r="B1015" t="s">
        <v>1564</v>
      </c>
      <c r="C1015" s="30" t="s">
        <v>27</v>
      </c>
      <c r="D1015" s="13">
        <v>4.9000000000000004</v>
      </c>
      <c r="E1015" s="13">
        <v>8.3000000000000007</v>
      </c>
      <c r="G1015" s="17">
        <f t="shared" si="54"/>
        <v>7.5384615384615383</v>
      </c>
      <c r="H1015" s="27" t="str">
        <f t="shared" si="55"/>
        <v>POSITIVO</v>
      </c>
      <c r="J1015" s="17">
        <f t="shared" si="56"/>
        <v>7.0000000000000009</v>
      </c>
    </row>
    <row r="1016" spans="1:10">
      <c r="A1016" s="61" t="s">
        <v>2516</v>
      </c>
      <c r="B1016" t="s">
        <v>1565</v>
      </c>
      <c r="C1016" s="30" t="s">
        <v>27</v>
      </c>
      <c r="D1016" s="13">
        <v>5.6</v>
      </c>
      <c r="E1016" s="13">
        <v>9.5</v>
      </c>
      <c r="G1016" s="17">
        <f t="shared" si="54"/>
        <v>8.615384615384615</v>
      </c>
      <c r="H1016" s="27" t="str">
        <f t="shared" si="55"/>
        <v>POSITIVO</v>
      </c>
      <c r="J1016" s="17">
        <f t="shared" si="56"/>
        <v>8</v>
      </c>
    </row>
    <row r="1017" spans="1:10">
      <c r="A1017" s="61" t="s">
        <v>2514</v>
      </c>
      <c r="B1017" t="s">
        <v>1105</v>
      </c>
      <c r="C1017" s="30" t="s">
        <v>27</v>
      </c>
      <c r="D1017" s="13">
        <v>1.4</v>
      </c>
      <c r="E1017" s="13">
        <v>3</v>
      </c>
      <c r="G1017" s="17">
        <f t="shared" si="54"/>
        <v>2.1538461538461537</v>
      </c>
      <c r="H1017" s="27" t="str">
        <f t="shared" si="55"/>
        <v>POSITIVO</v>
      </c>
      <c r="J1017" s="17">
        <f t="shared" si="56"/>
        <v>2</v>
      </c>
    </row>
    <row r="1018" spans="1:10">
      <c r="A1018" s="61" t="s">
        <v>2515</v>
      </c>
      <c r="B1018" t="s">
        <v>1106</v>
      </c>
      <c r="C1018" s="30" t="s">
        <v>27</v>
      </c>
      <c r="D1018" s="13">
        <v>1.4</v>
      </c>
      <c r="E1018" s="13">
        <v>3.5</v>
      </c>
      <c r="G1018" s="17">
        <f t="shared" si="54"/>
        <v>2.1538461538461537</v>
      </c>
      <c r="H1018" s="27" t="str">
        <f t="shared" si="55"/>
        <v>POSITIVO</v>
      </c>
      <c r="J1018" s="17">
        <f t="shared" si="56"/>
        <v>2</v>
      </c>
    </row>
    <row r="1019" spans="1:10">
      <c r="A1019" s="61" t="s">
        <v>2504</v>
      </c>
      <c r="B1019" t="s">
        <v>847</v>
      </c>
      <c r="C1019" s="30" t="s">
        <v>27</v>
      </c>
      <c r="D1019" s="13">
        <v>27.6</v>
      </c>
      <c r="E1019" s="13">
        <v>45</v>
      </c>
      <c r="G1019" s="17">
        <f t="shared" si="54"/>
        <v>42.46153846153846</v>
      </c>
      <c r="H1019" s="27" t="str">
        <f t="shared" si="55"/>
        <v>POSITIVO</v>
      </c>
      <c r="J1019" s="17">
        <f t="shared" si="56"/>
        <v>39.428571428571431</v>
      </c>
    </row>
    <row r="1020" spans="1:10">
      <c r="A1020" s="61" t="s">
        <v>2502</v>
      </c>
      <c r="B1020" t="s">
        <v>407</v>
      </c>
      <c r="C1020" s="24" t="s">
        <v>27</v>
      </c>
      <c r="D1020" s="25">
        <v>12.99</v>
      </c>
      <c r="E1020" s="26">
        <v>20</v>
      </c>
      <c r="G1020" s="17">
        <f t="shared" si="54"/>
        <v>19.984615384615385</v>
      </c>
      <c r="H1020" s="27" t="str">
        <f t="shared" si="55"/>
        <v>POSITIVO</v>
      </c>
      <c r="J1020" s="17">
        <f t="shared" si="56"/>
        <v>18.557142857142857</v>
      </c>
    </row>
    <row r="1021" spans="1:10">
      <c r="A1021" s="61" t="s">
        <v>2503</v>
      </c>
      <c r="B1021" t="s">
        <v>408</v>
      </c>
      <c r="C1021" s="24" t="s">
        <v>27</v>
      </c>
      <c r="D1021" s="25">
        <v>15.99</v>
      </c>
      <c r="E1021" s="26">
        <v>27</v>
      </c>
      <c r="G1021" s="17">
        <f t="shared" si="54"/>
        <v>24.599999999999998</v>
      </c>
      <c r="H1021" s="27" t="str">
        <f t="shared" si="55"/>
        <v>POSITIVO</v>
      </c>
      <c r="J1021" s="17">
        <f t="shared" si="56"/>
        <v>22.842857142857145</v>
      </c>
    </row>
    <row r="1022" spans="1:10">
      <c r="A1022" s="61" t="s">
        <v>2524</v>
      </c>
      <c r="B1022" t="s">
        <v>2523</v>
      </c>
      <c r="C1022" s="24" t="s">
        <v>27</v>
      </c>
      <c r="D1022" s="25">
        <v>2.99</v>
      </c>
      <c r="E1022" s="26">
        <v>7</v>
      </c>
      <c r="G1022" s="17">
        <f t="shared" si="54"/>
        <v>4.6000000000000005</v>
      </c>
      <c r="H1022" s="27" t="str">
        <f t="shared" si="55"/>
        <v>POSITIVO</v>
      </c>
      <c r="J1022" s="17">
        <f t="shared" si="56"/>
        <v>4.2714285714285722</v>
      </c>
    </row>
    <row r="1023" spans="1:10">
      <c r="B1023" t="s">
        <v>409</v>
      </c>
      <c r="C1023" s="24" t="s">
        <v>27</v>
      </c>
      <c r="D1023" s="25">
        <v>2.19</v>
      </c>
      <c r="E1023" s="26">
        <v>5</v>
      </c>
      <c r="G1023" s="17">
        <f t="shared" si="54"/>
        <v>3.3692307692307693</v>
      </c>
      <c r="H1023" s="27" t="str">
        <f t="shared" si="55"/>
        <v>POSITIVO</v>
      </c>
      <c r="J1023" s="17">
        <f t="shared" si="56"/>
        <v>3.1285714285714286</v>
      </c>
    </row>
    <row r="1024" spans="1:10">
      <c r="B1024" t="s">
        <v>1679</v>
      </c>
      <c r="C1024" s="30" t="s">
        <v>27</v>
      </c>
      <c r="D1024" s="13">
        <v>4.4400000000000004</v>
      </c>
      <c r="E1024" s="13">
        <v>10</v>
      </c>
      <c r="G1024" s="17">
        <f t="shared" si="54"/>
        <v>6.8307692307692314</v>
      </c>
      <c r="H1024" s="27" t="str">
        <f t="shared" si="55"/>
        <v>POSITIVO</v>
      </c>
      <c r="J1024" s="17">
        <f t="shared" si="56"/>
        <v>6.3428571428571434</v>
      </c>
    </row>
    <row r="1025" spans="2:10">
      <c r="B1025" t="s">
        <v>410</v>
      </c>
      <c r="C1025" s="24" t="s">
        <v>27</v>
      </c>
      <c r="D1025" s="25">
        <v>30.9</v>
      </c>
      <c r="E1025" s="26">
        <v>48</v>
      </c>
      <c r="G1025" s="17">
        <f t="shared" si="54"/>
        <v>47.538461538461533</v>
      </c>
      <c r="H1025" s="27" t="str">
        <f t="shared" si="55"/>
        <v>POSITIVO</v>
      </c>
      <c r="J1025" s="17">
        <f t="shared" si="56"/>
        <v>44.142857142857146</v>
      </c>
    </row>
    <row r="1026" spans="2:10">
      <c r="B1026" t="s">
        <v>1975</v>
      </c>
      <c r="C1026" s="30" t="s">
        <v>27</v>
      </c>
      <c r="D1026" s="13">
        <v>35.99</v>
      </c>
      <c r="E1026" s="13">
        <v>58</v>
      </c>
      <c r="G1026" s="17">
        <f t="shared" si="54"/>
        <v>55.369230769230768</v>
      </c>
      <c r="H1026" s="27" t="str">
        <f t="shared" si="55"/>
        <v>POSITIVO</v>
      </c>
      <c r="J1026" s="17">
        <f t="shared" si="56"/>
        <v>51.414285714285718</v>
      </c>
    </row>
    <row r="1027" spans="2:10">
      <c r="B1027" t="s">
        <v>889</v>
      </c>
      <c r="C1027" s="24" t="s">
        <v>27</v>
      </c>
      <c r="D1027" s="13">
        <v>18.5</v>
      </c>
      <c r="E1027" s="13">
        <v>32</v>
      </c>
      <c r="G1027" s="17">
        <f t="shared" si="54"/>
        <v>28.46153846153846</v>
      </c>
      <c r="H1027" s="27" t="str">
        <f t="shared" si="55"/>
        <v>POSITIVO</v>
      </c>
      <c r="J1027" s="17">
        <f t="shared" si="56"/>
        <v>26.428571428571431</v>
      </c>
    </row>
    <row r="1028" spans="2:10">
      <c r="B1028" t="s">
        <v>1931</v>
      </c>
      <c r="C1028" s="30" t="s">
        <v>27</v>
      </c>
      <c r="D1028" s="13">
        <v>26.9</v>
      </c>
      <c r="E1028" s="13">
        <v>45</v>
      </c>
      <c r="G1028" s="17">
        <f t="shared" si="54"/>
        <v>41.38461538461538</v>
      </c>
      <c r="H1028" s="27" t="str">
        <f t="shared" si="55"/>
        <v>POSITIVO</v>
      </c>
      <c r="J1028" s="17">
        <f t="shared" si="56"/>
        <v>38.428571428571431</v>
      </c>
    </row>
    <row r="1029" spans="2:10">
      <c r="B1029" t="s">
        <v>1783</v>
      </c>
      <c r="C1029" s="30" t="s">
        <v>27</v>
      </c>
      <c r="D1029" s="13">
        <v>66.989999999999995</v>
      </c>
      <c r="E1029" s="13">
        <v>104.9</v>
      </c>
      <c r="G1029" s="17">
        <f t="shared" si="54"/>
        <v>103.06153846153845</v>
      </c>
      <c r="H1029" s="27" t="str">
        <f t="shared" si="55"/>
        <v>POSITIVO</v>
      </c>
      <c r="J1029" s="17">
        <f t="shared" si="56"/>
        <v>95.7</v>
      </c>
    </row>
    <row r="1030" spans="2:10">
      <c r="B1030" t="s">
        <v>884</v>
      </c>
      <c r="C1030" s="30" t="s">
        <v>46</v>
      </c>
      <c r="D1030" s="25">
        <v>32.979999999999997</v>
      </c>
      <c r="E1030" s="13">
        <v>51</v>
      </c>
      <c r="G1030" s="17">
        <f t="shared" si="54"/>
        <v>50.738461538461529</v>
      </c>
      <c r="H1030" s="27" t="str">
        <f t="shared" si="55"/>
        <v>POSITIVO</v>
      </c>
      <c r="J1030" s="17">
        <f t="shared" si="56"/>
        <v>47.114285714285714</v>
      </c>
    </row>
    <row r="1031" spans="2:10">
      <c r="B1031" t="s">
        <v>966</v>
      </c>
      <c r="C1031" s="30" t="s">
        <v>27</v>
      </c>
      <c r="D1031" s="13">
        <v>8</v>
      </c>
      <c r="E1031" s="13">
        <v>13.2</v>
      </c>
      <c r="G1031" s="17">
        <f t="shared" si="54"/>
        <v>12.307692307692307</v>
      </c>
      <c r="H1031" s="27" t="str">
        <f t="shared" si="55"/>
        <v>POSITIVO</v>
      </c>
      <c r="J1031" s="17">
        <f t="shared" si="56"/>
        <v>11.428571428571429</v>
      </c>
    </row>
    <row r="1032" spans="2:10">
      <c r="B1032" t="s">
        <v>964</v>
      </c>
      <c r="C1032" s="30" t="s">
        <v>27</v>
      </c>
      <c r="D1032" s="13">
        <v>18.5</v>
      </c>
      <c r="E1032" s="13">
        <v>29.5</v>
      </c>
      <c r="G1032" s="17">
        <f t="shared" si="54"/>
        <v>28.46153846153846</v>
      </c>
      <c r="H1032" s="27" t="str">
        <f t="shared" si="55"/>
        <v>POSITIVO</v>
      </c>
      <c r="J1032" s="17">
        <f t="shared" si="56"/>
        <v>26.428571428571431</v>
      </c>
    </row>
    <row r="1033" spans="2:10">
      <c r="B1033" t="s">
        <v>965</v>
      </c>
      <c r="C1033" s="30" t="s">
        <v>27</v>
      </c>
      <c r="D1033" s="13">
        <v>17.5</v>
      </c>
      <c r="E1033" s="13">
        <v>27.9</v>
      </c>
      <c r="G1033" s="17">
        <f t="shared" si="54"/>
        <v>26.923076923076923</v>
      </c>
      <c r="H1033" s="27" t="str">
        <f t="shared" si="55"/>
        <v>POSITIVO</v>
      </c>
      <c r="J1033" s="17">
        <f t="shared" si="56"/>
        <v>25</v>
      </c>
    </row>
    <row r="1034" spans="2:10">
      <c r="B1034" t="s">
        <v>1537</v>
      </c>
      <c r="C1034" s="30" t="s">
        <v>27</v>
      </c>
      <c r="D1034" s="13">
        <v>12</v>
      </c>
      <c r="E1034" s="13">
        <v>21.9</v>
      </c>
      <c r="G1034" s="17">
        <f t="shared" si="54"/>
        <v>18.46153846153846</v>
      </c>
      <c r="H1034" s="27" t="str">
        <f t="shared" si="55"/>
        <v>POSITIVO</v>
      </c>
      <c r="J1034" s="17">
        <f t="shared" si="56"/>
        <v>17.142857142857142</v>
      </c>
    </row>
    <row r="1035" spans="2:10">
      <c r="B1035" t="s">
        <v>1538</v>
      </c>
      <c r="C1035" s="30" t="s">
        <v>27</v>
      </c>
      <c r="D1035" s="13">
        <v>11</v>
      </c>
      <c r="E1035" s="13">
        <v>20.9</v>
      </c>
      <c r="G1035" s="17">
        <f t="shared" si="54"/>
        <v>16.923076923076923</v>
      </c>
      <c r="H1035" s="27" t="str">
        <f t="shared" si="55"/>
        <v>POSITIVO</v>
      </c>
      <c r="J1035" s="17">
        <f t="shared" si="56"/>
        <v>15.714285714285715</v>
      </c>
    </row>
    <row r="1036" spans="2:10">
      <c r="B1036" t="s">
        <v>963</v>
      </c>
      <c r="C1036" s="30" t="s">
        <v>27</v>
      </c>
      <c r="D1036" s="13">
        <v>12</v>
      </c>
      <c r="E1036" s="13">
        <v>19.5</v>
      </c>
      <c r="G1036" s="17">
        <f t="shared" si="54"/>
        <v>18.46153846153846</v>
      </c>
      <c r="H1036" s="27" t="str">
        <f t="shared" si="55"/>
        <v>POSITIVO</v>
      </c>
      <c r="J1036" s="17">
        <f t="shared" si="56"/>
        <v>17.142857142857142</v>
      </c>
    </row>
    <row r="1037" spans="2:10">
      <c r="B1037" t="s">
        <v>967</v>
      </c>
      <c r="C1037" s="30" t="s">
        <v>27</v>
      </c>
      <c r="D1037" s="13">
        <v>6</v>
      </c>
      <c r="E1037" s="13">
        <v>12</v>
      </c>
      <c r="G1037" s="17">
        <f t="shared" si="54"/>
        <v>9.2307692307692299</v>
      </c>
      <c r="H1037" s="27" t="str">
        <f t="shared" si="55"/>
        <v>POSITIVO</v>
      </c>
      <c r="J1037" s="17">
        <f t="shared" si="56"/>
        <v>8.5714285714285712</v>
      </c>
    </row>
    <row r="1038" spans="2:10">
      <c r="B1038" t="s">
        <v>1536</v>
      </c>
      <c r="C1038" s="30" t="s">
        <v>27</v>
      </c>
      <c r="D1038" s="13">
        <v>12.5</v>
      </c>
      <c r="E1038" s="13">
        <v>23</v>
      </c>
      <c r="G1038" s="17">
        <f t="shared" si="54"/>
        <v>19.23076923076923</v>
      </c>
      <c r="H1038" s="27" t="str">
        <f t="shared" si="55"/>
        <v>POSITIVO</v>
      </c>
      <c r="J1038" s="17">
        <f t="shared" si="56"/>
        <v>17.857142857142858</v>
      </c>
    </row>
    <row r="1039" spans="2:10">
      <c r="B1039" t="s">
        <v>1462</v>
      </c>
      <c r="C1039" s="24" t="s">
        <v>27</v>
      </c>
      <c r="D1039" s="25">
        <v>143.6</v>
      </c>
      <c r="E1039" s="26">
        <v>230</v>
      </c>
      <c r="G1039" s="17">
        <f t="shared" si="54"/>
        <v>220.92307692307691</v>
      </c>
      <c r="H1039" s="27" t="str">
        <f t="shared" si="55"/>
        <v>POSITIVO</v>
      </c>
      <c r="J1039" s="17">
        <f t="shared" si="56"/>
        <v>205.14285714285714</v>
      </c>
    </row>
    <row r="1040" spans="2:10">
      <c r="B1040" t="s">
        <v>1430</v>
      </c>
      <c r="C1040" s="30" t="s">
        <v>27</v>
      </c>
      <c r="D1040" s="13">
        <v>83.99</v>
      </c>
      <c r="E1040" s="13">
        <v>130</v>
      </c>
      <c r="G1040" s="17">
        <f t="shared" si="54"/>
        <v>129.21538461538461</v>
      </c>
      <c r="H1040" s="27" t="str">
        <f t="shared" si="55"/>
        <v>POSITIVO</v>
      </c>
      <c r="J1040" s="17">
        <f t="shared" si="56"/>
        <v>119.98571428571428</v>
      </c>
    </row>
    <row r="1041" spans="1:10">
      <c r="B1041" t="s">
        <v>1431</v>
      </c>
      <c r="C1041" s="30" t="s">
        <v>27</v>
      </c>
      <c r="D1041" s="13">
        <v>23.99</v>
      </c>
      <c r="E1041" s="13">
        <v>38</v>
      </c>
      <c r="G1041" s="17">
        <f t="shared" si="54"/>
        <v>36.907692307692301</v>
      </c>
      <c r="H1041" s="27" t="str">
        <f t="shared" si="55"/>
        <v>POSITIVO</v>
      </c>
      <c r="J1041" s="17">
        <f t="shared" si="56"/>
        <v>34.271428571428572</v>
      </c>
    </row>
    <row r="1042" spans="1:10">
      <c r="B1042" t="s">
        <v>411</v>
      </c>
      <c r="C1042" s="24" t="s">
        <v>27</v>
      </c>
      <c r="D1042" s="25">
        <v>2.34</v>
      </c>
      <c r="E1042" s="26">
        <v>3.8</v>
      </c>
      <c r="G1042" s="17">
        <f t="shared" si="54"/>
        <v>3.5999999999999996</v>
      </c>
      <c r="H1042" s="27" t="str">
        <f t="shared" si="55"/>
        <v>POSITIVO</v>
      </c>
      <c r="J1042" s="17">
        <f t="shared" si="56"/>
        <v>3.342857142857143</v>
      </c>
    </row>
    <row r="1043" spans="1:10">
      <c r="B1043" t="s">
        <v>938</v>
      </c>
      <c r="C1043" s="30" t="s">
        <v>27</v>
      </c>
      <c r="D1043" s="13">
        <v>28.7</v>
      </c>
      <c r="E1043" s="13">
        <v>45</v>
      </c>
      <c r="G1043" s="17">
        <f t="shared" si="54"/>
        <v>44.153846153846153</v>
      </c>
      <c r="H1043" s="27" t="str">
        <f t="shared" si="55"/>
        <v>POSITIVO</v>
      </c>
      <c r="J1043" s="17">
        <f t="shared" si="56"/>
        <v>41</v>
      </c>
    </row>
    <row r="1044" spans="1:10">
      <c r="B1044" t="s">
        <v>412</v>
      </c>
      <c r="C1044" s="24" t="s">
        <v>27</v>
      </c>
      <c r="D1044" s="25">
        <v>17.12</v>
      </c>
      <c r="E1044" s="26">
        <v>31.2</v>
      </c>
      <c r="G1044" s="17">
        <f t="shared" si="54"/>
        <v>26.338461538461541</v>
      </c>
      <c r="H1044" s="27" t="str">
        <f t="shared" si="55"/>
        <v>POSITIVO</v>
      </c>
      <c r="J1044" s="17">
        <f t="shared" si="56"/>
        <v>24.457142857142859</v>
      </c>
    </row>
    <row r="1045" spans="1:10">
      <c r="A1045" s="61" t="s">
        <v>2020</v>
      </c>
      <c r="B1045" t="s">
        <v>2019</v>
      </c>
      <c r="C1045" s="30" t="s">
        <v>27</v>
      </c>
      <c r="D1045" s="13">
        <v>14.43</v>
      </c>
      <c r="E1045" s="13">
        <v>26</v>
      </c>
      <c r="G1045" s="17">
        <f t="shared" si="54"/>
        <v>22.2</v>
      </c>
      <c r="H1045" s="27" t="str">
        <f t="shared" si="55"/>
        <v>POSITIVO</v>
      </c>
      <c r="J1045" s="17">
        <f t="shared" si="56"/>
        <v>20.614285714285714</v>
      </c>
    </row>
    <row r="1046" spans="1:10">
      <c r="B1046" t="s">
        <v>413</v>
      </c>
      <c r="C1046" s="24" t="s">
        <v>27</v>
      </c>
      <c r="D1046" s="25">
        <v>0.6</v>
      </c>
      <c r="E1046" s="26">
        <v>1.2</v>
      </c>
      <c r="G1046" s="17">
        <f t="shared" si="54"/>
        <v>0.92307692307692302</v>
      </c>
      <c r="H1046" s="27" t="str">
        <f t="shared" si="55"/>
        <v>POSITIVO</v>
      </c>
      <c r="J1046" s="17">
        <f t="shared" si="56"/>
        <v>0.85714285714285721</v>
      </c>
    </row>
    <row r="1047" spans="1:10">
      <c r="B1047" t="s">
        <v>414</v>
      </c>
      <c r="C1047" s="24" t="s">
        <v>27</v>
      </c>
      <c r="D1047" s="25">
        <v>1.1200000000000001</v>
      </c>
      <c r="E1047" s="26">
        <v>1.8</v>
      </c>
      <c r="G1047" s="17">
        <f t="shared" si="54"/>
        <v>1.7230769230769232</v>
      </c>
      <c r="H1047" s="27" t="str">
        <f t="shared" si="55"/>
        <v>POSITIVO</v>
      </c>
      <c r="J1047" s="17">
        <f t="shared" si="56"/>
        <v>1.6000000000000003</v>
      </c>
    </row>
    <row r="1048" spans="1:10">
      <c r="B1048" t="s">
        <v>415</v>
      </c>
      <c r="C1048" s="24" t="s">
        <v>27</v>
      </c>
      <c r="D1048" s="25">
        <v>0.47</v>
      </c>
      <c r="E1048" s="26">
        <v>0.9</v>
      </c>
      <c r="G1048" s="17">
        <f t="shared" si="54"/>
        <v>0.72307692307692306</v>
      </c>
      <c r="H1048" s="27" t="str">
        <f t="shared" si="55"/>
        <v>POSITIVO</v>
      </c>
      <c r="J1048" s="17">
        <f t="shared" si="56"/>
        <v>0.67142857142857149</v>
      </c>
    </row>
    <row r="1049" spans="1:10">
      <c r="B1049" t="s">
        <v>1334</v>
      </c>
      <c r="C1049" s="30" t="s">
        <v>27</v>
      </c>
      <c r="D1049" s="13">
        <v>490.37</v>
      </c>
      <c r="E1049" s="13">
        <v>755</v>
      </c>
      <c r="G1049" s="17">
        <f t="shared" si="54"/>
        <v>754.4153846153846</v>
      </c>
      <c r="H1049" s="27" t="str">
        <f t="shared" si="55"/>
        <v>POSITIVO</v>
      </c>
      <c r="J1049" s="17">
        <f t="shared" si="56"/>
        <v>700.52857142857147</v>
      </c>
    </row>
    <row r="1050" spans="1:10">
      <c r="B1050" t="s">
        <v>416</v>
      </c>
      <c r="C1050" s="24" t="s">
        <v>27</v>
      </c>
      <c r="D1050" s="25">
        <v>433</v>
      </c>
      <c r="E1050" s="26">
        <v>670</v>
      </c>
      <c r="G1050" s="17">
        <f t="shared" si="54"/>
        <v>666.15384615384608</v>
      </c>
      <c r="H1050" s="27" t="str">
        <f t="shared" si="55"/>
        <v>POSITIVO</v>
      </c>
      <c r="J1050" s="17">
        <f t="shared" si="56"/>
        <v>618.57142857142856</v>
      </c>
    </row>
    <row r="1051" spans="1:10">
      <c r="B1051" t="s">
        <v>1104</v>
      </c>
      <c r="C1051" s="30" t="s">
        <v>27</v>
      </c>
      <c r="D1051" s="13">
        <v>39.9</v>
      </c>
      <c r="E1051" s="13">
        <v>58</v>
      </c>
      <c r="G1051" s="17">
        <f t="shared" si="54"/>
        <v>61.38461538461538</v>
      </c>
      <c r="H1051" s="27" t="str">
        <f t="shared" si="55"/>
        <v>NEGATIVO</v>
      </c>
      <c r="J1051" s="17">
        <f t="shared" si="56"/>
        <v>57</v>
      </c>
    </row>
    <row r="1052" spans="1:10">
      <c r="B1052" t="s">
        <v>1427</v>
      </c>
      <c r="C1052" s="30" t="s">
        <v>27</v>
      </c>
      <c r="D1052" s="13">
        <v>15.5</v>
      </c>
      <c r="E1052" s="13">
        <v>28</v>
      </c>
      <c r="G1052" s="17">
        <f t="shared" si="54"/>
        <v>23.846153846153847</v>
      </c>
      <c r="H1052" s="27" t="str">
        <f t="shared" si="55"/>
        <v>POSITIVO</v>
      </c>
      <c r="J1052" s="17">
        <f t="shared" si="56"/>
        <v>22.142857142857146</v>
      </c>
    </row>
    <row r="1053" spans="1:10">
      <c r="B1053" t="s">
        <v>1426</v>
      </c>
      <c r="C1053" s="30" t="s">
        <v>27</v>
      </c>
      <c r="D1053" s="13">
        <v>25</v>
      </c>
      <c r="E1053" s="13">
        <v>40</v>
      </c>
      <c r="G1053" s="17">
        <f t="shared" si="54"/>
        <v>38.46153846153846</v>
      </c>
      <c r="H1053" s="27" t="str">
        <f t="shared" si="55"/>
        <v>POSITIVO</v>
      </c>
      <c r="J1053" s="17">
        <f t="shared" si="56"/>
        <v>35.714285714285715</v>
      </c>
    </row>
    <row r="1054" spans="1:10">
      <c r="B1054" t="s">
        <v>1729</v>
      </c>
      <c r="C1054" s="30" t="s">
        <v>27</v>
      </c>
      <c r="D1054" s="13">
        <v>26.9</v>
      </c>
      <c r="E1054" s="13">
        <v>41.9</v>
      </c>
      <c r="G1054" s="17">
        <f t="shared" si="54"/>
        <v>41.38461538461538</v>
      </c>
      <c r="H1054" s="27" t="str">
        <f t="shared" si="55"/>
        <v>POSITIVO</v>
      </c>
      <c r="J1054" s="17">
        <f t="shared" si="56"/>
        <v>38.428571428571431</v>
      </c>
    </row>
    <row r="1055" spans="1:10">
      <c r="B1055" t="s">
        <v>1203</v>
      </c>
      <c r="C1055" s="30" t="s">
        <v>27</v>
      </c>
      <c r="D1055" s="13">
        <v>7</v>
      </c>
      <c r="E1055" s="13">
        <v>17</v>
      </c>
      <c r="G1055" s="17">
        <f t="shared" si="54"/>
        <v>10.769230769230768</v>
      </c>
      <c r="H1055" s="27" t="str">
        <f t="shared" si="55"/>
        <v>POSITIVO</v>
      </c>
      <c r="J1055" s="17">
        <f t="shared" si="56"/>
        <v>10</v>
      </c>
    </row>
    <row r="1056" spans="1:10">
      <c r="B1056" t="s">
        <v>1205</v>
      </c>
      <c r="C1056" s="30" t="s">
        <v>27</v>
      </c>
      <c r="D1056" s="13">
        <v>17.899999999999999</v>
      </c>
      <c r="E1056" s="13">
        <v>28</v>
      </c>
      <c r="G1056" s="17">
        <f t="shared" si="54"/>
        <v>27.538461538461537</v>
      </c>
      <c r="H1056" s="27" t="str">
        <f t="shared" si="55"/>
        <v>POSITIVO</v>
      </c>
      <c r="J1056" s="17">
        <f t="shared" si="56"/>
        <v>25.571428571428569</v>
      </c>
    </row>
    <row r="1057" spans="1:10">
      <c r="B1057" t="s">
        <v>1204</v>
      </c>
      <c r="C1057" s="30" t="s">
        <v>27</v>
      </c>
      <c r="D1057" s="13">
        <v>17.899999999999999</v>
      </c>
      <c r="E1057" s="13">
        <v>28</v>
      </c>
      <c r="G1057" s="17">
        <f t="shared" si="54"/>
        <v>27.538461538461537</v>
      </c>
      <c r="H1057" s="27" t="str">
        <f t="shared" si="55"/>
        <v>POSITIVO</v>
      </c>
      <c r="J1057" s="17">
        <f t="shared" si="56"/>
        <v>25.571428571428569</v>
      </c>
    </row>
    <row r="1058" spans="1:10">
      <c r="B1058" t="s">
        <v>1200</v>
      </c>
      <c r="C1058" s="30" t="s">
        <v>27</v>
      </c>
      <c r="D1058" s="13">
        <v>16.97</v>
      </c>
      <c r="E1058" s="13">
        <v>26.5</v>
      </c>
      <c r="G1058" s="17">
        <f t="shared" si="54"/>
        <v>26.107692307692304</v>
      </c>
      <c r="H1058" s="27" t="str">
        <f t="shared" si="55"/>
        <v>POSITIVO</v>
      </c>
      <c r="J1058" s="17">
        <f t="shared" si="56"/>
        <v>24.242857142857144</v>
      </c>
    </row>
    <row r="1059" spans="1:10">
      <c r="B1059" t="s">
        <v>1385</v>
      </c>
      <c r="C1059" s="30" t="s">
        <v>27</v>
      </c>
      <c r="D1059" s="13">
        <v>13.9</v>
      </c>
      <c r="E1059" s="13">
        <v>23</v>
      </c>
      <c r="G1059" s="17">
        <f t="shared" si="54"/>
        <v>21.384615384615383</v>
      </c>
      <c r="H1059" s="27" t="str">
        <f t="shared" si="55"/>
        <v>POSITIVO</v>
      </c>
      <c r="J1059" s="17">
        <f t="shared" si="56"/>
        <v>19.857142857142858</v>
      </c>
    </row>
    <row r="1060" spans="1:10">
      <c r="A1060" s="61" t="s">
        <v>2017</v>
      </c>
      <c r="B1060" t="s">
        <v>2016</v>
      </c>
      <c r="C1060" s="30" t="s">
        <v>27</v>
      </c>
      <c r="D1060" s="13">
        <v>41.94</v>
      </c>
      <c r="E1060" s="13">
        <v>65</v>
      </c>
      <c r="G1060" s="17">
        <f t="shared" si="54"/>
        <v>64.523076923076914</v>
      </c>
      <c r="H1060" s="27" t="str">
        <f t="shared" si="55"/>
        <v>POSITIVO</v>
      </c>
      <c r="J1060" s="17">
        <f t="shared" si="56"/>
        <v>59.914285714285718</v>
      </c>
    </row>
    <row r="1061" spans="1:10">
      <c r="B1061" t="s">
        <v>417</v>
      </c>
      <c r="C1061" s="24" t="s">
        <v>27</v>
      </c>
      <c r="D1061" s="25">
        <v>36.65</v>
      </c>
      <c r="E1061" s="25">
        <v>50.5</v>
      </c>
      <c r="G1061" s="17">
        <f t="shared" si="54"/>
        <v>56.38461538461538</v>
      </c>
      <c r="H1061" s="27" t="str">
        <f t="shared" si="55"/>
        <v>NEGATIVO</v>
      </c>
      <c r="J1061" s="17">
        <f t="shared" si="56"/>
        <v>52.357142857142861</v>
      </c>
    </row>
    <row r="1062" spans="1:10">
      <c r="B1062" t="s">
        <v>1559</v>
      </c>
      <c r="C1062" s="30" t="s">
        <v>27</v>
      </c>
      <c r="D1062" s="13">
        <v>22.5</v>
      </c>
      <c r="E1062" s="13">
        <v>38</v>
      </c>
      <c r="G1062" s="17">
        <f t="shared" si="54"/>
        <v>34.615384615384613</v>
      </c>
      <c r="H1062" s="27" t="str">
        <f t="shared" si="55"/>
        <v>POSITIVO</v>
      </c>
      <c r="J1062" s="17">
        <f t="shared" si="56"/>
        <v>32.142857142857146</v>
      </c>
    </row>
    <row r="1063" spans="1:10">
      <c r="B1063" t="s">
        <v>418</v>
      </c>
      <c r="C1063" s="24" t="s">
        <v>27</v>
      </c>
      <c r="D1063" s="25">
        <v>65.88</v>
      </c>
      <c r="E1063" s="25">
        <v>92.3</v>
      </c>
      <c r="G1063" s="17">
        <f t="shared" ref="G1063:G1100" si="57">(D1063/65%)</f>
        <v>101.35384615384615</v>
      </c>
      <c r="H1063" s="27" t="str">
        <f t="shared" ref="H1063:H1106" si="58">IF(E1063&gt;=G1063,"POSITIVO","NEGATIVO")</f>
        <v>NEGATIVO</v>
      </c>
      <c r="J1063" s="17">
        <f t="shared" ref="J1063:J1068" si="59">D1063/70%</f>
        <v>94.114285714285714</v>
      </c>
    </row>
    <row r="1064" spans="1:10">
      <c r="B1064" t="s">
        <v>419</v>
      </c>
      <c r="C1064" s="24" t="s">
        <v>27</v>
      </c>
      <c r="D1064" s="25">
        <v>54</v>
      </c>
      <c r="E1064" s="26">
        <v>85</v>
      </c>
      <c r="G1064" s="17">
        <f t="shared" si="57"/>
        <v>83.07692307692308</v>
      </c>
      <c r="H1064" s="27" t="str">
        <f t="shared" si="58"/>
        <v>POSITIVO</v>
      </c>
      <c r="J1064" s="17">
        <f t="shared" si="59"/>
        <v>77.142857142857153</v>
      </c>
    </row>
    <row r="1065" spans="1:10">
      <c r="B1065" t="s">
        <v>1497</v>
      </c>
      <c r="C1065" s="24" t="s">
        <v>27</v>
      </c>
      <c r="D1065" s="25">
        <v>37.9</v>
      </c>
      <c r="E1065" s="26">
        <v>64.400000000000006</v>
      </c>
      <c r="G1065" s="17">
        <f t="shared" si="57"/>
        <v>58.307692307692307</v>
      </c>
      <c r="H1065" s="27" t="str">
        <f t="shared" si="58"/>
        <v>POSITIVO</v>
      </c>
      <c r="J1065" s="17">
        <f t="shared" si="59"/>
        <v>54.142857142857146</v>
      </c>
    </row>
    <row r="1066" spans="1:10">
      <c r="B1066" t="s">
        <v>777</v>
      </c>
      <c r="C1066" s="24" t="s">
        <v>27</v>
      </c>
      <c r="D1066" s="25">
        <v>15</v>
      </c>
      <c r="E1066" s="26">
        <v>25</v>
      </c>
      <c r="G1066" s="17">
        <f t="shared" si="57"/>
        <v>23.076923076923077</v>
      </c>
      <c r="H1066" s="27" t="str">
        <f t="shared" si="58"/>
        <v>POSITIVO</v>
      </c>
      <c r="J1066" s="17">
        <f t="shared" si="59"/>
        <v>21.428571428571431</v>
      </c>
    </row>
    <row r="1067" spans="1:10">
      <c r="B1067" t="s">
        <v>420</v>
      </c>
      <c r="C1067" s="24" t="s">
        <v>27</v>
      </c>
      <c r="D1067" s="25">
        <v>20.27</v>
      </c>
      <c r="E1067" s="25">
        <v>33</v>
      </c>
      <c r="G1067" s="17">
        <f t="shared" si="57"/>
        <v>31.184615384615384</v>
      </c>
      <c r="H1067" s="27" t="str">
        <f t="shared" si="58"/>
        <v>POSITIVO</v>
      </c>
      <c r="J1067" s="17">
        <f t="shared" si="59"/>
        <v>28.957142857142859</v>
      </c>
    </row>
    <row r="1068" spans="1:10">
      <c r="B1068" t="s">
        <v>778</v>
      </c>
      <c r="C1068" s="24" t="s">
        <v>27</v>
      </c>
      <c r="D1068" s="25">
        <v>29.4</v>
      </c>
      <c r="E1068" s="25">
        <v>46</v>
      </c>
      <c r="G1068" s="17">
        <f t="shared" si="57"/>
        <v>45.230769230769226</v>
      </c>
      <c r="H1068" s="27" t="str">
        <f t="shared" si="58"/>
        <v>POSITIVO</v>
      </c>
      <c r="J1068" s="17">
        <f t="shared" si="59"/>
        <v>42</v>
      </c>
    </row>
    <row r="1069" spans="1:10">
      <c r="B1069" t="s">
        <v>1283</v>
      </c>
      <c r="C1069" s="30" t="s">
        <v>27</v>
      </c>
      <c r="D1069" s="13">
        <v>39.200000000000003</v>
      </c>
      <c r="E1069" s="13">
        <v>62</v>
      </c>
      <c r="G1069" s="17">
        <f t="shared" si="57"/>
        <v>60.307692307692307</v>
      </c>
      <c r="H1069" s="27" t="str">
        <f t="shared" si="58"/>
        <v>POSITIVO</v>
      </c>
      <c r="J1069" s="17">
        <f t="shared" ref="J1069:J1100" si="60">D1069/70%</f>
        <v>56.000000000000007</v>
      </c>
    </row>
    <row r="1070" spans="1:10">
      <c r="B1070" t="s">
        <v>1283</v>
      </c>
      <c r="C1070" s="30" t="s">
        <v>27</v>
      </c>
      <c r="D1070" s="13">
        <v>39.200000000000003</v>
      </c>
      <c r="E1070" s="13">
        <v>62</v>
      </c>
      <c r="G1070" s="17">
        <f t="shared" si="57"/>
        <v>60.307692307692307</v>
      </c>
      <c r="H1070" s="27" t="str">
        <f t="shared" si="58"/>
        <v>POSITIVO</v>
      </c>
      <c r="J1070" s="17">
        <f t="shared" si="60"/>
        <v>56.000000000000007</v>
      </c>
    </row>
    <row r="1071" spans="1:10">
      <c r="B1071" t="s">
        <v>1562</v>
      </c>
      <c r="C1071" s="30" t="s">
        <v>27</v>
      </c>
      <c r="D1071" s="13">
        <v>14.5</v>
      </c>
      <c r="E1071" s="13">
        <v>25</v>
      </c>
      <c r="G1071" s="17">
        <f t="shared" si="57"/>
        <v>22.307692307692307</v>
      </c>
      <c r="H1071" s="27" t="str">
        <f t="shared" si="58"/>
        <v>POSITIVO</v>
      </c>
      <c r="J1071" s="17">
        <f t="shared" si="60"/>
        <v>20.714285714285715</v>
      </c>
    </row>
    <row r="1072" spans="1:10">
      <c r="B1072" t="s">
        <v>1728</v>
      </c>
      <c r="C1072" s="30" t="s">
        <v>27</v>
      </c>
      <c r="D1072" s="13">
        <v>12.9</v>
      </c>
      <c r="E1072" s="13">
        <v>18.899999999999999</v>
      </c>
      <c r="G1072" s="17">
        <f t="shared" si="57"/>
        <v>19.846153846153847</v>
      </c>
      <c r="H1072" s="27" t="str">
        <f t="shared" si="58"/>
        <v>NEGATIVO</v>
      </c>
      <c r="J1072" s="17">
        <f t="shared" si="60"/>
        <v>18.428571428571431</v>
      </c>
    </row>
    <row r="1073" spans="1:10">
      <c r="B1073" t="s">
        <v>421</v>
      </c>
      <c r="C1073" s="24" t="s">
        <v>27</v>
      </c>
      <c r="D1073" s="25">
        <v>49.4</v>
      </c>
      <c r="E1073" s="26">
        <v>77</v>
      </c>
      <c r="G1073" s="17">
        <f t="shared" si="57"/>
        <v>76</v>
      </c>
      <c r="H1073" s="27" t="str">
        <f t="shared" si="58"/>
        <v>POSITIVO</v>
      </c>
      <c r="J1073" s="17">
        <f t="shared" si="60"/>
        <v>70.571428571428569</v>
      </c>
    </row>
    <row r="1074" spans="1:10">
      <c r="B1074" t="s">
        <v>422</v>
      </c>
      <c r="C1074" s="24" t="s">
        <v>27</v>
      </c>
      <c r="D1074" s="25">
        <v>55.98</v>
      </c>
      <c r="E1074" s="26">
        <v>88</v>
      </c>
      <c r="G1074" s="17">
        <f t="shared" si="57"/>
        <v>86.123076923076908</v>
      </c>
      <c r="H1074" s="27" t="str">
        <f t="shared" si="58"/>
        <v>POSITIVO</v>
      </c>
      <c r="J1074" s="17">
        <f t="shared" si="60"/>
        <v>79.971428571428575</v>
      </c>
    </row>
    <row r="1075" spans="1:10">
      <c r="B1075" t="s">
        <v>423</v>
      </c>
      <c r="C1075" s="24" t="s">
        <v>27</v>
      </c>
      <c r="D1075" s="25">
        <v>19.52</v>
      </c>
      <c r="E1075" s="26">
        <v>31.9</v>
      </c>
      <c r="G1075" s="17">
        <f t="shared" si="57"/>
        <v>30.030769230769231</v>
      </c>
      <c r="H1075" s="27" t="str">
        <f t="shared" si="58"/>
        <v>POSITIVO</v>
      </c>
      <c r="J1075" s="17">
        <f t="shared" si="60"/>
        <v>27.885714285714286</v>
      </c>
    </row>
    <row r="1076" spans="1:10">
      <c r="B1076" t="s">
        <v>424</v>
      </c>
      <c r="C1076" s="24" t="s">
        <v>27</v>
      </c>
      <c r="D1076" s="25">
        <v>29.27</v>
      </c>
      <c r="E1076" s="26">
        <v>46.9</v>
      </c>
      <c r="G1076" s="17">
        <f t="shared" si="57"/>
        <v>45.030769230769231</v>
      </c>
      <c r="H1076" s="27" t="str">
        <f t="shared" si="58"/>
        <v>POSITIVO</v>
      </c>
      <c r="J1076" s="17">
        <f t="shared" si="60"/>
        <v>41.814285714285717</v>
      </c>
    </row>
    <row r="1077" spans="1:10">
      <c r="B1077" t="s">
        <v>1694</v>
      </c>
      <c r="C1077" s="30" t="s">
        <v>27</v>
      </c>
      <c r="D1077" s="13">
        <v>29.98</v>
      </c>
      <c r="E1077" s="13">
        <v>47.9</v>
      </c>
      <c r="G1077" s="17">
        <f t="shared" si="57"/>
        <v>46.123076923076923</v>
      </c>
      <c r="H1077" s="27" t="str">
        <f t="shared" si="58"/>
        <v>POSITIVO</v>
      </c>
      <c r="J1077" s="17">
        <f t="shared" si="60"/>
        <v>42.828571428571429</v>
      </c>
    </row>
    <row r="1078" spans="1:10">
      <c r="B1078" t="s">
        <v>1441</v>
      </c>
      <c r="C1078" s="24" t="s">
        <v>27</v>
      </c>
      <c r="D1078" s="25">
        <v>7.5</v>
      </c>
      <c r="E1078" s="26">
        <v>14.2</v>
      </c>
      <c r="G1078" s="17">
        <f t="shared" si="57"/>
        <v>11.538461538461538</v>
      </c>
      <c r="H1078" s="27" t="str">
        <f t="shared" si="58"/>
        <v>POSITIVO</v>
      </c>
      <c r="J1078" s="17">
        <f t="shared" si="60"/>
        <v>10.714285714285715</v>
      </c>
    </row>
    <row r="1079" spans="1:10">
      <c r="B1079" t="s">
        <v>1440</v>
      </c>
      <c r="C1079" s="24" t="s">
        <v>27</v>
      </c>
      <c r="D1079" s="25">
        <v>9.9499999999999993</v>
      </c>
      <c r="E1079" s="26">
        <v>16</v>
      </c>
      <c r="G1079" s="17">
        <f t="shared" si="57"/>
        <v>15.307692307692307</v>
      </c>
      <c r="H1079" s="27" t="str">
        <f t="shared" si="58"/>
        <v>POSITIVO</v>
      </c>
      <c r="J1079" s="17">
        <f t="shared" si="60"/>
        <v>14.214285714285714</v>
      </c>
    </row>
    <row r="1080" spans="1:10">
      <c r="B1080" t="s">
        <v>1439</v>
      </c>
      <c r="C1080" s="24" t="s">
        <v>27</v>
      </c>
      <c r="D1080" s="25">
        <v>9.9</v>
      </c>
      <c r="E1080" s="26">
        <v>18</v>
      </c>
      <c r="G1080" s="17">
        <f t="shared" si="57"/>
        <v>15.23076923076923</v>
      </c>
      <c r="H1080" s="27" t="str">
        <f t="shared" si="58"/>
        <v>POSITIVO</v>
      </c>
      <c r="J1080" s="17">
        <f t="shared" si="60"/>
        <v>14.142857142857144</v>
      </c>
    </row>
    <row r="1081" spans="1:10">
      <c r="B1081" t="s">
        <v>1438</v>
      </c>
      <c r="C1081" s="24" t="s">
        <v>27</v>
      </c>
      <c r="D1081" s="25">
        <v>18.989999999999998</v>
      </c>
      <c r="E1081" s="26">
        <v>29.9</v>
      </c>
      <c r="G1081" s="17">
        <f t="shared" si="57"/>
        <v>29.215384615384611</v>
      </c>
      <c r="H1081" s="27" t="str">
        <f t="shared" si="58"/>
        <v>POSITIVO</v>
      </c>
      <c r="J1081" s="17">
        <f t="shared" si="60"/>
        <v>27.128571428571426</v>
      </c>
    </row>
    <row r="1082" spans="1:10">
      <c r="B1082" t="s">
        <v>1437</v>
      </c>
      <c r="C1082" s="24" t="s">
        <v>27</v>
      </c>
      <c r="D1082" s="25">
        <v>33.85</v>
      </c>
      <c r="E1082" s="26">
        <v>58</v>
      </c>
      <c r="G1082" s="17">
        <f t="shared" si="57"/>
        <v>52.07692307692308</v>
      </c>
      <c r="H1082" s="27" t="str">
        <f t="shared" si="58"/>
        <v>POSITIVO</v>
      </c>
      <c r="J1082" s="17">
        <f t="shared" si="60"/>
        <v>48.357142857142861</v>
      </c>
    </row>
    <row r="1083" spans="1:10">
      <c r="B1083" t="s">
        <v>1442</v>
      </c>
      <c r="C1083" s="24" t="s">
        <v>27</v>
      </c>
      <c r="D1083" s="25">
        <v>5.25</v>
      </c>
      <c r="E1083" s="26">
        <v>9.9</v>
      </c>
      <c r="G1083" s="17">
        <f t="shared" si="57"/>
        <v>8.0769230769230766</v>
      </c>
      <c r="H1083" s="27" t="str">
        <f t="shared" si="58"/>
        <v>POSITIVO</v>
      </c>
      <c r="J1083" s="17">
        <f t="shared" si="60"/>
        <v>7.5000000000000009</v>
      </c>
    </row>
    <row r="1084" spans="1:10">
      <c r="B1084" t="s">
        <v>1401</v>
      </c>
      <c r="C1084" s="30" t="s">
        <v>27</v>
      </c>
      <c r="D1084" s="13">
        <v>6.84</v>
      </c>
      <c r="E1084" s="13">
        <v>12</v>
      </c>
      <c r="G1084" s="17">
        <f t="shared" si="57"/>
        <v>10.523076923076923</v>
      </c>
      <c r="H1084" s="27" t="str">
        <f t="shared" si="58"/>
        <v>POSITIVO</v>
      </c>
      <c r="J1084" s="17">
        <f t="shared" si="60"/>
        <v>9.7714285714285722</v>
      </c>
    </row>
    <row r="1085" spans="1:10">
      <c r="B1085" t="s">
        <v>1297</v>
      </c>
      <c r="C1085" s="24" t="s">
        <v>27</v>
      </c>
      <c r="D1085" s="25">
        <v>2.69</v>
      </c>
      <c r="E1085" s="26">
        <v>5</v>
      </c>
      <c r="G1085" s="17">
        <f t="shared" si="57"/>
        <v>4.138461538461538</v>
      </c>
      <c r="H1085" s="27" t="str">
        <f t="shared" si="58"/>
        <v>POSITIVO</v>
      </c>
      <c r="J1085" s="17">
        <f t="shared" si="60"/>
        <v>3.842857142857143</v>
      </c>
    </row>
    <row r="1086" spans="1:10">
      <c r="B1086" t="s">
        <v>1403</v>
      </c>
      <c r="C1086" s="30" t="s">
        <v>27</v>
      </c>
      <c r="D1086" s="13">
        <v>4.2</v>
      </c>
      <c r="E1086" s="13">
        <v>8</v>
      </c>
      <c r="G1086" s="17">
        <f t="shared" si="57"/>
        <v>6.4615384615384617</v>
      </c>
      <c r="H1086" s="27" t="str">
        <f t="shared" si="58"/>
        <v>POSITIVO</v>
      </c>
      <c r="J1086" s="17">
        <f t="shared" si="60"/>
        <v>6.0000000000000009</v>
      </c>
    </row>
    <row r="1087" spans="1:10">
      <c r="B1087" t="s">
        <v>425</v>
      </c>
      <c r="C1087" s="24" t="s">
        <v>27</v>
      </c>
      <c r="D1087" s="25">
        <v>14.5</v>
      </c>
      <c r="E1087" s="26">
        <v>24</v>
      </c>
      <c r="G1087" s="17">
        <f t="shared" si="57"/>
        <v>22.307692307692307</v>
      </c>
      <c r="H1087" s="27" t="str">
        <f t="shared" si="58"/>
        <v>POSITIVO</v>
      </c>
      <c r="J1087" s="17">
        <f t="shared" si="60"/>
        <v>20.714285714285715</v>
      </c>
    </row>
    <row r="1088" spans="1:10">
      <c r="A1088" s="61" t="s">
        <v>2068</v>
      </c>
      <c r="B1088" t="s">
        <v>2067</v>
      </c>
      <c r="C1088" s="30" t="s">
        <v>27</v>
      </c>
      <c r="D1088" s="13">
        <v>12.99</v>
      </c>
      <c r="E1088" s="13">
        <v>24</v>
      </c>
      <c r="G1088" s="17">
        <f t="shared" si="57"/>
        <v>19.984615384615385</v>
      </c>
      <c r="H1088" s="27" t="str">
        <f t="shared" si="58"/>
        <v>POSITIVO</v>
      </c>
      <c r="J1088" s="17">
        <f t="shared" si="60"/>
        <v>18.557142857142857</v>
      </c>
    </row>
    <row r="1089" spans="1:10">
      <c r="A1089" s="61" t="s">
        <v>2306</v>
      </c>
      <c r="B1089" t="s">
        <v>2305</v>
      </c>
      <c r="C1089" s="24" t="s">
        <v>27</v>
      </c>
      <c r="D1089" s="25">
        <v>10.55</v>
      </c>
      <c r="E1089" s="26">
        <v>22.5</v>
      </c>
      <c r="G1089" s="17">
        <f t="shared" si="57"/>
        <v>16.23076923076923</v>
      </c>
      <c r="H1089" s="27" t="str">
        <f t="shared" si="58"/>
        <v>POSITIVO</v>
      </c>
      <c r="J1089" s="17">
        <f t="shared" si="60"/>
        <v>15.071428571428573</v>
      </c>
    </row>
    <row r="1090" spans="1:10">
      <c r="B1090" t="s">
        <v>1717</v>
      </c>
      <c r="C1090" s="30" t="s">
        <v>27</v>
      </c>
      <c r="D1090" s="13">
        <v>37</v>
      </c>
      <c r="E1090" s="13">
        <v>57.9</v>
      </c>
      <c r="G1090" s="17">
        <f t="shared" si="57"/>
        <v>56.92307692307692</v>
      </c>
      <c r="H1090" s="27" t="str">
        <f t="shared" si="58"/>
        <v>POSITIVO</v>
      </c>
      <c r="J1090" s="17">
        <f t="shared" si="60"/>
        <v>52.857142857142861</v>
      </c>
    </row>
    <row r="1091" spans="1:10">
      <c r="B1091" t="s">
        <v>426</v>
      </c>
      <c r="C1091" s="24" t="s">
        <v>27</v>
      </c>
      <c r="D1091" s="25">
        <v>174</v>
      </c>
      <c r="E1091" s="26">
        <v>250</v>
      </c>
      <c r="G1091" s="17">
        <f t="shared" si="57"/>
        <v>267.69230769230768</v>
      </c>
      <c r="H1091" s="27" t="str">
        <f t="shared" si="58"/>
        <v>NEGATIVO</v>
      </c>
      <c r="J1091" s="17">
        <f t="shared" si="60"/>
        <v>248.57142857142858</v>
      </c>
    </row>
    <row r="1092" spans="1:10">
      <c r="B1092" t="s">
        <v>1865</v>
      </c>
      <c r="C1092" s="24" t="s">
        <v>27</v>
      </c>
      <c r="D1092" s="25">
        <v>157.55000000000001</v>
      </c>
      <c r="E1092" s="26">
        <v>250</v>
      </c>
      <c r="G1092" s="17">
        <f t="shared" si="57"/>
        <v>242.38461538461539</v>
      </c>
      <c r="H1092" s="27" t="str">
        <f t="shared" si="58"/>
        <v>POSITIVO</v>
      </c>
      <c r="J1092" s="17">
        <f t="shared" si="60"/>
        <v>225.07142857142861</v>
      </c>
    </row>
    <row r="1093" spans="1:10">
      <c r="B1093" t="s">
        <v>427</v>
      </c>
      <c r="C1093" s="24" t="s">
        <v>27</v>
      </c>
      <c r="D1093" s="25">
        <v>99.23</v>
      </c>
      <c r="E1093" s="26">
        <v>165</v>
      </c>
      <c r="G1093" s="17">
        <f t="shared" si="57"/>
        <v>152.66153846153847</v>
      </c>
      <c r="H1093" s="27" t="str">
        <f t="shared" si="58"/>
        <v>POSITIVO</v>
      </c>
      <c r="J1093" s="17">
        <f t="shared" si="60"/>
        <v>141.75714285714287</v>
      </c>
    </row>
    <row r="1094" spans="1:10">
      <c r="B1094" t="s">
        <v>1866</v>
      </c>
      <c r="C1094" s="30" t="s">
        <v>27</v>
      </c>
      <c r="D1094" s="13">
        <v>90.72</v>
      </c>
      <c r="E1094" s="13">
        <v>140</v>
      </c>
      <c r="G1094" s="17">
        <f t="shared" si="57"/>
        <v>139.56923076923076</v>
      </c>
      <c r="H1094" s="27" t="str">
        <f t="shared" si="58"/>
        <v>POSITIVO</v>
      </c>
      <c r="J1094" s="17">
        <f t="shared" si="60"/>
        <v>129.6</v>
      </c>
    </row>
    <row r="1095" spans="1:10">
      <c r="B1095" t="s">
        <v>428</v>
      </c>
      <c r="C1095" s="24" t="s">
        <v>27</v>
      </c>
      <c r="D1095" s="25">
        <v>11.32</v>
      </c>
      <c r="E1095" s="26">
        <v>18.5</v>
      </c>
      <c r="G1095" s="17">
        <f t="shared" si="57"/>
        <v>17.415384615384614</v>
      </c>
      <c r="H1095" s="27" t="str">
        <f t="shared" si="58"/>
        <v>POSITIVO</v>
      </c>
      <c r="J1095" s="17">
        <f t="shared" si="60"/>
        <v>16.171428571428574</v>
      </c>
    </row>
    <row r="1096" spans="1:10">
      <c r="B1096" t="s">
        <v>1791</v>
      </c>
      <c r="C1096" s="30" t="s">
        <v>27</v>
      </c>
      <c r="D1096" s="13">
        <v>12.69</v>
      </c>
      <c r="E1096" s="13">
        <v>20</v>
      </c>
      <c r="G1096" s="17">
        <f t="shared" si="57"/>
        <v>19.523076923076921</v>
      </c>
      <c r="H1096" s="27" t="str">
        <f t="shared" si="58"/>
        <v>POSITIVO</v>
      </c>
      <c r="J1096" s="17">
        <f t="shared" si="60"/>
        <v>18.12857142857143</v>
      </c>
    </row>
    <row r="1097" spans="1:10">
      <c r="B1097" t="s">
        <v>1786</v>
      </c>
      <c r="C1097" s="24" t="s">
        <v>27</v>
      </c>
      <c r="D1097" s="25">
        <v>4.45</v>
      </c>
      <c r="E1097" s="25">
        <v>7</v>
      </c>
      <c r="G1097" s="17">
        <f t="shared" si="57"/>
        <v>6.8461538461538458</v>
      </c>
      <c r="H1097" s="27" t="str">
        <f t="shared" si="58"/>
        <v>POSITIVO</v>
      </c>
      <c r="J1097" s="17">
        <f t="shared" si="60"/>
        <v>6.3571428571428577</v>
      </c>
    </row>
    <row r="1098" spans="1:10">
      <c r="B1098" t="s">
        <v>1787</v>
      </c>
      <c r="C1098" s="30" t="s">
        <v>27</v>
      </c>
      <c r="D1098" s="13">
        <v>4.17</v>
      </c>
      <c r="E1098" s="13">
        <v>6.9</v>
      </c>
      <c r="G1098" s="17">
        <f t="shared" si="57"/>
        <v>6.4153846153846148</v>
      </c>
      <c r="H1098" s="27" t="str">
        <f t="shared" si="58"/>
        <v>POSITIVO</v>
      </c>
      <c r="J1098" s="17">
        <f t="shared" si="60"/>
        <v>5.9571428571428573</v>
      </c>
    </row>
    <row r="1099" spans="1:10">
      <c r="B1099" t="s">
        <v>1788</v>
      </c>
      <c r="C1099" s="30" t="s">
        <v>27</v>
      </c>
      <c r="D1099" s="13">
        <v>11.66</v>
      </c>
      <c r="E1099" s="13">
        <v>17.95</v>
      </c>
      <c r="G1099" s="17">
        <f t="shared" si="57"/>
        <v>17.938461538461539</v>
      </c>
      <c r="H1099" s="27" t="str">
        <f t="shared" si="58"/>
        <v>POSITIVO</v>
      </c>
      <c r="J1099" s="17">
        <f t="shared" si="60"/>
        <v>16.657142857142858</v>
      </c>
    </row>
    <row r="1100" spans="1:10">
      <c r="B1100" t="s">
        <v>1001</v>
      </c>
      <c r="C1100" s="30" t="s">
        <v>27</v>
      </c>
      <c r="D1100" s="13">
        <v>12.85</v>
      </c>
      <c r="E1100" s="13">
        <v>20</v>
      </c>
      <c r="G1100" s="17">
        <f t="shared" si="57"/>
        <v>19.769230769230766</v>
      </c>
      <c r="H1100" s="27" t="str">
        <f t="shared" si="58"/>
        <v>POSITIVO</v>
      </c>
      <c r="J1100" s="17">
        <f t="shared" si="60"/>
        <v>18.357142857142858</v>
      </c>
    </row>
    <row r="1101" spans="1:10">
      <c r="B1101" t="s">
        <v>1402</v>
      </c>
      <c r="C1101" s="24" t="s">
        <v>27</v>
      </c>
      <c r="D1101" s="25">
        <v>7.48</v>
      </c>
      <c r="E1101" s="26">
        <v>11.9</v>
      </c>
      <c r="G1101" s="17">
        <f t="shared" ref="G1101:G1153" si="61">(D1101/65%)</f>
        <v>11.507692307692308</v>
      </c>
      <c r="H1101" s="27" t="str">
        <f t="shared" si="58"/>
        <v>POSITIVO</v>
      </c>
      <c r="J1101" s="17">
        <f t="shared" ref="J1101:J1153" si="62">D1101/70%</f>
        <v>10.685714285714287</v>
      </c>
    </row>
    <row r="1102" spans="1:10">
      <c r="B1102" t="s">
        <v>429</v>
      </c>
      <c r="C1102" s="24" t="s">
        <v>27</v>
      </c>
      <c r="D1102" s="25">
        <v>5.5</v>
      </c>
      <c r="E1102" s="26">
        <v>9</v>
      </c>
      <c r="G1102" s="17">
        <f t="shared" si="61"/>
        <v>8.4615384615384617</v>
      </c>
      <c r="H1102" s="27" t="str">
        <f t="shared" si="58"/>
        <v>POSITIVO</v>
      </c>
      <c r="J1102" s="17">
        <f t="shared" si="62"/>
        <v>7.8571428571428577</v>
      </c>
    </row>
    <row r="1103" spans="1:10">
      <c r="B1103" t="s">
        <v>430</v>
      </c>
      <c r="C1103" s="24" t="s">
        <v>27</v>
      </c>
      <c r="D1103" s="25">
        <v>3.37</v>
      </c>
      <c r="E1103" s="26">
        <v>6</v>
      </c>
      <c r="G1103" s="17">
        <f t="shared" si="61"/>
        <v>5.1846153846153848</v>
      </c>
      <c r="H1103" s="27" t="str">
        <f t="shared" si="58"/>
        <v>POSITIVO</v>
      </c>
      <c r="J1103" s="17">
        <f t="shared" si="62"/>
        <v>4.8142857142857149</v>
      </c>
    </row>
    <row r="1104" spans="1:10">
      <c r="B1104" t="s">
        <v>431</v>
      </c>
      <c r="C1104" s="24" t="s">
        <v>27</v>
      </c>
      <c r="D1104" s="25">
        <v>5.6</v>
      </c>
      <c r="E1104" s="26">
        <v>9</v>
      </c>
      <c r="G1104" s="17">
        <f t="shared" si="61"/>
        <v>8.615384615384615</v>
      </c>
      <c r="H1104" s="27" t="str">
        <f t="shared" si="58"/>
        <v>POSITIVO</v>
      </c>
      <c r="J1104" s="17">
        <f t="shared" si="62"/>
        <v>8</v>
      </c>
    </row>
    <row r="1105" spans="2:10">
      <c r="B1105" t="s">
        <v>432</v>
      </c>
      <c r="C1105" s="24" t="s">
        <v>27</v>
      </c>
      <c r="D1105" s="25">
        <v>2.13</v>
      </c>
      <c r="E1105" s="26">
        <v>3.5</v>
      </c>
      <c r="G1105" s="17">
        <f t="shared" si="61"/>
        <v>3.2769230769230768</v>
      </c>
      <c r="H1105" s="27" t="str">
        <f t="shared" si="58"/>
        <v>POSITIVO</v>
      </c>
      <c r="J1105" s="17">
        <f t="shared" si="62"/>
        <v>3.0428571428571427</v>
      </c>
    </row>
    <row r="1106" spans="2:10">
      <c r="B1106" t="s">
        <v>433</v>
      </c>
      <c r="C1106" s="24" t="s">
        <v>27</v>
      </c>
      <c r="D1106" s="25">
        <v>0.63</v>
      </c>
      <c r="E1106" s="26">
        <v>1.5</v>
      </c>
      <c r="G1106" s="17">
        <f t="shared" si="61"/>
        <v>0.96923076923076923</v>
      </c>
      <c r="H1106" s="27" t="str">
        <f t="shared" si="58"/>
        <v>POSITIVO</v>
      </c>
      <c r="J1106" s="17">
        <f t="shared" si="62"/>
        <v>0.9</v>
      </c>
    </row>
    <row r="1107" spans="2:10">
      <c r="B1107" t="s">
        <v>1186</v>
      </c>
      <c r="C1107" s="30" t="s">
        <v>27</v>
      </c>
      <c r="D1107" s="13">
        <v>1.76</v>
      </c>
      <c r="E1107" s="13">
        <v>3</v>
      </c>
      <c r="G1107" s="17">
        <f t="shared" si="61"/>
        <v>2.7076923076923074</v>
      </c>
      <c r="H1107" s="27" t="str">
        <f t="shared" ref="H1107:H1159" si="63">IF(E1107&gt;=G1107,"POSITIVO","NEGATIVO")</f>
        <v>POSITIVO</v>
      </c>
      <c r="J1107" s="17">
        <f t="shared" si="62"/>
        <v>2.5142857142857147</v>
      </c>
    </row>
    <row r="1108" spans="2:10">
      <c r="B1108" t="s">
        <v>1358</v>
      </c>
      <c r="C1108" s="30" t="s">
        <v>27</v>
      </c>
      <c r="D1108" s="13">
        <v>10.220000000000001</v>
      </c>
      <c r="E1108" s="13">
        <v>16</v>
      </c>
      <c r="G1108" s="17">
        <f t="shared" si="61"/>
        <v>15.723076923076924</v>
      </c>
      <c r="H1108" s="27" t="str">
        <f t="shared" si="63"/>
        <v>POSITIVO</v>
      </c>
      <c r="J1108" s="17">
        <f t="shared" si="62"/>
        <v>14.600000000000001</v>
      </c>
    </row>
    <row r="1109" spans="2:10">
      <c r="B1109" t="s">
        <v>1359</v>
      </c>
      <c r="C1109" s="30" t="s">
        <v>27</v>
      </c>
      <c r="D1109" s="13">
        <v>15.87</v>
      </c>
      <c r="E1109" s="13">
        <v>25.9</v>
      </c>
      <c r="G1109" s="17">
        <f t="shared" si="61"/>
        <v>24.415384615384614</v>
      </c>
      <c r="H1109" s="27" t="str">
        <f t="shared" si="63"/>
        <v>POSITIVO</v>
      </c>
      <c r="J1109" s="17">
        <f t="shared" si="62"/>
        <v>22.671428571428571</v>
      </c>
    </row>
    <row r="1110" spans="2:10">
      <c r="B1110" t="s">
        <v>1043</v>
      </c>
      <c r="C1110" s="30" t="s">
        <v>27</v>
      </c>
      <c r="D1110" s="13">
        <v>90.67</v>
      </c>
      <c r="E1110" s="13">
        <v>140</v>
      </c>
      <c r="G1110" s="17">
        <f t="shared" si="61"/>
        <v>139.49230769230769</v>
      </c>
      <c r="H1110" s="27" t="str">
        <f t="shared" si="63"/>
        <v>POSITIVO</v>
      </c>
      <c r="J1110" s="17">
        <f t="shared" si="62"/>
        <v>129.52857142857144</v>
      </c>
    </row>
    <row r="1111" spans="2:10">
      <c r="B1111" t="s">
        <v>1042</v>
      </c>
      <c r="C1111" s="30" t="s">
        <v>27</v>
      </c>
      <c r="D1111" s="13">
        <v>71.06</v>
      </c>
      <c r="E1111" s="13">
        <v>110</v>
      </c>
      <c r="G1111" s="17">
        <f t="shared" si="61"/>
        <v>109.32307692307693</v>
      </c>
      <c r="H1111" s="27" t="str">
        <f t="shared" si="63"/>
        <v>POSITIVO</v>
      </c>
      <c r="J1111" s="17">
        <f t="shared" si="62"/>
        <v>101.51428571428572</v>
      </c>
    </row>
    <row r="1112" spans="2:10">
      <c r="B1112" t="s">
        <v>434</v>
      </c>
      <c r="C1112" s="24" t="s">
        <v>27</v>
      </c>
      <c r="D1112" s="25">
        <v>1.79</v>
      </c>
      <c r="E1112" s="26">
        <v>3</v>
      </c>
      <c r="G1112" s="17">
        <f t="shared" si="61"/>
        <v>2.7538461538461538</v>
      </c>
      <c r="H1112" s="27" t="str">
        <f t="shared" si="63"/>
        <v>POSITIVO</v>
      </c>
      <c r="J1112" s="17">
        <f t="shared" si="62"/>
        <v>2.5571428571428574</v>
      </c>
    </row>
    <row r="1113" spans="2:10">
      <c r="B1113" t="s">
        <v>1377</v>
      </c>
      <c r="C1113" s="30" t="s">
        <v>27</v>
      </c>
      <c r="D1113" s="13">
        <v>16.36</v>
      </c>
      <c r="E1113" s="13">
        <v>30</v>
      </c>
      <c r="G1113" s="17">
        <f t="shared" si="61"/>
        <v>25.169230769230769</v>
      </c>
      <c r="H1113" s="27" t="str">
        <f t="shared" si="63"/>
        <v>POSITIVO</v>
      </c>
      <c r="J1113" s="17">
        <f t="shared" si="62"/>
        <v>23.371428571428574</v>
      </c>
    </row>
    <row r="1114" spans="2:10">
      <c r="B1114" t="s">
        <v>435</v>
      </c>
      <c r="C1114" s="24" t="s">
        <v>27</v>
      </c>
      <c r="D1114" s="25">
        <v>20.75</v>
      </c>
      <c r="E1114" s="26">
        <v>32</v>
      </c>
      <c r="G1114" s="17">
        <f t="shared" si="61"/>
        <v>31.923076923076923</v>
      </c>
      <c r="H1114" s="27" t="str">
        <f t="shared" si="63"/>
        <v>POSITIVO</v>
      </c>
      <c r="J1114" s="17">
        <f t="shared" si="62"/>
        <v>29.642857142857146</v>
      </c>
    </row>
    <row r="1115" spans="2:10">
      <c r="B1115" t="s">
        <v>436</v>
      </c>
      <c r="C1115" s="24" t="s">
        <v>27</v>
      </c>
      <c r="D1115" s="25">
        <v>42.58</v>
      </c>
      <c r="E1115" s="26">
        <v>68</v>
      </c>
      <c r="G1115" s="17">
        <f t="shared" si="61"/>
        <v>65.507692307692309</v>
      </c>
      <c r="H1115" s="27" t="str">
        <f t="shared" si="63"/>
        <v>POSITIVO</v>
      </c>
      <c r="J1115" s="17">
        <f t="shared" si="62"/>
        <v>60.828571428571429</v>
      </c>
    </row>
    <row r="1116" spans="2:10">
      <c r="B1116" t="s">
        <v>1668</v>
      </c>
      <c r="C1116" s="24" t="s">
        <v>27</v>
      </c>
      <c r="D1116" s="25">
        <v>88.65</v>
      </c>
      <c r="E1116" s="26">
        <v>137</v>
      </c>
      <c r="G1116" s="17">
        <f t="shared" si="61"/>
        <v>136.38461538461539</v>
      </c>
      <c r="H1116" s="27" t="str">
        <f t="shared" si="63"/>
        <v>POSITIVO</v>
      </c>
      <c r="J1116" s="17">
        <f t="shared" si="62"/>
        <v>126.64285714285715</v>
      </c>
    </row>
    <row r="1117" spans="2:10">
      <c r="B1117" t="s">
        <v>1669</v>
      </c>
      <c r="C1117" s="24" t="s">
        <v>27</v>
      </c>
      <c r="D1117" s="25">
        <v>116.51</v>
      </c>
      <c r="E1117" s="26">
        <v>179.9</v>
      </c>
      <c r="G1117" s="17">
        <f t="shared" si="61"/>
        <v>179.24615384615385</v>
      </c>
      <c r="H1117" s="27" t="str">
        <f t="shared" si="63"/>
        <v>POSITIVO</v>
      </c>
      <c r="J1117" s="17">
        <f t="shared" si="62"/>
        <v>166.44285714285715</v>
      </c>
    </row>
    <row r="1118" spans="2:10">
      <c r="B1118" t="s">
        <v>437</v>
      </c>
      <c r="C1118" s="24" t="s">
        <v>27</v>
      </c>
      <c r="D1118" s="25">
        <v>1.8</v>
      </c>
      <c r="E1118" s="26">
        <v>5</v>
      </c>
      <c r="G1118" s="17">
        <f t="shared" si="61"/>
        <v>2.7692307692307692</v>
      </c>
      <c r="H1118" s="27" t="str">
        <f t="shared" si="63"/>
        <v>POSITIVO</v>
      </c>
      <c r="J1118" s="17">
        <f t="shared" si="62"/>
        <v>2.5714285714285716</v>
      </c>
    </row>
    <row r="1119" spans="2:10">
      <c r="B1119" t="s">
        <v>438</v>
      </c>
      <c r="C1119" s="24" t="s">
        <v>27</v>
      </c>
      <c r="D1119" s="25">
        <v>113.9</v>
      </c>
      <c r="E1119" s="26">
        <v>178</v>
      </c>
      <c r="G1119" s="17">
        <f t="shared" si="61"/>
        <v>175.23076923076923</v>
      </c>
      <c r="H1119" s="27" t="str">
        <f t="shared" si="63"/>
        <v>POSITIVO</v>
      </c>
      <c r="J1119" s="17">
        <f t="shared" si="62"/>
        <v>162.71428571428572</v>
      </c>
    </row>
    <row r="1120" spans="2:10">
      <c r="B1120" t="s">
        <v>779</v>
      </c>
      <c r="C1120" s="24" t="s">
        <v>27</v>
      </c>
      <c r="D1120" s="25">
        <v>28.5</v>
      </c>
      <c r="E1120" s="26">
        <v>55</v>
      </c>
      <c r="G1120" s="17">
        <f t="shared" si="61"/>
        <v>43.846153846153847</v>
      </c>
      <c r="H1120" s="27" t="str">
        <f t="shared" si="63"/>
        <v>POSITIVO</v>
      </c>
      <c r="J1120" s="17">
        <f t="shared" si="62"/>
        <v>40.714285714285715</v>
      </c>
    </row>
    <row r="1121" spans="1:10">
      <c r="B1121" t="s">
        <v>780</v>
      </c>
      <c r="C1121" s="24" t="s">
        <v>27</v>
      </c>
      <c r="D1121" s="25">
        <v>14.9</v>
      </c>
      <c r="E1121" s="26">
        <v>38</v>
      </c>
      <c r="G1121" s="17">
        <f t="shared" si="61"/>
        <v>22.923076923076923</v>
      </c>
      <c r="H1121" s="27" t="str">
        <f t="shared" si="63"/>
        <v>POSITIVO</v>
      </c>
      <c r="J1121" s="17">
        <f t="shared" si="62"/>
        <v>21.285714285714288</v>
      </c>
    </row>
    <row r="1122" spans="1:10">
      <c r="B1122" t="s">
        <v>439</v>
      </c>
      <c r="C1122" s="24" t="s">
        <v>27</v>
      </c>
      <c r="D1122" s="25">
        <v>22.93</v>
      </c>
      <c r="E1122" s="26">
        <v>36</v>
      </c>
      <c r="G1122" s="17">
        <f t="shared" si="61"/>
        <v>35.276923076923076</v>
      </c>
      <c r="H1122" s="27" t="str">
        <f t="shared" si="63"/>
        <v>POSITIVO</v>
      </c>
      <c r="J1122" s="17">
        <f t="shared" si="62"/>
        <v>32.75714285714286</v>
      </c>
    </row>
    <row r="1123" spans="1:10">
      <c r="B1123" t="s">
        <v>1954</v>
      </c>
      <c r="C1123" s="30" t="s">
        <v>27</v>
      </c>
      <c r="D1123" s="13">
        <v>8.2100000000000009</v>
      </c>
      <c r="E1123" s="13">
        <v>15</v>
      </c>
      <c r="G1123" s="17">
        <f t="shared" si="61"/>
        <v>12.630769230769232</v>
      </c>
      <c r="H1123" s="27" t="str">
        <f t="shared" si="63"/>
        <v>POSITIVO</v>
      </c>
      <c r="J1123" s="17">
        <f t="shared" si="62"/>
        <v>11.728571428571431</v>
      </c>
    </row>
    <row r="1124" spans="1:10">
      <c r="B1124" t="s">
        <v>1956</v>
      </c>
      <c r="C1124" s="30" t="s">
        <v>27</v>
      </c>
      <c r="D1124" s="13">
        <v>16.98</v>
      </c>
      <c r="E1124" s="13">
        <v>29.9</v>
      </c>
      <c r="G1124" s="17">
        <f t="shared" si="61"/>
        <v>26.123076923076923</v>
      </c>
      <c r="H1124" s="27" t="str">
        <f t="shared" si="63"/>
        <v>POSITIVO</v>
      </c>
      <c r="J1124" s="17">
        <f t="shared" si="62"/>
        <v>24.25714285714286</v>
      </c>
    </row>
    <row r="1125" spans="1:10">
      <c r="B1125" t="s">
        <v>1953</v>
      </c>
      <c r="C1125" s="30" t="s">
        <v>27</v>
      </c>
      <c r="D1125" s="13">
        <v>11.38</v>
      </c>
      <c r="E1125" s="13">
        <v>18</v>
      </c>
      <c r="G1125" s="17">
        <f t="shared" si="61"/>
        <v>17.507692307692309</v>
      </c>
      <c r="H1125" s="27" t="str">
        <f t="shared" si="63"/>
        <v>POSITIVO</v>
      </c>
      <c r="J1125" s="17">
        <f t="shared" si="62"/>
        <v>16.25714285714286</v>
      </c>
    </row>
    <row r="1126" spans="1:10">
      <c r="B1126" t="s">
        <v>1955</v>
      </c>
      <c r="C1126" s="30" t="s">
        <v>27</v>
      </c>
      <c r="D1126" s="13">
        <v>24.85</v>
      </c>
      <c r="E1126" s="13">
        <v>35.9</v>
      </c>
      <c r="G1126" s="17">
        <f t="shared" si="61"/>
        <v>38.230769230769234</v>
      </c>
      <c r="H1126" s="27" t="str">
        <f t="shared" si="63"/>
        <v>NEGATIVO</v>
      </c>
      <c r="J1126" s="17">
        <f t="shared" si="62"/>
        <v>35.500000000000007</v>
      </c>
    </row>
    <row r="1127" spans="1:10">
      <c r="B1127" t="s">
        <v>1959</v>
      </c>
      <c r="C1127" s="30" t="s">
        <v>27</v>
      </c>
      <c r="D1127" s="13">
        <v>54.26</v>
      </c>
      <c r="E1127" s="13">
        <v>85</v>
      </c>
      <c r="G1127" s="17">
        <f t="shared" si="61"/>
        <v>83.476923076923072</v>
      </c>
      <c r="H1127" s="27" t="str">
        <f t="shared" si="63"/>
        <v>POSITIVO</v>
      </c>
      <c r="J1127" s="17">
        <f t="shared" si="62"/>
        <v>77.51428571428572</v>
      </c>
    </row>
    <row r="1128" spans="1:10">
      <c r="B1128" t="s">
        <v>1963</v>
      </c>
      <c r="C1128" s="30" t="s">
        <v>27</v>
      </c>
      <c r="D1128" s="13">
        <v>4.09</v>
      </c>
      <c r="E1128" s="13">
        <v>10</v>
      </c>
      <c r="G1128" s="17">
        <f t="shared" si="61"/>
        <v>6.2923076923076922</v>
      </c>
      <c r="H1128" s="27" t="str">
        <f t="shared" si="63"/>
        <v>POSITIVO</v>
      </c>
      <c r="J1128" s="17">
        <f t="shared" si="62"/>
        <v>5.8428571428571434</v>
      </c>
    </row>
    <row r="1129" spans="1:10">
      <c r="B1129" t="s">
        <v>1958</v>
      </c>
      <c r="C1129" s="30" t="s">
        <v>27</v>
      </c>
      <c r="D1129" s="13">
        <v>10.37</v>
      </c>
      <c r="E1129" s="13">
        <v>21.8</v>
      </c>
      <c r="G1129" s="17">
        <f t="shared" si="61"/>
        <v>15.953846153846152</v>
      </c>
      <c r="H1129" s="27" t="str">
        <f t="shared" si="63"/>
        <v>POSITIVO</v>
      </c>
      <c r="J1129" s="17">
        <f t="shared" si="62"/>
        <v>14.814285714285715</v>
      </c>
    </row>
    <row r="1130" spans="1:10">
      <c r="B1130" t="s">
        <v>1957</v>
      </c>
      <c r="C1130" s="30" t="s">
        <v>27</v>
      </c>
      <c r="D1130" s="13">
        <v>8.66</v>
      </c>
      <c r="E1130" s="13">
        <v>16.899999999999999</v>
      </c>
      <c r="G1130" s="17">
        <f t="shared" si="61"/>
        <v>13.323076923076924</v>
      </c>
      <c r="H1130" s="27" t="str">
        <f t="shared" si="63"/>
        <v>POSITIVO</v>
      </c>
      <c r="J1130" s="17">
        <f t="shared" si="62"/>
        <v>12.371428571428572</v>
      </c>
    </row>
    <row r="1131" spans="1:10">
      <c r="B1131" t="s">
        <v>440</v>
      </c>
      <c r="C1131" s="24" t="s">
        <v>27</v>
      </c>
      <c r="D1131" s="25">
        <v>15.48</v>
      </c>
      <c r="E1131" s="26">
        <v>26</v>
      </c>
      <c r="G1131" s="17">
        <f t="shared" si="61"/>
        <v>23.815384615384616</v>
      </c>
      <c r="H1131" s="27" t="str">
        <f t="shared" si="63"/>
        <v>POSITIVO</v>
      </c>
      <c r="J1131" s="17">
        <f t="shared" si="62"/>
        <v>22.114285714285717</v>
      </c>
    </row>
    <row r="1132" spans="1:10">
      <c r="B1132" t="s">
        <v>441</v>
      </c>
      <c r="C1132" s="24" t="s">
        <v>27</v>
      </c>
      <c r="D1132" s="25">
        <v>20.85</v>
      </c>
      <c r="E1132" s="26">
        <v>34</v>
      </c>
      <c r="G1132" s="17">
        <f t="shared" si="61"/>
        <v>32.07692307692308</v>
      </c>
      <c r="H1132" s="27" t="str">
        <f t="shared" si="63"/>
        <v>POSITIVO</v>
      </c>
      <c r="J1132" s="17">
        <f t="shared" si="62"/>
        <v>29.785714285714288</v>
      </c>
    </row>
    <row r="1133" spans="1:10">
      <c r="A1133" s="61" t="s">
        <v>2407</v>
      </c>
      <c r="B1133" t="s">
        <v>442</v>
      </c>
      <c r="C1133" s="24" t="s">
        <v>27</v>
      </c>
      <c r="D1133" s="25">
        <v>25.99</v>
      </c>
      <c r="E1133" s="26">
        <v>42</v>
      </c>
      <c r="G1133" s="17">
        <f t="shared" si="61"/>
        <v>39.984615384615381</v>
      </c>
      <c r="H1133" s="27" t="str">
        <f t="shared" si="63"/>
        <v>POSITIVO</v>
      </c>
      <c r="J1133" s="17">
        <f t="shared" si="62"/>
        <v>37.128571428571426</v>
      </c>
    </row>
    <row r="1134" spans="1:10">
      <c r="B1134" t="s">
        <v>1260</v>
      </c>
      <c r="C1134" s="24" t="s">
        <v>27</v>
      </c>
      <c r="D1134" s="25">
        <v>31.03</v>
      </c>
      <c r="E1134" s="26">
        <v>51.5</v>
      </c>
      <c r="G1134" s="17">
        <f t="shared" si="61"/>
        <v>47.738461538461536</v>
      </c>
      <c r="H1134" s="27" t="str">
        <f t="shared" si="63"/>
        <v>POSITIVO</v>
      </c>
      <c r="J1134" s="17">
        <f t="shared" si="62"/>
        <v>44.328571428571436</v>
      </c>
    </row>
    <row r="1135" spans="1:10">
      <c r="B1135" t="s">
        <v>1287</v>
      </c>
      <c r="C1135" s="30" t="s">
        <v>27</v>
      </c>
      <c r="D1135" s="13">
        <v>19.899999999999999</v>
      </c>
      <c r="E1135" s="13">
        <v>30</v>
      </c>
      <c r="G1135" s="17">
        <f t="shared" si="61"/>
        <v>30.615384615384613</v>
      </c>
      <c r="H1135" s="27" t="str">
        <f t="shared" si="63"/>
        <v>NEGATIVO</v>
      </c>
      <c r="J1135" s="17">
        <f t="shared" si="62"/>
        <v>28.428571428571427</v>
      </c>
    </row>
    <row r="1136" spans="1:10">
      <c r="B1136" t="s">
        <v>1634</v>
      </c>
      <c r="C1136" s="24" t="s">
        <v>27</v>
      </c>
      <c r="D1136" s="13">
        <v>49.9</v>
      </c>
      <c r="E1136" s="13">
        <v>77</v>
      </c>
      <c r="G1136" s="17">
        <f t="shared" si="61"/>
        <v>76.769230769230759</v>
      </c>
      <c r="H1136" s="27" t="str">
        <f t="shared" si="63"/>
        <v>POSITIVO</v>
      </c>
      <c r="J1136" s="17">
        <f t="shared" si="62"/>
        <v>71.285714285714292</v>
      </c>
    </row>
    <row r="1137" spans="2:10">
      <c r="B1137" t="s">
        <v>1981</v>
      </c>
      <c r="C1137" s="30" t="s">
        <v>27</v>
      </c>
      <c r="D1137" s="13">
        <v>26.61</v>
      </c>
      <c r="E1137" s="13">
        <v>42</v>
      </c>
      <c r="G1137" s="17">
        <f t="shared" si="61"/>
        <v>40.938461538461539</v>
      </c>
      <c r="H1137" s="27" t="str">
        <f t="shared" si="63"/>
        <v>POSITIVO</v>
      </c>
      <c r="J1137" s="17">
        <f t="shared" si="62"/>
        <v>38.014285714285712</v>
      </c>
    </row>
    <row r="1138" spans="2:10">
      <c r="B1138" t="s">
        <v>443</v>
      </c>
      <c r="C1138" s="24" t="s">
        <v>27</v>
      </c>
      <c r="D1138" s="25">
        <v>5.33</v>
      </c>
      <c r="E1138" s="26">
        <v>8.9</v>
      </c>
      <c r="G1138" s="17">
        <f t="shared" si="61"/>
        <v>8.1999999999999993</v>
      </c>
      <c r="H1138" s="27" t="str">
        <f t="shared" si="63"/>
        <v>POSITIVO</v>
      </c>
      <c r="J1138" s="17">
        <f t="shared" si="62"/>
        <v>7.6142857142857148</v>
      </c>
    </row>
    <row r="1139" spans="2:10">
      <c r="B1139" t="s">
        <v>444</v>
      </c>
      <c r="C1139" s="24" t="s">
        <v>27</v>
      </c>
      <c r="D1139" s="25">
        <v>1.28</v>
      </c>
      <c r="E1139" s="26">
        <v>2.5</v>
      </c>
      <c r="G1139" s="17">
        <f t="shared" si="61"/>
        <v>1.9692307692307691</v>
      </c>
      <c r="H1139" s="27" t="str">
        <f t="shared" si="63"/>
        <v>POSITIVO</v>
      </c>
      <c r="J1139" s="17">
        <f t="shared" si="62"/>
        <v>1.8285714285714287</v>
      </c>
    </row>
    <row r="1140" spans="2:10">
      <c r="B1140" t="s">
        <v>445</v>
      </c>
      <c r="C1140" s="24" t="s">
        <v>27</v>
      </c>
      <c r="D1140" s="25">
        <v>11.82</v>
      </c>
      <c r="E1140" s="26">
        <v>16.5</v>
      </c>
      <c r="G1140" s="17">
        <f t="shared" si="61"/>
        <v>18.184615384615384</v>
      </c>
      <c r="H1140" s="27" t="str">
        <f t="shared" si="63"/>
        <v>NEGATIVO</v>
      </c>
      <c r="J1140" s="17">
        <f t="shared" si="62"/>
        <v>16.885714285714286</v>
      </c>
    </row>
    <row r="1141" spans="2:10">
      <c r="B1141" t="s">
        <v>446</v>
      </c>
      <c r="C1141" s="24" t="s">
        <v>27</v>
      </c>
      <c r="D1141" s="25">
        <v>3.15</v>
      </c>
      <c r="E1141" s="26">
        <v>5</v>
      </c>
      <c r="G1141" s="17">
        <f t="shared" si="61"/>
        <v>4.8461538461538458</v>
      </c>
      <c r="H1141" s="27" t="str">
        <f t="shared" si="63"/>
        <v>POSITIVO</v>
      </c>
      <c r="J1141" s="17">
        <f t="shared" si="62"/>
        <v>4.5</v>
      </c>
    </row>
    <row r="1142" spans="2:10">
      <c r="B1142" t="s">
        <v>447</v>
      </c>
      <c r="C1142" s="24" t="s">
        <v>27</v>
      </c>
      <c r="D1142" s="25">
        <v>31.45</v>
      </c>
      <c r="E1142" s="26">
        <v>49</v>
      </c>
      <c r="G1142" s="17">
        <f t="shared" si="61"/>
        <v>48.38461538461538</v>
      </c>
      <c r="H1142" s="27" t="str">
        <f t="shared" si="63"/>
        <v>POSITIVO</v>
      </c>
      <c r="J1142" s="17">
        <f t="shared" si="62"/>
        <v>44.928571428571431</v>
      </c>
    </row>
    <row r="1143" spans="2:10">
      <c r="B1143" t="s">
        <v>1357</v>
      </c>
      <c r="C1143" s="30" t="s">
        <v>27</v>
      </c>
      <c r="D1143" s="13">
        <v>3.15</v>
      </c>
      <c r="E1143" s="13">
        <v>5</v>
      </c>
      <c r="G1143" s="17">
        <f t="shared" si="61"/>
        <v>4.8461538461538458</v>
      </c>
      <c r="H1143" s="27" t="str">
        <f t="shared" si="63"/>
        <v>POSITIVO</v>
      </c>
      <c r="J1143" s="17">
        <f t="shared" si="62"/>
        <v>4.5</v>
      </c>
    </row>
    <row r="1144" spans="2:10">
      <c r="B1144" t="s">
        <v>1017</v>
      </c>
      <c r="C1144" s="30" t="s">
        <v>27</v>
      </c>
      <c r="D1144" s="13">
        <v>3.99</v>
      </c>
      <c r="E1144" s="13">
        <v>8</v>
      </c>
      <c r="G1144" s="17">
        <f t="shared" si="61"/>
        <v>6.1384615384615389</v>
      </c>
      <c r="H1144" s="27" t="str">
        <f t="shared" si="63"/>
        <v>POSITIVO</v>
      </c>
      <c r="J1144" s="17">
        <f t="shared" si="62"/>
        <v>5.7000000000000011</v>
      </c>
    </row>
    <row r="1145" spans="2:10">
      <c r="B1145" t="s">
        <v>1704</v>
      </c>
      <c r="C1145" s="30" t="s">
        <v>27</v>
      </c>
      <c r="D1145" s="13">
        <v>21.98</v>
      </c>
      <c r="E1145" s="13">
        <v>33.9</v>
      </c>
      <c r="G1145" s="17">
        <f t="shared" si="61"/>
        <v>33.815384615384616</v>
      </c>
      <c r="H1145" s="27" t="str">
        <f t="shared" si="63"/>
        <v>POSITIVO</v>
      </c>
      <c r="J1145" s="17">
        <f t="shared" si="62"/>
        <v>31.400000000000002</v>
      </c>
    </row>
    <row r="1146" spans="2:10">
      <c r="B1146" t="s">
        <v>448</v>
      </c>
      <c r="C1146" s="24" t="s">
        <v>27</v>
      </c>
      <c r="D1146" s="25">
        <v>12.1</v>
      </c>
      <c r="E1146" s="26">
        <v>22</v>
      </c>
      <c r="G1146" s="17">
        <f t="shared" si="61"/>
        <v>18.615384615384613</v>
      </c>
      <c r="H1146" s="27" t="str">
        <f t="shared" si="63"/>
        <v>POSITIVO</v>
      </c>
      <c r="J1146" s="17">
        <f t="shared" si="62"/>
        <v>17.285714285714285</v>
      </c>
    </row>
    <row r="1147" spans="2:10">
      <c r="B1147" t="s">
        <v>449</v>
      </c>
      <c r="C1147" s="24" t="s">
        <v>27</v>
      </c>
      <c r="D1147" s="25">
        <v>30.52</v>
      </c>
      <c r="E1147" s="26">
        <v>42</v>
      </c>
      <c r="G1147" s="17">
        <f t="shared" si="61"/>
        <v>46.95384615384615</v>
      </c>
      <c r="H1147" s="27" t="str">
        <f t="shared" si="63"/>
        <v>NEGATIVO</v>
      </c>
      <c r="J1147" s="17">
        <f t="shared" si="62"/>
        <v>43.6</v>
      </c>
    </row>
    <row r="1148" spans="2:10">
      <c r="B1148" t="s">
        <v>1633</v>
      </c>
      <c r="C1148" s="30" t="s">
        <v>27</v>
      </c>
      <c r="D1148" s="13">
        <v>17.989999999999998</v>
      </c>
      <c r="E1148" s="13">
        <v>32</v>
      </c>
      <c r="G1148" s="17">
        <f t="shared" si="61"/>
        <v>27.676923076923075</v>
      </c>
      <c r="H1148" s="27" t="str">
        <f t="shared" si="63"/>
        <v>POSITIVO</v>
      </c>
      <c r="J1148" s="17">
        <f t="shared" si="62"/>
        <v>25.7</v>
      </c>
    </row>
    <row r="1149" spans="2:10">
      <c r="B1149" t="s">
        <v>1696</v>
      </c>
      <c r="C1149" s="30" t="s">
        <v>27</v>
      </c>
      <c r="D1149" s="13">
        <v>39.799999999999997</v>
      </c>
      <c r="E1149" s="13">
        <v>60</v>
      </c>
      <c r="G1149" s="17">
        <f t="shared" si="61"/>
        <v>61.230769230769226</v>
      </c>
      <c r="H1149" s="27" t="str">
        <f t="shared" si="63"/>
        <v>NEGATIVO</v>
      </c>
      <c r="J1149" s="17">
        <f t="shared" si="62"/>
        <v>56.857142857142854</v>
      </c>
    </row>
    <row r="1150" spans="2:10">
      <c r="B1150" t="s">
        <v>1855</v>
      </c>
      <c r="C1150" s="30" t="s">
        <v>27</v>
      </c>
      <c r="D1150" s="13">
        <v>79.53</v>
      </c>
      <c r="E1150" s="13">
        <v>125</v>
      </c>
      <c r="G1150" s="17">
        <f t="shared" si="61"/>
        <v>122.35384615384615</v>
      </c>
      <c r="H1150" s="27" t="str">
        <f t="shared" si="63"/>
        <v>POSITIVO</v>
      </c>
      <c r="J1150" s="17">
        <f t="shared" si="62"/>
        <v>113.61428571428573</v>
      </c>
    </row>
    <row r="1151" spans="2:10">
      <c r="B1151" t="s">
        <v>1856</v>
      </c>
      <c r="C1151" s="30" t="s">
        <v>27</v>
      </c>
      <c r="D1151" s="13">
        <v>60.75</v>
      </c>
      <c r="E1151" s="13">
        <v>95</v>
      </c>
      <c r="G1151" s="17">
        <f t="shared" si="61"/>
        <v>93.461538461538453</v>
      </c>
      <c r="H1151" s="27" t="str">
        <f t="shared" si="63"/>
        <v>POSITIVO</v>
      </c>
      <c r="J1151" s="17">
        <f t="shared" si="62"/>
        <v>86.785714285714292</v>
      </c>
    </row>
    <row r="1152" spans="2:10">
      <c r="B1152" t="s">
        <v>781</v>
      </c>
      <c r="C1152" s="24" t="s">
        <v>46</v>
      </c>
      <c r="D1152" s="25">
        <v>41.85</v>
      </c>
      <c r="E1152" s="26">
        <v>80</v>
      </c>
      <c r="G1152" s="17">
        <f t="shared" si="61"/>
        <v>64.384615384615387</v>
      </c>
      <c r="H1152" s="27" t="str">
        <f t="shared" si="63"/>
        <v>POSITIVO</v>
      </c>
      <c r="J1152" s="17">
        <f t="shared" si="62"/>
        <v>59.785714285714292</v>
      </c>
    </row>
    <row r="1153" spans="2:10">
      <c r="B1153" t="s">
        <v>1206</v>
      </c>
      <c r="C1153" s="30" t="s">
        <v>27</v>
      </c>
      <c r="D1153" s="13">
        <v>29.9</v>
      </c>
      <c r="E1153" s="13">
        <v>48</v>
      </c>
      <c r="G1153" s="17">
        <f t="shared" si="61"/>
        <v>45.999999999999993</v>
      </c>
      <c r="H1153" s="27" t="str">
        <f t="shared" si="63"/>
        <v>POSITIVO</v>
      </c>
      <c r="J1153" s="17">
        <f t="shared" si="62"/>
        <v>42.714285714285715</v>
      </c>
    </row>
    <row r="1154" spans="2:10">
      <c r="B1154" t="s">
        <v>1725</v>
      </c>
      <c r="C1154" s="30" t="s">
        <v>27</v>
      </c>
      <c r="D1154" s="13">
        <v>3.6</v>
      </c>
      <c r="E1154" s="13">
        <v>6.9</v>
      </c>
      <c r="G1154" s="17">
        <f t="shared" ref="G1154:G1204" si="64">(D1154/65%)</f>
        <v>5.5384615384615383</v>
      </c>
      <c r="H1154" s="27" t="str">
        <f t="shared" si="63"/>
        <v>POSITIVO</v>
      </c>
      <c r="J1154" s="17">
        <f t="shared" ref="J1154:J1204" si="65">D1154/70%</f>
        <v>5.1428571428571432</v>
      </c>
    </row>
    <row r="1155" spans="2:10">
      <c r="B1155" t="s">
        <v>1605</v>
      </c>
      <c r="C1155" s="30" t="s">
        <v>27</v>
      </c>
      <c r="D1155" s="13">
        <v>0.92</v>
      </c>
      <c r="E1155" s="13">
        <v>2.5</v>
      </c>
      <c r="G1155" s="17">
        <f t="shared" si="64"/>
        <v>1.4153846153846155</v>
      </c>
      <c r="H1155" s="27" t="str">
        <f t="shared" si="63"/>
        <v>POSITIVO</v>
      </c>
      <c r="J1155" s="17">
        <f t="shared" si="65"/>
        <v>1.3142857142857145</v>
      </c>
    </row>
    <row r="1156" spans="2:10">
      <c r="B1156" t="s">
        <v>1886</v>
      </c>
      <c r="C1156" s="30" t="s">
        <v>27</v>
      </c>
      <c r="D1156" s="13">
        <v>0.82</v>
      </c>
      <c r="E1156" s="13">
        <v>1.5</v>
      </c>
      <c r="G1156" s="17">
        <f t="shared" si="64"/>
        <v>1.2615384615384615</v>
      </c>
      <c r="H1156" s="27" t="str">
        <f t="shared" si="63"/>
        <v>POSITIVO</v>
      </c>
      <c r="J1156" s="17">
        <f t="shared" si="65"/>
        <v>1.1714285714285715</v>
      </c>
    </row>
    <row r="1157" spans="2:10">
      <c r="B1157" t="s">
        <v>450</v>
      </c>
      <c r="C1157" s="24" t="s">
        <v>27</v>
      </c>
      <c r="D1157" s="25">
        <v>1</v>
      </c>
      <c r="E1157" s="25">
        <v>2.5</v>
      </c>
      <c r="G1157" s="17">
        <f t="shared" si="64"/>
        <v>1.5384615384615383</v>
      </c>
      <c r="H1157" s="27" t="str">
        <f t="shared" si="63"/>
        <v>POSITIVO</v>
      </c>
      <c r="J1157" s="17">
        <f t="shared" si="65"/>
        <v>1.4285714285714286</v>
      </c>
    </row>
    <row r="1158" spans="2:10">
      <c r="B1158" t="s">
        <v>1724</v>
      </c>
      <c r="C1158" s="30" t="s">
        <v>27</v>
      </c>
      <c r="D1158" s="13">
        <v>2.8</v>
      </c>
      <c r="E1158" s="13">
        <v>4.5</v>
      </c>
      <c r="G1158" s="17">
        <f t="shared" si="64"/>
        <v>4.3076923076923075</v>
      </c>
      <c r="H1158" s="27" t="str">
        <f t="shared" si="63"/>
        <v>POSITIVO</v>
      </c>
      <c r="J1158" s="17">
        <f t="shared" si="65"/>
        <v>4</v>
      </c>
    </row>
    <row r="1159" spans="2:10">
      <c r="B1159" t="s">
        <v>1723</v>
      </c>
      <c r="C1159" s="24" t="s">
        <v>27</v>
      </c>
      <c r="D1159" s="25">
        <v>3.9</v>
      </c>
      <c r="E1159" s="26">
        <v>6</v>
      </c>
      <c r="G1159" s="17">
        <f t="shared" si="64"/>
        <v>6</v>
      </c>
      <c r="H1159" s="27" t="str">
        <f t="shared" si="63"/>
        <v>POSITIVO</v>
      </c>
      <c r="J1159" s="17">
        <f t="shared" si="65"/>
        <v>5.5714285714285721</v>
      </c>
    </row>
    <row r="1160" spans="2:10">
      <c r="B1160" t="s">
        <v>451</v>
      </c>
      <c r="C1160" s="24" t="s">
        <v>27</v>
      </c>
      <c r="D1160" s="25">
        <v>2.6</v>
      </c>
      <c r="E1160" s="26">
        <v>4</v>
      </c>
      <c r="G1160" s="17">
        <f t="shared" si="64"/>
        <v>4</v>
      </c>
      <c r="H1160" s="27" t="str">
        <f t="shared" ref="H1160:H1210" si="66">IF(E1160&gt;=G1160,"POSITIVO","NEGATIVO")</f>
        <v>POSITIVO</v>
      </c>
      <c r="J1160" s="17">
        <f t="shared" si="65"/>
        <v>3.7142857142857149</v>
      </c>
    </row>
    <row r="1161" spans="2:10">
      <c r="B1161" t="s">
        <v>1284</v>
      </c>
      <c r="C1161" s="30" t="s">
        <v>27</v>
      </c>
      <c r="D1161" s="13">
        <v>1.3</v>
      </c>
      <c r="E1161" s="13">
        <v>2</v>
      </c>
      <c r="G1161" s="17">
        <f t="shared" si="64"/>
        <v>2</v>
      </c>
      <c r="H1161" s="27" t="str">
        <f t="shared" si="66"/>
        <v>POSITIVO</v>
      </c>
      <c r="J1161" s="17">
        <f t="shared" si="65"/>
        <v>1.8571428571428574</v>
      </c>
    </row>
    <row r="1162" spans="2:10">
      <c r="B1162" t="s">
        <v>1342</v>
      </c>
      <c r="C1162" s="30" t="s">
        <v>27</v>
      </c>
      <c r="D1162" s="13">
        <v>8.6999999999999993</v>
      </c>
      <c r="E1162" s="13">
        <v>15</v>
      </c>
      <c r="G1162" s="17">
        <f t="shared" si="64"/>
        <v>13.384615384615383</v>
      </c>
      <c r="H1162" s="27" t="str">
        <f t="shared" si="66"/>
        <v>POSITIVO</v>
      </c>
      <c r="J1162" s="17">
        <f t="shared" si="65"/>
        <v>12.428571428571429</v>
      </c>
    </row>
    <row r="1163" spans="2:10">
      <c r="B1163" t="s">
        <v>1343</v>
      </c>
      <c r="C1163" s="30" t="s">
        <v>27</v>
      </c>
      <c r="D1163" s="13">
        <v>3.2</v>
      </c>
      <c r="E1163" s="13">
        <v>8.5</v>
      </c>
      <c r="G1163" s="17">
        <f t="shared" si="64"/>
        <v>4.9230769230769234</v>
      </c>
      <c r="H1163" s="27" t="str">
        <f t="shared" si="66"/>
        <v>POSITIVO</v>
      </c>
      <c r="J1163" s="17">
        <f t="shared" si="65"/>
        <v>4.5714285714285721</v>
      </c>
    </row>
    <row r="1164" spans="2:10">
      <c r="B1164" t="s">
        <v>1420</v>
      </c>
      <c r="C1164" s="30" t="s">
        <v>27</v>
      </c>
      <c r="D1164" s="13">
        <v>4.3</v>
      </c>
      <c r="E1164" s="13">
        <v>6.8</v>
      </c>
      <c r="G1164" s="17">
        <f t="shared" si="64"/>
        <v>6.615384615384615</v>
      </c>
      <c r="H1164" s="27" t="str">
        <f t="shared" si="66"/>
        <v>POSITIVO</v>
      </c>
      <c r="J1164" s="17">
        <f t="shared" si="65"/>
        <v>6.1428571428571432</v>
      </c>
    </row>
    <row r="1165" spans="2:10">
      <c r="B1165" t="s">
        <v>782</v>
      </c>
      <c r="C1165" s="24" t="s">
        <v>27</v>
      </c>
      <c r="D1165" s="25">
        <v>2.74</v>
      </c>
      <c r="E1165" s="25">
        <v>3.95</v>
      </c>
      <c r="G1165" s="17">
        <f t="shared" si="64"/>
        <v>4.2153846153846155</v>
      </c>
      <c r="H1165" s="27" t="str">
        <f t="shared" si="66"/>
        <v>NEGATIVO</v>
      </c>
      <c r="J1165" s="17">
        <f t="shared" si="65"/>
        <v>3.914285714285715</v>
      </c>
    </row>
    <row r="1166" spans="2:10">
      <c r="B1166" t="s">
        <v>1646</v>
      </c>
      <c r="C1166" s="30" t="s">
        <v>27</v>
      </c>
      <c r="D1166" s="13">
        <v>2.99</v>
      </c>
      <c r="E1166" s="13">
        <v>4.5999999999999996</v>
      </c>
      <c r="G1166" s="17">
        <f t="shared" si="64"/>
        <v>4.6000000000000005</v>
      </c>
      <c r="H1166" s="27" t="str">
        <f t="shared" si="66"/>
        <v>POSITIVO</v>
      </c>
      <c r="J1166" s="17">
        <f t="shared" si="65"/>
        <v>4.2714285714285722</v>
      </c>
    </row>
    <row r="1167" spans="2:10">
      <c r="B1167" t="s">
        <v>1036</v>
      </c>
      <c r="C1167" s="24" t="s">
        <v>27</v>
      </c>
      <c r="D1167" s="25">
        <v>5.07</v>
      </c>
      <c r="E1167" s="25">
        <v>7.8</v>
      </c>
      <c r="G1167" s="17">
        <f t="shared" si="64"/>
        <v>7.8</v>
      </c>
      <c r="H1167" s="27" t="str">
        <f t="shared" si="66"/>
        <v>POSITIVO</v>
      </c>
      <c r="J1167" s="17">
        <f t="shared" si="65"/>
        <v>7.2428571428571438</v>
      </c>
    </row>
    <row r="1168" spans="2:10">
      <c r="B1168" t="s">
        <v>452</v>
      </c>
      <c r="C1168" s="24" t="s">
        <v>27</v>
      </c>
      <c r="D1168" s="25">
        <v>7.9</v>
      </c>
      <c r="E1168" s="26">
        <v>12</v>
      </c>
      <c r="G1168" s="17">
        <f t="shared" si="64"/>
        <v>12.153846153846153</v>
      </c>
      <c r="H1168" s="27" t="str">
        <f t="shared" si="66"/>
        <v>NEGATIVO</v>
      </c>
      <c r="J1168" s="17">
        <f t="shared" si="65"/>
        <v>11.285714285714286</v>
      </c>
    </row>
    <row r="1169" spans="1:10">
      <c r="B1169" t="s">
        <v>1465</v>
      </c>
      <c r="C1169" s="30" t="s">
        <v>27</v>
      </c>
      <c r="D1169" s="13">
        <v>3.6</v>
      </c>
      <c r="E1169" s="13">
        <v>5.5</v>
      </c>
      <c r="G1169" s="17">
        <f t="shared" si="64"/>
        <v>5.5384615384615383</v>
      </c>
      <c r="H1169" s="27" t="str">
        <f t="shared" si="66"/>
        <v>NEGATIVO</v>
      </c>
      <c r="J1169" s="17">
        <f t="shared" si="65"/>
        <v>5.1428571428571432</v>
      </c>
    </row>
    <row r="1170" spans="1:10">
      <c r="B1170" t="s">
        <v>1977</v>
      </c>
      <c r="C1170" s="30" t="s">
        <v>27</v>
      </c>
      <c r="D1170" s="13">
        <v>0.83</v>
      </c>
      <c r="E1170" s="13">
        <v>1.3</v>
      </c>
      <c r="G1170" s="17">
        <f t="shared" si="64"/>
        <v>1.2769230769230768</v>
      </c>
      <c r="H1170" s="27" t="str">
        <f t="shared" si="66"/>
        <v>POSITIVO</v>
      </c>
      <c r="J1170" s="17">
        <f t="shared" si="65"/>
        <v>1.1857142857142857</v>
      </c>
    </row>
    <row r="1171" spans="1:10">
      <c r="B1171" t="s">
        <v>1978</v>
      </c>
      <c r="C1171" s="24" t="s">
        <v>27</v>
      </c>
      <c r="D1171" s="25">
        <v>1.08</v>
      </c>
      <c r="E1171" s="26">
        <v>1.75</v>
      </c>
      <c r="G1171" s="17">
        <f t="shared" si="64"/>
        <v>1.6615384615384616</v>
      </c>
      <c r="H1171" s="27" t="str">
        <f t="shared" si="66"/>
        <v>POSITIVO</v>
      </c>
      <c r="J1171" s="17">
        <f t="shared" si="65"/>
        <v>1.5428571428571431</v>
      </c>
    </row>
    <row r="1172" spans="1:10">
      <c r="B1172" t="s">
        <v>850</v>
      </c>
      <c r="C1172" s="30" t="s">
        <v>27</v>
      </c>
      <c r="D1172" s="13">
        <v>2.2000000000000002</v>
      </c>
      <c r="E1172" s="13">
        <v>3.4</v>
      </c>
      <c r="G1172" s="17">
        <f t="shared" si="64"/>
        <v>3.3846153846153846</v>
      </c>
      <c r="H1172" s="27" t="str">
        <f t="shared" si="66"/>
        <v>POSITIVO</v>
      </c>
      <c r="J1172" s="17">
        <f t="shared" si="65"/>
        <v>3.1428571428571432</v>
      </c>
    </row>
    <row r="1173" spans="1:10">
      <c r="B1173" t="s">
        <v>1464</v>
      </c>
      <c r="C1173" s="30" t="s">
        <v>27</v>
      </c>
      <c r="D1173" s="13">
        <v>2.96</v>
      </c>
      <c r="E1173" s="13">
        <v>4.5999999999999996</v>
      </c>
      <c r="G1173" s="17">
        <f t="shared" si="64"/>
        <v>4.5538461538461537</v>
      </c>
      <c r="H1173" s="27" t="str">
        <f t="shared" si="66"/>
        <v>POSITIVO</v>
      </c>
      <c r="J1173" s="17">
        <f t="shared" si="65"/>
        <v>4.2285714285714286</v>
      </c>
    </row>
    <row r="1174" spans="1:10">
      <c r="B1174" t="s">
        <v>1929</v>
      </c>
      <c r="C1174" s="30" t="s">
        <v>27</v>
      </c>
      <c r="D1174" s="13">
        <v>6.05</v>
      </c>
      <c r="E1174" s="13">
        <v>9.35</v>
      </c>
      <c r="G1174" s="17">
        <f t="shared" si="64"/>
        <v>9.3076923076923066</v>
      </c>
      <c r="H1174" s="27" t="str">
        <f t="shared" si="66"/>
        <v>POSITIVO</v>
      </c>
      <c r="J1174" s="17">
        <f t="shared" si="65"/>
        <v>8.6428571428571423</v>
      </c>
    </row>
    <row r="1175" spans="1:10">
      <c r="B1175" t="s">
        <v>1875</v>
      </c>
      <c r="C1175" s="30" t="s">
        <v>1483</v>
      </c>
      <c r="D1175" s="13">
        <v>1.08</v>
      </c>
      <c r="E1175" s="13">
        <v>1.9</v>
      </c>
      <c r="G1175" s="17">
        <f t="shared" si="64"/>
        <v>1.6615384615384616</v>
      </c>
      <c r="H1175" s="27" t="str">
        <f t="shared" si="66"/>
        <v>POSITIVO</v>
      </c>
      <c r="J1175" s="17">
        <f t="shared" si="65"/>
        <v>1.5428571428571431</v>
      </c>
    </row>
    <row r="1176" spans="1:10">
      <c r="B1176" t="s">
        <v>783</v>
      </c>
      <c r="C1176" s="24" t="s">
        <v>27</v>
      </c>
      <c r="D1176" s="25">
        <v>1.4</v>
      </c>
      <c r="E1176" s="26">
        <v>2.5</v>
      </c>
      <c r="G1176" s="17">
        <f t="shared" si="64"/>
        <v>2.1538461538461537</v>
      </c>
      <c r="H1176" s="27" t="str">
        <f t="shared" si="66"/>
        <v>POSITIVO</v>
      </c>
      <c r="J1176" s="17">
        <f t="shared" si="65"/>
        <v>2</v>
      </c>
    </row>
    <row r="1177" spans="1:10">
      <c r="B1177" t="s">
        <v>1838</v>
      </c>
      <c r="C1177" s="30" t="s">
        <v>27</v>
      </c>
      <c r="D1177" s="13">
        <v>1.73</v>
      </c>
      <c r="E1177" s="13">
        <v>2.7</v>
      </c>
      <c r="G1177" s="17">
        <f t="shared" si="64"/>
        <v>2.6615384615384614</v>
      </c>
      <c r="H1177" s="27" t="str">
        <f t="shared" si="66"/>
        <v>POSITIVO</v>
      </c>
      <c r="J1177" s="17">
        <f t="shared" si="65"/>
        <v>2.4714285714285715</v>
      </c>
    </row>
    <row r="1178" spans="1:10">
      <c r="B1178" t="s">
        <v>453</v>
      </c>
      <c r="C1178" s="24" t="s">
        <v>27</v>
      </c>
      <c r="D1178" s="25">
        <v>6.58</v>
      </c>
      <c r="E1178" s="26">
        <v>12</v>
      </c>
      <c r="G1178" s="17">
        <f t="shared" si="64"/>
        <v>10.123076923076923</v>
      </c>
      <c r="H1178" s="27" t="str">
        <f t="shared" si="66"/>
        <v>POSITIVO</v>
      </c>
      <c r="J1178" s="17">
        <f t="shared" si="65"/>
        <v>9.4</v>
      </c>
    </row>
    <row r="1179" spans="1:10">
      <c r="B1179" t="s">
        <v>454</v>
      </c>
      <c r="C1179" s="24" t="s">
        <v>27</v>
      </c>
      <c r="D1179" s="25">
        <v>5.47</v>
      </c>
      <c r="E1179" s="26">
        <v>10</v>
      </c>
      <c r="G1179" s="17">
        <f t="shared" si="64"/>
        <v>8.4153846153846139</v>
      </c>
      <c r="H1179" s="27" t="str">
        <f t="shared" si="66"/>
        <v>POSITIVO</v>
      </c>
      <c r="J1179" s="17">
        <f t="shared" si="65"/>
        <v>7.8142857142857141</v>
      </c>
    </row>
    <row r="1180" spans="1:10">
      <c r="B1180" t="s">
        <v>998</v>
      </c>
      <c r="C1180" s="30" t="s">
        <v>27</v>
      </c>
      <c r="D1180" s="13">
        <v>18.36</v>
      </c>
      <c r="E1180" s="13">
        <v>29.5</v>
      </c>
      <c r="G1180" s="17">
        <f t="shared" si="64"/>
        <v>28.246153846153845</v>
      </c>
      <c r="H1180" s="27" t="str">
        <f t="shared" si="66"/>
        <v>POSITIVO</v>
      </c>
      <c r="J1180" s="17">
        <f t="shared" si="65"/>
        <v>26.228571428571428</v>
      </c>
    </row>
    <row r="1181" spans="1:10">
      <c r="B1181" t="s">
        <v>784</v>
      </c>
      <c r="C1181" s="24" t="s">
        <v>27</v>
      </c>
      <c r="D1181" s="25">
        <v>2.99</v>
      </c>
      <c r="E1181" s="26">
        <v>4.7</v>
      </c>
      <c r="G1181" s="17">
        <f t="shared" si="64"/>
        <v>4.6000000000000005</v>
      </c>
      <c r="H1181" s="27" t="str">
        <f t="shared" si="66"/>
        <v>POSITIVO</v>
      </c>
      <c r="J1181" s="17">
        <f t="shared" si="65"/>
        <v>4.2714285714285722</v>
      </c>
    </row>
    <row r="1182" spans="1:10">
      <c r="B1182" t="s">
        <v>455</v>
      </c>
      <c r="C1182" s="24" t="s">
        <v>27</v>
      </c>
      <c r="D1182" s="25">
        <v>2.95</v>
      </c>
      <c r="E1182" s="26">
        <v>4.5999999999999996</v>
      </c>
      <c r="G1182" s="17">
        <f t="shared" si="64"/>
        <v>4.5384615384615383</v>
      </c>
      <c r="H1182" s="27" t="str">
        <f t="shared" si="66"/>
        <v>POSITIVO</v>
      </c>
      <c r="J1182" s="17">
        <f t="shared" si="65"/>
        <v>4.2142857142857144</v>
      </c>
    </row>
    <row r="1183" spans="1:10">
      <c r="A1183" s="61" t="s">
        <v>2474</v>
      </c>
      <c r="B1183" t="s">
        <v>2473</v>
      </c>
      <c r="C1183" s="24" t="s">
        <v>27</v>
      </c>
      <c r="D1183" s="25">
        <v>2.72</v>
      </c>
      <c r="E1183" s="26">
        <v>4.5</v>
      </c>
      <c r="G1183" s="17">
        <f t="shared" si="64"/>
        <v>4.1846153846153848</v>
      </c>
      <c r="H1183" s="27" t="str">
        <f t="shared" si="66"/>
        <v>POSITIVO</v>
      </c>
      <c r="J1183" s="17">
        <f t="shared" si="65"/>
        <v>3.8857142857142861</v>
      </c>
    </row>
    <row r="1184" spans="1:10">
      <c r="B1184" t="s">
        <v>456</v>
      </c>
      <c r="C1184" s="24" t="s">
        <v>27</v>
      </c>
      <c r="D1184" s="25">
        <v>3.16</v>
      </c>
      <c r="E1184" s="26">
        <v>5.15</v>
      </c>
      <c r="G1184" s="17">
        <f t="shared" si="64"/>
        <v>4.861538461538462</v>
      </c>
      <c r="H1184" s="27" t="str">
        <f t="shared" si="66"/>
        <v>POSITIVO</v>
      </c>
      <c r="J1184" s="17">
        <f t="shared" si="65"/>
        <v>4.5142857142857151</v>
      </c>
    </row>
    <row r="1185" spans="2:10">
      <c r="B1185" t="s">
        <v>1379</v>
      </c>
      <c r="C1185" s="24" t="s">
        <v>27</v>
      </c>
      <c r="D1185" s="13">
        <v>5.23</v>
      </c>
      <c r="E1185" s="13">
        <v>8.1999999999999993</v>
      </c>
      <c r="G1185" s="17">
        <f t="shared" si="64"/>
        <v>8.046153846153846</v>
      </c>
      <c r="H1185" s="27" t="str">
        <f t="shared" si="66"/>
        <v>POSITIVO</v>
      </c>
      <c r="J1185" s="17">
        <f t="shared" si="65"/>
        <v>7.4714285714285724</v>
      </c>
    </row>
    <row r="1186" spans="2:10">
      <c r="B1186" t="s">
        <v>1903</v>
      </c>
      <c r="C1186" s="30" t="s">
        <v>27</v>
      </c>
      <c r="D1186" s="13">
        <v>15.53</v>
      </c>
      <c r="E1186" s="13">
        <v>24.5</v>
      </c>
      <c r="G1186" s="17">
        <f t="shared" si="64"/>
        <v>23.892307692307689</v>
      </c>
      <c r="H1186" s="27" t="str">
        <f t="shared" si="66"/>
        <v>POSITIVO</v>
      </c>
      <c r="J1186" s="17">
        <f t="shared" si="65"/>
        <v>22.185714285714287</v>
      </c>
    </row>
    <row r="1187" spans="2:10">
      <c r="B1187" t="s">
        <v>457</v>
      </c>
      <c r="C1187" s="24" t="s">
        <v>27</v>
      </c>
      <c r="D1187" s="25">
        <v>5.43</v>
      </c>
      <c r="E1187" s="25">
        <v>8.5</v>
      </c>
      <c r="G1187" s="17">
        <f t="shared" si="64"/>
        <v>8.3538461538461526</v>
      </c>
      <c r="H1187" s="27" t="str">
        <f t="shared" si="66"/>
        <v>POSITIVO</v>
      </c>
      <c r="J1187" s="17">
        <f t="shared" si="65"/>
        <v>7.7571428571428571</v>
      </c>
    </row>
    <row r="1188" spans="2:10">
      <c r="B1188" t="s">
        <v>1144</v>
      </c>
      <c r="C1188" s="24" t="s">
        <v>27</v>
      </c>
      <c r="D1188" s="13">
        <v>6.16</v>
      </c>
      <c r="E1188" s="13">
        <v>9.5</v>
      </c>
      <c r="G1188" s="17">
        <f t="shared" si="64"/>
        <v>9.476923076923077</v>
      </c>
      <c r="H1188" s="27" t="str">
        <f t="shared" si="66"/>
        <v>POSITIVO</v>
      </c>
      <c r="J1188" s="17">
        <f t="shared" si="65"/>
        <v>8.8000000000000007</v>
      </c>
    </row>
    <row r="1189" spans="2:10">
      <c r="B1189" t="s">
        <v>919</v>
      </c>
      <c r="C1189" s="24" t="s">
        <v>27</v>
      </c>
      <c r="D1189" s="13">
        <v>6.76</v>
      </c>
      <c r="E1189" s="13">
        <v>10.5</v>
      </c>
      <c r="G1189" s="17">
        <f t="shared" si="64"/>
        <v>10.399999999999999</v>
      </c>
      <c r="H1189" s="27" t="str">
        <f t="shared" si="66"/>
        <v>POSITIVO</v>
      </c>
      <c r="J1189" s="17">
        <f t="shared" si="65"/>
        <v>9.6571428571428566</v>
      </c>
    </row>
    <row r="1190" spans="2:10">
      <c r="B1190" t="s">
        <v>458</v>
      </c>
      <c r="C1190" s="24" t="s">
        <v>27</v>
      </c>
      <c r="D1190" s="25">
        <v>7.41</v>
      </c>
      <c r="E1190" s="25">
        <v>11.5</v>
      </c>
      <c r="G1190" s="17">
        <f t="shared" si="64"/>
        <v>11.4</v>
      </c>
      <c r="H1190" s="27" t="str">
        <f t="shared" si="66"/>
        <v>POSITIVO</v>
      </c>
      <c r="J1190" s="17">
        <f t="shared" si="65"/>
        <v>10.585714285714287</v>
      </c>
    </row>
    <row r="1191" spans="2:10">
      <c r="B1191" t="s">
        <v>1355</v>
      </c>
      <c r="C1191" s="30" t="s">
        <v>27</v>
      </c>
      <c r="D1191" s="13">
        <v>11.91</v>
      </c>
      <c r="E1191" s="13">
        <v>18.5</v>
      </c>
      <c r="G1191" s="17">
        <f t="shared" si="64"/>
        <v>18.323076923076922</v>
      </c>
      <c r="H1191" s="27" t="str">
        <f t="shared" si="66"/>
        <v>POSITIVO</v>
      </c>
      <c r="J1191" s="17">
        <f t="shared" si="65"/>
        <v>17.014285714285716</v>
      </c>
    </row>
    <row r="1192" spans="2:10">
      <c r="B1192" t="s">
        <v>459</v>
      </c>
      <c r="C1192" s="24" t="s">
        <v>27</v>
      </c>
      <c r="D1192" s="25">
        <v>8.5500000000000007</v>
      </c>
      <c r="E1192" s="26">
        <v>13.5</v>
      </c>
      <c r="G1192" s="17">
        <f t="shared" si="64"/>
        <v>13.153846153846155</v>
      </c>
      <c r="H1192" s="27" t="str">
        <f t="shared" si="66"/>
        <v>POSITIVO</v>
      </c>
      <c r="J1192" s="17">
        <f t="shared" si="65"/>
        <v>12.214285714285715</v>
      </c>
    </row>
    <row r="1193" spans="2:10">
      <c r="B1193" t="s">
        <v>460</v>
      </c>
      <c r="C1193" s="24" t="s">
        <v>27</v>
      </c>
      <c r="D1193" s="25">
        <v>10.08</v>
      </c>
      <c r="E1193" s="26">
        <v>15.8</v>
      </c>
      <c r="G1193" s="17">
        <f t="shared" si="64"/>
        <v>15.507692307692308</v>
      </c>
      <c r="H1193" s="27" t="str">
        <f t="shared" si="66"/>
        <v>POSITIVO</v>
      </c>
      <c r="J1193" s="17">
        <f t="shared" si="65"/>
        <v>14.4</v>
      </c>
    </row>
    <row r="1194" spans="2:10">
      <c r="B1194" t="s">
        <v>461</v>
      </c>
      <c r="C1194" s="24" t="s">
        <v>27</v>
      </c>
      <c r="D1194" s="25">
        <v>16.739999999999998</v>
      </c>
      <c r="E1194" s="26">
        <v>26</v>
      </c>
      <c r="G1194" s="17">
        <f t="shared" si="64"/>
        <v>25.753846153846151</v>
      </c>
      <c r="H1194" s="27" t="str">
        <f t="shared" si="66"/>
        <v>POSITIVO</v>
      </c>
      <c r="J1194" s="17">
        <f t="shared" si="65"/>
        <v>23.914285714285715</v>
      </c>
    </row>
    <row r="1195" spans="2:10">
      <c r="B1195" t="s">
        <v>1881</v>
      </c>
      <c r="C1195" s="30" t="s">
        <v>27</v>
      </c>
      <c r="D1195" s="13">
        <v>18.329999999999998</v>
      </c>
      <c r="E1195" s="13">
        <v>28.5</v>
      </c>
      <c r="G1195" s="17">
        <f t="shared" si="64"/>
        <v>28.199999999999996</v>
      </c>
      <c r="H1195" s="27" t="str">
        <f t="shared" si="66"/>
        <v>POSITIVO</v>
      </c>
      <c r="J1195" s="17">
        <f t="shared" si="65"/>
        <v>26.185714285714283</v>
      </c>
    </row>
    <row r="1196" spans="2:10">
      <c r="B1196" t="s">
        <v>900</v>
      </c>
      <c r="C1196" s="30" t="s">
        <v>27</v>
      </c>
      <c r="D1196" s="13">
        <v>6.49</v>
      </c>
      <c r="E1196" s="13">
        <v>10.5</v>
      </c>
      <c r="G1196" s="17">
        <f t="shared" si="64"/>
        <v>9.9846153846153847</v>
      </c>
      <c r="H1196" s="27" t="str">
        <f t="shared" si="66"/>
        <v>POSITIVO</v>
      </c>
      <c r="J1196" s="17">
        <f t="shared" si="65"/>
        <v>9.2714285714285722</v>
      </c>
    </row>
    <row r="1197" spans="2:10">
      <c r="B1197" t="s">
        <v>1720</v>
      </c>
      <c r="C1197" s="24" t="s">
        <v>27</v>
      </c>
      <c r="D1197" s="25">
        <v>5.7</v>
      </c>
      <c r="E1197" s="26">
        <v>9</v>
      </c>
      <c r="G1197" s="17">
        <f t="shared" si="64"/>
        <v>8.7692307692307701</v>
      </c>
      <c r="H1197" s="27" t="str">
        <f t="shared" si="66"/>
        <v>POSITIVO</v>
      </c>
      <c r="J1197" s="17">
        <f t="shared" si="65"/>
        <v>8.1428571428571441</v>
      </c>
    </row>
    <row r="1198" spans="2:10">
      <c r="B1198" t="s">
        <v>462</v>
      </c>
      <c r="C1198" s="24" t="s">
        <v>27</v>
      </c>
      <c r="D1198" s="25">
        <v>18.899999999999999</v>
      </c>
      <c r="E1198" s="26">
        <v>30</v>
      </c>
      <c r="G1198" s="17">
        <f t="shared" si="64"/>
        <v>29.076923076923073</v>
      </c>
      <c r="H1198" s="27" t="str">
        <f t="shared" si="66"/>
        <v>POSITIVO</v>
      </c>
      <c r="J1198" s="17">
        <f t="shared" si="65"/>
        <v>27</v>
      </c>
    </row>
    <row r="1199" spans="2:10">
      <c r="B1199" t="s">
        <v>463</v>
      </c>
      <c r="C1199" s="24" t="s">
        <v>27</v>
      </c>
      <c r="D1199" s="25">
        <v>17.64</v>
      </c>
      <c r="E1199" s="26">
        <v>28</v>
      </c>
      <c r="G1199" s="17">
        <f t="shared" si="64"/>
        <v>27.138461538461538</v>
      </c>
      <c r="H1199" s="27" t="str">
        <f t="shared" si="66"/>
        <v>POSITIVO</v>
      </c>
      <c r="J1199" s="17">
        <f t="shared" si="65"/>
        <v>25.200000000000003</v>
      </c>
    </row>
    <row r="1200" spans="2:10">
      <c r="B1200" t="s">
        <v>1656</v>
      </c>
      <c r="C1200" s="30" t="s">
        <v>27</v>
      </c>
      <c r="D1200" s="13">
        <v>50.15</v>
      </c>
      <c r="E1200" s="13">
        <v>78.900000000000006</v>
      </c>
      <c r="G1200" s="17">
        <f t="shared" si="64"/>
        <v>77.153846153846146</v>
      </c>
      <c r="H1200" s="27" t="str">
        <f t="shared" si="66"/>
        <v>POSITIVO</v>
      </c>
      <c r="J1200" s="17">
        <f t="shared" si="65"/>
        <v>71.642857142857139</v>
      </c>
    </row>
    <row r="1201" spans="2:10">
      <c r="B1201" t="s">
        <v>1077</v>
      </c>
      <c r="C1201" s="24" t="s">
        <v>27</v>
      </c>
      <c r="D1201" s="13">
        <v>100.82</v>
      </c>
      <c r="E1201" s="13">
        <v>162</v>
      </c>
      <c r="G1201" s="17">
        <f t="shared" si="64"/>
        <v>155.1076923076923</v>
      </c>
      <c r="H1201" s="27" t="str">
        <f t="shared" si="66"/>
        <v>POSITIVO</v>
      </c>
      <c r="J1201" s="17">
        <f t="shared" si="65"/>
        <v>144.02857142857144</v>
      </c>
    </row>
    <row r="1202" spans="2:10">
      <c r="B1202" t="s">
        <v>1078</v>
      </c>
      <c r="C1202" s="24" t="s">
        <v>27</v>
      </c>
      <c r="D1202" s="13">
        <v>42.33</v>
      </c>
      <c r="E1202" s="13">
        <v>68</v>
      </c>
      <c r="G1202" s="17">
        <f t="shared" si="64"/>
        <v>65.123076923076923</v>
      </c>
      <c r="H1202" s="27" t="str">
        <f t="shared" si="66"/>
        <v>POSITIVO</v>
      </c>
      <c r="J1202" s="17">
        <f t="shared" si="65"/>
        <v>60.471428571428575</v>
      </c>
    </row>
    <row r="1203" spans="2:10">
      <c r="B1203" t="s">
        <v>464</v>
      </c>
      <c r="C1203" s="24" t="s">
        <v>27</v>
      </c>
      <c r="D1203" s="25">
        <v>46</v>
      </c>
      <c r="E1203" s="26">
        <v>72</v>
      </c>
      <c r="G1203" s="17">
        <f t="shared" si="64"/>
        <v>70.769230769230774</v>
      </c>
      <c r="H1203" s="27" t="str">
        <f t="shared" si="66"/>
        <v>POSITIVO</v>
      </c>
      <c r="J1203" s="17">
        <f t="shared" si="65"/>
        <v>65.714285714285722</v>
      </c>
    </row>
    <row r="1204" spans="2:10">
      <c r="B1204" t="s">
        <v>465</v>
      </c>
      <c r="C1204" s="24" t="s">
        <v>27</v>
      </c>
      <c r="D1204" s="25">
        <v>12.9</v>
      </c>
      <c r="E1204" s="26">
        <v>19.899999999999999</v>
      </c>
      <c r="G1204" s="17">
        <f t="shared" si="64"/>
        <v>19.846153846153847</v>
      </c>
      <c r="H1204" s="27" t="str">
        <f t="shared" si="66"/>
        <v>POSITIVO</v>
      </c>
      <c r="J1204" s="17">
        <f t="shared" si="65"/>
        <v>18.428571428571431</v>
      </c>
    </row>
    <row r="1205" spans="2:10">
      <c r="B1205" t="s">
        <v>1322</v>
      </c>
      <c r="C1205" s="30" t="s">
        <v>27</v>
      </c>
      <c r="D1205" s="13">
        <v>10.220000000000001</v>
      </c>
      <c r="E1205" s="13">
        <v>17</v>
      </c>
      <c r="G1205" s="17">
        <f t="shared" ref="G1205:G1267" si="67">(D1205/65%)</f>
        <v>15.723076923076924</v>
      </c>
      <c r="H1205" s="27" t="str">
        <f t="shared" si="66"/>
        <v>POSITIVO</v>
      </c>
      <c r="J1205" s="17">
        <f t="shared" ref="J1205:J1267" si="68">D1205/70%</f>
        <v>14.600000000000001</v>
      </c>
    </row>
    <row r="1206" spans="2:10">
      <c r="B1206" t="s">
        <v>1075</v>
      </c>
      <c r="C1206" s="30" t="s">
        <v>27</v>
      </c>
      <c r="D1206" s="13">
        <v>27.8</v>
      </c>
      <c r="E1206" s="13">
        <v>43.7</v>
      </c>
      <c r="G1206" s="17">
        <f t="shared" si="67"/>
        <v>42.769230769230766</v>
      </c>
      <c r="H1206" s="27" t="str">
        <f t="shared" si="66"/>
        <v>POSITIVO</v>
      </c>
      <c r="J1206" s="17">
        <f t="shared" si="68"/>
        <v>39.714285714285715</v>
      </c>
    </row>
    <row r="1207" spans="2:10">
      <c r="B1207" t="s">
        <v>1074</v>
      </c>
      <c r="C1207" s="30" t="s">
        <v>27</v>
      </c>
      <c r="D1207" s="13">
        <v>28.33</v>
      </c>
      <c r="E1207" s="13">
        <v>45.8</v>
      </c>
      <c r="G1207" s="17">
        <f t="shared" si="67"/>
        <v>43.584615384615383</v>
      </c>
      <c r="H1207" s="27" t="str">
        <f t="shared" si="66"/>
        <v>POSITIVO</v>
      </c>
      <c r="J1207" s="17">
        <f t="shared" si="68"/>
        <v>40.471428571428575</v>
      </c>
    </row>
    <row r="1208" spans="2:10">
      <c r="B1208" t="s">
        <v>466</v>
      </c>
      <c r="C1208" s="24" t="s">
        <v>27</v>
      </c>
      <c r="D1208" s="25">
        <v>16.05</v>
      </c>
      <c r="E1208" s="26">
        <v>25</v>
      </c>
      <c r="G1208" s="17">
        <f t="shared" si="67"/>
        <v>24.692307692307693</v>
      </c>
      <c r="H1208" s="27" t="str">
        <f t="shared" si="66"/>
        <v>POSITIVO</v>
      </c>
      <c r="J1208" s="17">
        <f t="shared" si="68"/>
        <v>22.928571428571431</v>
      </c>
    </row>
    <row r="1209" spans="2:10">
      <c r="B1209" t="s">
        <v>901</v>
      </c>
      <c r="C1209" s="24" t="s">
        <v>27</v>
      </c>
      <c r="D1209" s="25">
        <v>12.8</v>
      </c>
      <c r="E1209" s="26">
        <v>19.899999999999999</v>
      </c>
      <c r="G1209" s="17">
        <f t="shared" si="67"/>
        <v>19.692307692307693</v>
      </c>
      <c r="H1209" s="27" t="str">
        <f t="shared" si="66"/>
        <v>POSITIVO</v>
      </c>
      <c r="J1209" s="17">
        <f t="shared" si="68"/>
        <v>18.285714285714288</v>
      </c>
    </row>
    <row r="1210" spans="2:10">
      <c r="B1210" t="s">
        <v>467</v>
      </c>
      <c r="C1210" s="24" t="s">
        <v>27</v>
      </c>
      <c r="D1210" s="25">
        <v>13.21</v>
      </c>
      <c r="E1210" s="26">
        <v>20</v>
      </c>
      <c r="G1210" s="17">
        <f t="shared" si="67"/>
        <v>20.323076923076922</v>
      </c>
      <c r="H1210" s="27" t="str">
        <f t="shared" si="66"/>
        <v>NEGATIVO</v>
      </c>
      <c r="J1210" s="17">
        <f t="shared" si="68"/>
        <v>18.871428571428574</v>
      </c>
    </row>
    <row r="1211" spans="2:10">
      <c r="B1211" t="s">
        <v>1066</v>
      </c>
      <c r="C1211" s="30" t="s">
        <v>27</v>
      </c>
      <c r="D1211" s="13">
        <v>13.9</v>
      </c>
      <c r="E1211" s="13">
        <v>22</v>
      </c>
      <c r="G1211" s="17">
        <f t="shared" si="67"/>
        <v>21.384615384615383</v>
      </c>
      <c r="H1211" s="27" t="str">
        <f t="shared" ref="H1211:H1273" si="69">IF(E1211&gt;=G1211,"POSITIVO","NEGATIVO")</f>
        <v>POSITIVO</v>
      </c>
      <c r="J1211" s="17">
        <f t="shared" si="68"/>
        <v>19.857142857142858</v>
      </c>
    </row>
    <row r="1212" spans="2:10">
      <c r="B1212" t="s">
        <v>1146</v>
      </c>
      <c r="C1212" s="30" t="s">
        <v>27</v>
      </c>
      <c r="D1212" s="13">
        <v>37.25</v>
      </c>
      <c r="E1212" s="13">
        <v>58</v>
      </c>
      <c r="G1212" s="17">
        <f t="shared" si="67"/>
        <v>57.307692307692307</v>
      </c>
      <c r="H1212" s="27" t="str">
        <f t="shared" si="69"/>
        <v>POSITIVO</v>
      </c>
      <c r="J1212" s="17">
        <f t="shared" si="68"/>
        <v>53.214285714285715</v>
      </c>
    </row>
    <row r="1213" spans="2:10">
      <c r="B1213" t="s">
        <v>1038</v>
      </c>
      <c r="C1213" s="30" t="s">
        <v>27</v>
      </c>
      <c r="D1213" s="13">
        <v>26.38</v>
      </c>
      <c r="E1213" s="13">
        <v>42</v>
      </c>
      <c r="G1213" s="17">
        <f t="shared" si="67"/>
        <v>40.584615384615383</v>
      </c>
      <c r="H1213" s="27" t="str">
        <f t="shared" si="69"/>
        <v>POSITIVO</v>
      </c>
      <c r="J1213" s="17">
        <f t="shared" si="68"/>
        <v>37.685714285714283</v>
      </c>
    </row>
    <row r="1214" spans="2:10">
      <c r="B1214" t="s">
        <v>1249</v>
      </c>
      <c r="C1214" s="30" t="s">
        <v>27</v>
      </c>
      <c r="D1214" s="13">
        <v>237.14</v>
      </c>
      <c r="E1214" s="13">
        <v>365</v>
      </c>
      <c r="G1214" s="17">
        <f t="shared" si="67"/>
        <v>364.83076923076919</v>
      </c>
      <c r="H1214" s="27" t="str">
        <f t="shared" si="69"/>
        <v>POSITIVO</v>
      </c>
      <c r="J1214" s="17">
        <f t="shared" si="68"/>
        <v>338.7714285714286</v>
      </c>
    </row>
    <row r="1215" spans="2:10">
      <c r="B1215" t="s">
        <v>1250</v>
      </c>
      <c r="C1215" s="30" t="s">
        <v>27</v>
      </c>
      <c r="D1215" s="13">
        <v>288.73</v>
      </c>
      <c r="E1215" s="13">
        <v>445</v>
      </c>
      <c r="G1215" s="17">
        <f t="shared" si="67"/>
        <v>444.2</v>
      </c>
      <c r="H1215" s="27" t="str">
        <f t="shared" si="69"/>
        <v>POSITIVO</v>
      </c>
      <c r="J1215" s="17">
        <f t="shared" si="68"/>
        <v>412.47142857142865</v>
      </c>
    </row>
    <row r="1216" spans="2:10">
      <c r="B1216" t="s">
        <v>785</v>
      </c>
      <c r="C1216" s="24" t="s">
        <v>27</v>
      </c>
      <c r="D1216" s="25">
        <v>406.62</v>
      </c>
      <c r="E1216" s="26">
        <v>580</v>
      </c>
      <c r="G1216" s="17">
        <f t="shared" si="67"/>
        <v>625.56923076923078</v>
      </c>
      <c r="H1216" s="27" t="str">
        <f t="shared" si="69"/>
        <v>NEGATIVO</v>
      </c>
      <c r="J1216" s="17">
        <f t="shared" si="68"/>
        <v>580.88571428571436</v>
      </c>
    </row>
    <row r="1217" spans="1:10">
      <c r="B1217" t="s">
        <v>786</v>
      </c>
      <c r="C1217" s="24" t="s">
        <v>27</v>
      </c>
      <c r="D1217" s="25">
        <v>295</v>
      </c>
      <c r="E1217" s="26">
        <v>455</v>
      </c>
      <c r="G1217" s="17">
        <f t="shared" si="67"/>
        <v>453.84615384615381</v>
      </c>
      <c r="H1217" s="27" t="str">
        <f t="shared" si="69"/>
        <v>POSITIVO</v>
      </c>
      <c r="J1217" s="17">
        <f t="shared" si="68"/>
        <v>421.42857142857144</v>
      </c>
    </row>
    <row r="1218" spans="1:10">
      <c r="B1218" t="s">
        <v>1033</v>
      </c>
      <c r="C1218" s="24" t="s">
        <v>27</v>
      </c>
      <c r="D1218" s="25">
        <v>325</v>
      </c>
      <c r="E1218" s="13">
        <v>505</v>
      </c>
      <c r="G1218" s="17">
        <f t="shared" si="67"/>
        <v>500</v>
      </c>
      <c r="H1218" s="27" t="str">
        <f t="shared" si="69"/>
        <v>POSITIVO</v>
      </c>
      <c r="J1218" s="17">
        <f t="shared" si="68"/>
        <v>464.28571428571433</v>
      </c>
    </row>
    <row r="1219" spans="1:10">
      <c r="B1219" t="s">
        <v>787</v>
      </c>
      <c r="C1219" s="24" t="s">
        <v>27</v>
      </c>
      <c r="D1219" s="25">
        <v>418.55</v>
      </c>
      <c r="E1219" s="26">
        <v>680</v>
      </c>
      <c r="G1219" s="17">
        <f t="shared" si="67"/>
        <v>643.92307692307691</v>
      </c>
      <c r="H1219" s="27" t="str">
        <f t="shared" si="69"/>
        <v>POSITIVO</v>
      </c>
      <c r="J1219" s="17">
        <f t="shared" si="68"/>
        <v>597.92857142857144</v>
      </c>
    </row>
    <row r="1220" spans="1:10">
      <c r="B1220" t="s">
        <v>788</v>
      </c>
      <c r="C1220" s="24" t="s">
        <v>27</v>
      </c>
      <c r="D1220" s="25">
        <v>499.5</v>
      </c>
      <c r="E1220" s="26">
        <v>780</v>
      </c>
      <c r="G1220" s="17">
        <f t="shared" si="67"/>
        <v>768.46153846153845</v>
      </c>
      <c r="H1220" s="27" t="str">
        <f t="shared" si="69"/>
        <v>POSITIVO</v>
      </c>
      <c r="J1220" s="17">
        <f t="shared" si="68"/>
        <v>713.57142857142867</v>
      </c>
    </row>
    <row r="1221" spans="1:10">
      <c r="B1221" t="s">
        <v>789</v>
      </c>
      <c r="C1221" s="24" t="s">
        <v>27</v>
      </c>
      <c r="D1221" s="25">
        <v>569.12</v>
      </c>
      <c r="E1221" s="26">
        <v>878</v>
      </c>
      <c r="G1221" s="17">
        <f t="shared" si="67"/>
        <v>875.56923076923078</v>
      </c>
      <c r="H1221" s="27" t="str">
        <f t="shared" si="69"/>
        <v>POSITIVO</v>
      </c>
      <c r="J1221" s="17">
        <f t="shared" si="68"/>
        <v>813.02857142857147</v>
      </c>
    </row>
    <row r="1222" spans="1:10">
      <c r="B1222" t="s">
        <v>1248</v>
      </c>
      <c r="C1222" s="24" t="s">
        <v>27</v>
      </c>
      <c r="D1222" s="13">
        <v>598.64</v>
      </c>
      <c r="E1222" s="13">
        <v>930</v>
      </c>
      <c r="G1222" s="17">
        <f t="shared" si="67"/>
        <v>920.98461538461538</v>
      </c>
      <c r="H1222" s="27" t="str">
        <f t="shared" si="69"/>
        <v>POSITIVO</v>
      </c>
      <c r="J1222" s="17">
        <f t="shared" si="68"/>
        <v>855.2</v>
      </c>
    </row>
    <row r="1223" spans="1:10">
      <c r="B1223" t="s">
        <v>790</v>
      </c>
      <c r="C1223" s="24" t="s">
        <v>27</v>
      </c>
      <c r="D1223" s="25">
        <v>305</v>
      </c>
      <c r="E1223" s="26">
        <v>470</v>
      </c>
      <c r="G1223" s="17">
        <f t="shared" si="67"/>
        <v>469.23076923076923</v>
      </c>
      <c r="H1223" s="27" t="str">
        <f t="shared" si="69"/>
        <v>POSITIVO</v>
      </c>
      <c r="J1223" s="17">
        <f t="shared" si="68"/>
        <v>435.71428571428572</v>
      </c>
    </row>
    <row r="1224" spans="1:10">
      <c r="B1224" t="s">
        <v>791</v>
      </c>
      <c r="C1224" s="24" t="s">
        <v>27</v>
      </c>
      <c r="D1224" s="25">
        <v>408.22</v>
      </c>
      <c r="E1224" s="26">
        <v>630</v>
      </c>
      <c r="G1224" s="17">
        <f t="shared" si="67"/>
        <v>628.03076923076924</v>
      </c>
      <c r="H1224" s="27" t="str">
        <f t="shared" si="69"/>
        <v>POSITIVO</v>
      </c>
      <c r="J1224" s="17">
        <f t="shared" si="68"/>
        <v>583.17142857142869</v>
      </c>
    </row>
    <row r="1225" spans="1:10">
      <c r="B1225" t="s">
        <v>468</v>
      </c>
      <c r="C1225" s="24" t="s">
        <v>27</v>
      </c>
      <c r="D1225" s="25">
        <v>54.2</v>
      </c>
      <c r="E1225" s="26">
        <v>74.5</v>
      </c>
      <c r="G1225" s="17">
        <f t="shared" si="67"/>
        <v>83.384615384615387</v>
      </c>
      <c r="H1225" s="27" t="str">
        <f t="shared" si="69"/>
        <v>NEGATIVO</v>
      </c>
      <c r="J1225" s="17">
        <f t="shared" si="68"/>
        <v>77.428571428571431</v>
      </c>
    </row>
    <row r="1226" spans="1:10">
      <c r="B1226" t="s">
        <v>469</v>
      </c>
      <c r="C1226" s="24" t="s">
        <v>27</v>
      </c>
      <c r="D1226" s="25">
        <v>20.2</v>
      </c>
      <c r="E1226" s="26">
        <v>32</v>
      </c>
      <c r="G1226" s="17">
        <f t="shared" si="67"/>
        <v>31.076923076923073</v>
      </c>
      <c r="H1226" s="27" t="str">
        <f t="shared" si="69"/>
        <v>POSITIVO</v>
      </c>
      <c r="J1226" s="17">
        <f t="shared" si="68"/>
        <v>28.857142857142858</v>
      </c>
    </row>
    <row r="1227" spans="1:10">
      <c r="B1227" t="s">
        <v>1381</v>
      </c>
      <c r="C1227" s="30" t="s">
        <v>27</v>
      </c>
      <c r="D1227" s="13">
        <v>33.21</v>
      </c>
      <c r="E1227" s="13">
        <v>52</v>
      </c>
      <c r="G1227" s="17">
        <f t="shared" si="67"/>
        <v>51.092307692307692</v>
      </c>
      <c r="H1227" s="27" t="str">
        <f t="shared" si="69"/>
        <v>POSITIVO</v>
      </c>
      <c r="J1227" s="17">
        <f t="shared" si="68"/>
        <v>47.44285714285715</v>
      </c>
    </row>
    <row r="1228" spans="1:10">
      <c r="B1228" t="s">
        <v>792</v>
      </c>
      <c r="C1228" s="24" t="s">
        <v>27</v>
      </c>
      <c r="D1228" s="25">
        <v>20</v>
      </c>
      <c r="E1228" s="26">
        <v>32</v>
      </c>
      <c r="G1228" s="17">
        <f t="shared" si="67"/>
        <v>30.769230769230766</v>
      </c>
      <c r="H1228" s="27" t="str">
        <f t="shared" si="69"/>
        <v>POSITIVO</v>
      </c>
      <c r="J1228" s="17">
        <f t="shared" si="68"/>
        <v>28.571428571428573</v>
      </c>
    </row>
    <row r="1229" spans="1:10">
      <c r="B1229" t="s">
        <v>793</v>
      </c>
      <c r="C1229" s="24" t="s">
        <v>27</v>
      </c>
      <c r="D1229" s="25">
        <v>14.5</v>
      </c>
      <c r="E1229" s="26">
        <v>23</v>
      </c>
      <c r="G1229" s="17">
        <f t="shared" si="67"/>
        <v>22.307692307692307</v>
      </c>
      <c r="H1229" s="27" t="str">
        <f t="shared" si="69"/>
        <v>POSITIVO</v>
      </c>
      <c r="J1229" s="17">
        <f t="shared" si="68"/>
        <v>20.714285714285715</v>
      </c>
    </row>
    <row r="1230" spans="1:10">
      <c r="B1230" t="s">
        <v>1199</v>
      </c>
      <c r="C1230" s="30" t="s">
        <v>27</v>
      </c>
      <c r="D1230" s="13">
        <v>20.9</v>
      </c>
      <c r="E1230" s="13">
        <v>34</v>
      </c>
      <c r="G1230" s="17">
        <f t="shared" si="67"/>
        <v>32.153846153846153</v>
      </c>
      <c r="H1230" s="27" t="str">
        <f t="shared" si="69"/>
        <v>POSITIVO</v>
      </c>
      <c r="J1230" s="17">
        <f t="shared" si="68"/>
        <v>29.857142857142858</v>
      </c>
    </row>
    <row r="1231" spans="1:10">
      <c r="B1231" t="s">
        <v>1706</v>
      </c>
      <c r="C1231" s="30" t="s">
        <v>27</v>
      </c>
      <c r="D1231" s="13">
        <v>1.91</v>
      </c>
      <c r="E1231" s="13">
        <v>4</v>
      </c>
      <c r="G1231" s="17">
        <f t="shared" si="67"/>
        <v>2.9384615384615382</v>
      </c>
      <c r="H1231" s="27" t="str">
        <f t="shared" si="69"/>
        <v>POSITIVO</v>
      </c>
      <c r="J1231" s="17">
        <f t="shared" si="68"/>
        <v>2.7285714285714286</v>
      </c>
    </row>
    <row r="1232" spans="1:10">
      <c r="A1232" s="61" t="s">
        <v>2030</v>
      </c>
      <c r="B1232" t="s">
        <v>1566</v>
      </c>
      <c r="C1232" s="30" t="s">
        <v>27</v>
      </c>
      <c r="D1232" s="13">
        <v>0.56999999999999995</v>
      </c>
      <c r="E1232" s="13">
        <v>1.5</v>
      </c>
      <c r="G1232" s="17">
        <f t="shared" si="67"/>
        <v>0.87692307692307681</v>
      </c>
      <c r="H1232" s="27" t="str">
        <f t="shared" si="69"/>
        <v>POSITIVO</v>
      </c>
      <c r="J1232" s="17">
        <f t="shared" si="68"/>
        <v>0.81428571428571428</v>
      </c>
    </row>
    <row r="1233" spans="1:10">
      <c r="A1233" s="61" t="s">
        <v>2030</v>
      </c>
      <c r="B1233" t="s">
        <v>2029</v>
      </c>
      <c r="C1233" s="30" t="s">
        <v>27</v>
      </c>
      <c r="D1233" s="13">
        <v>7.68</v>
      </c>
      <c r="E1233" s="13">
        <v>12</v>
      </c>
      <c r="G1233" s="17">
        <f t="shared" si="67"/>
        <v>11.815384615384614</v>
      </c>
      <c r="H1233" s="27" t="str">
        <f t="shared" si="69"/>
        <v>POSITIVO</v>
      </c>
      <c r="J1233" s="17">
        <f t="shared" si="68"/>
        <v>10.971428571428572</v>
      </c>
    </row>
    <row r="1234" spans="1:10">
      <c r="B1234" t="s">
        <v>1792</v>
      </c>
      <c r="C1234" s="30" t="s">
        <v>27</v>
      </c>
      <c r="D1234" s="13">
        <v>12.58</v>
      </c>
      <c r="G1234" s="17">
        <f t="shared" si="67"/>
        <v>19.353846153846153</v>
      </c>
      <c r="H1234" s="27" t="str">
        <f t="shared" si="69"/>
        <v>NEGATIVO</v>
      </c>
      <c r="J1234" s="17">
        <f t="shared" si="68"/>
        <v>17.971428571428572</v>
      </c>
    </row>
    <row r="1235" spans="1:10">
      <c r="B1235" t="s">
        <v>1436</v>
      </c>
      <c r="C1235" s="30" t="s">
        <v>27</v>
      </c>
      <c r="D1235" s="13">
        <v>8.56</v>
      </c>
      <c r="E1235" s="13">
        <v>14.5</v>
      </c>
      <c r="G1235" s="17">
        <f t="shared" si="67"/>
        <v>13.16923076923077</v>
      </c>
      <c r="H1235" s="27" t="str">
        <f t="shared" si="69"/>
        <v>POSITIVO</v>
      </c>
      <c r="J1235" s="17">
        <f t="shared" si="68"/>
        <v>12.22857142857143</v>
      </c>
    </row>
    <row r="1236" spans="1:10">
      <c r="A1236" s="61" t="s">
        <v>2380</v>
      </c>
      <c r="B1236" t="s">
        <v>1651</v>
      </c>
      <c r="C1236" s="30" t="s">
        <v>27</v>
      </c>
      <c r="D1236" s="13">
        <v>15.14</v>
      </c>
      <c r="E1236" s="13">
        <v>23.5</v>
      </c>
      <c r="G1236" s="17">
        <f t="shared" si="67"/>
        <v>23.292307692307691</v>
      </c>
      <c r="H1236" s="27" t="str">
        <f t="shared" si="69"/>
        <v>POSITIVO</v>
      </c>
      <c r="J1236" s="17">
        <f t="shared" si="68"/>
        <v>21.62857142857143</v>
      </c>
    </row>
    <row r="1237" spans="1:10">
      <c r="B1237" t="s">
        <v>1354</v>
      </c>
      <c r="C1237" s="30" t="s">
        <v>27</v>
      </c>
      <c r="D1237" s="13">
        <v>35.700000000000003</v>
      </c>
      <c r="E1237" s="13">
        <v>55</v>
      </c>
      <c r="G1237" s="17">
        <f t="shared" si="67"/>
        <v>54.923076923076927</v>
      </c>
      <c r="H1237" s="27" t="str">
        <f t="shared" si="69"/>
        <v>POSITIVO</v>
      </c>
      <c r="J1237" s="17">
        <f t="shared" si="68"/>
        <v>51.000000000000007</v>
      </c>
    </row>
    <row r="1238" spans="1:10">
      <c r="B1238" t="s">
        <v>1353</v>
      </c>
      <c r="C1238" s="24" t="s">
        <v>27</v>
      </c>
      <c r="D1238" s="25">
        <v>18.29</v>
      </c>
      <c r="E1238" s="26">
        <v>30</v>
      </c>
      <c r="G1238" s="17">
        <f t="shared" si="67"/>
        <v>28.138461538461534</v>
      </c>
      <c r="H1238" s="27" t="str">
        <f t="shared" si="69"/>
        <v>POSITIVO</v>
      </c>
      <c r="J1238" s="17">
        <f t="shared" si="68"/>
        <v>26.12857142857143</v>
      </c>
    </row>
    <row r="1239" spans="1:10">
      <c r="A1239" s="61" t="s">
        <v>2308</v>
      </c>
      <c r="B1239" t="s">
        <v>2307</v>
      </c>
      <c r="C1239" s="30" t="s">
        <v>27</v>
      </c>
      <c r="D1239" s="13">
        <v>20.46</v>
      </c>
      <c r="E1239" s="13">
        <v>32</v>
      </c>
      <c r="G1239" s="17">
        <f t="shared" si="67"/>
        <v>31.476923076923079</v>
      </c>
      <c r="H1239" s="27" t="str">
        <f t="shared" si="69"/>
        <v>POSITIVO</v>
      </c>
      <c r="J1239" s="17">
        <f t="shared" si="68"/>
        <v>29.228571428571431</v>
      </c>
    </row>
    <row r="1240" spans="1:10">
      <c r="B1240" t="s">
        <v>470</v>
      </c>
      <c r="C1240" s="24" t="s">
        <v>27</v>
      </c>
      <c r="D1240" s="25">
        <v>33.58</v>
      </c>
      <c r="E1240" s="26">
        <v>52</v>
      </c>
      <c r="G1240" s="17">
        <f t="shared" si="67"/>
        <v>51.661538461538456</v>
      </c>
      <c r="H1240" s="27" t="str">
        <f t="shared" si="69"/>
        <v>POSITIVO</v>
      </c>
      <c r="J1240" s="17">
        <f t="shared" si="68"/>
        <v>47.971428571428575</v>
      </c>
    </row>
    <row r="1241" spans="1:10">
      <c r="B1241" t="s">
        <v>471</v>
      </c>
      <c r="C1241" s="24" t="s">
        <v>27</v>
      </c>
      <c r="D1241" s="25">
        <v>27.9</v>
      </c>
      <c r="E1241" s="26">
        <v>45</v>
      </c>
      <c r="G1241" s="17">
        <f t="shared" si="67"/>
        <v>42.92307692307692</v>
      </c>
      <c r="H1241" s="27" t="str">
        <f t="shared" si="69"/>
        <v>POSITIVO</v>
      </c>
      <c r="J1241" s="17">
        <f t="shared" si="68"/>
        <v>39.857142857142854</v>
      </c>
    </row>
    <row r="1242" spans="1:10">
      <c r="B1242" t="s">
        <v>472</v>
      </c>
      <c r="C1242" s="24" t="s">
        <v>27</v>
      </c>
      <c r="D1242" s="25">
        <v>2.5</v>
      </c>
      <c r="E1242" s="26">
        <v>5</v>
      </c>
      <c r="G1242" s="17">
        <f t="shared" si="67"/>
        <v>3.8461538461538458</v>
      </c>
      <c r="H1242" s="27" t="str">
        <f t="shared" si="69"/>
        <v>POSITIVO</v>
      </c>
      <c r="J1242" s="17">
        <f t="shared" si="68"/>
        <v>3.5714285714285716</v>
      </c>
    </row>
    <row r="1243" spans="1:10">
      <c r="A1243" s="61" t="s">
        <v>2028</v>
      </c>
      <c r="B1243" t="s">
        <v>2027</v>
      </c>
      <c r="C1243" s="30" t="s">
        <v>27</v>
      </c>
      <c r="D1243" s="13">
        <v>18</v>
      </c>
      <c r="E1243" s="13">
        <v>28</v>
      </c>
      <c r="G1243" s="17">
        <f t="shared" si="67"/>
        <v>27.69230769230769</v>
      </c>
      <c r="H1243" s="27" t="str">
        <f t="shared" si="69"/>
        <v>POSITIVO</v>
      </c>
      <c r="J1243" s="17">
        <f t="shared" si="68"/>
        <v>25.714285714285715</v>
      </c>
    </row>
    <row r="1244" spans="1:10">
      <c r="A1244" s="61" t="s">
        <v>2026</v>
      </c>
      <c r="B1244" t="s">
        <v>2025</v>
      </c>
      <c r="C1244" s="30" t="s">
        <v>27</v>
      </c>
      <c r="D1244" s="13">
        <v>19.41</v>
      </c>
      <c r="E1244" s="13">
        <v>30</v>
      </c>
      <c r="G1244" s="17">
        <f t="shared" si="67"/>
        <v>29.861538461538462</v>
      </c>
      <c r="H1244" s="27" t="str">
        <f t="shared" si="69"/>
        <v>POSITIVO</v>
      </c>
      <c r="J1244" s="17">
        <f t="shared" si="68"/>
        <v>27.728571428571431</v>
      </c>
    </row>
    <row r="1245" spans="1:10">
      <c r="B1245" t="s">
        <v>1139</v>
      </c>
      <c r="C1245" s="30" t="s">
        <v>27</v>
      </c>
      <c r="D1245" s="13">
        <v>19.690000000000001</v>
      </c>
      <c r="E1245" s="13">
        <v>32</v>
      </c>
      <c r="G1245" s="17">
        <f t="shared" si="67"/>
        <v>30.292307692307695</v>
      </c>
      <c r="H1245" s="27" t="str">
        <f t="shared" si="69"/>
        <v>POSITIVO</v>
      </c>
      <c r="J1245" s="17">
        <f t="shared" si="68"/>
        <v>28.128571428571433</v>
      </c>
    </row>
    <row r="1246" spans="1:10">
      <c r="B1246" t="s">
        <v>1880</v>
      </c>
      <c r="C1246" s="30" t="s">
        <v>27</v>
      </c>
      <c r="D1246" s="13">
        <v>52</v>
      </c>
      <c r="E1246" s="13">
        <v>80</v>
      </c>
      <c r="G1246" s="17">
        <f t="shared" si="67"/>
        <v>80</v>
      </c>
      <c r="H1246" s="27" t="str">
        <f t="shared" si="69"/>
        <v>POSITIVO</v>
      </c>
      <c r="J1246" s="17">
        <f t="shared" si="68"/>
        <v>74.285714285714292</v>
      </c>
    </row>
    <row r="1247" spans="1:10">
      <c r="B1247" t="s">
        <v>1878</v>
      </c>
      <c r="C1247" s="30" t="s">
        <v>27</v>
      </c>
      <c r="D1247" s="13">
        <v>9</v>
      </c>
      <c r="E1247" s="13">
        <v>13.9</v>
      </c>
      <c r="G1247" s="17">
        <f t="shared" si="67"/>
        <v>13.846153846153845</v>
      </c>
      <c r="H1247" s="27" t="str">
        <f t="shared" si="69"/>
        <v>POSITIVO</v>
      </c>
      <c r="J1247" s="17">
        <f t="shared" si="68"/>
        <v>12.857142857142858</v>
      </c>
    </row>
    <row r="1248" spans="1:10">
      <c r="B1248" t="s">
        <v>1266</v>
      </c>
      <c r="C1248" s="30" t="s">
        <v>27</v>
      </c>
      <c r="D1248" s="13">
        <v>7.9</v>
      </c>
      <c r="E1248" s="13">
        <v>12.5</v>
      </c>
      <c r="G1248" s="17">
        <f t="shared" si="67"/>
        <v>12.153846153846153</v>
      </c>
      <c r="H1248" s="27" t="str">
        <f t="shared" si="69"/>
        <v>POSITIVO</v>
      </c>
      <c r="J1248" s="17">
        <f t="shared" si="68"/>
        <v>11.285714285714286</v>
      </c>
    </row>
    <row r="1249" spans="1:10">
      <c r="B1249" t="s">
        <v>1267</v>
      </c>
      <c r="C1249" s="30" t="s">
        <v>27</v>
      </c>
      <c r="D1249" s="13">
        <v>8</v>
      </c>
      <c r="E1249" s="13">
        <v>12.5</v>
      </c>
      <c r="G1249" s="17">
        <f t="shared" si="67"/>
        <v>12.307692307692307</v>
      </c>
      <c r="H1249" s="27" t="str">
        <f t="shared" si="69"/>
        <v>POSITIVO</v>
      </c>
      <c r="J1249" s="17">
        <f t="shared" si="68"/>
        <v>11.428571428571429</v>
      </c>
    </row>
    <row r="1250" spans="1:10">
      <c r="B1250" t="s">
        <v>1268</v>
      </c>
      <c r="C1250" s="30" t="s">
        <v>27</v>
      </c>
      <c r="D1250" s="13">
        <v>8.1999999999999993</v>
      </c>
      <c r="E1250" s="13">
        <v>13</v>
      </c>
      <c r="G1250" s="17">
        <f t="shared" si="67"/>
        <v>12.615384615384613</v>
      </c>
      <c r="H1250" s="27" t="str">
        <f t="shared" si="69"/>
        <v>POSITIVO</v>
      </c>
      <c r="J1250" s="17">
        <f t="shared" si="68"/>
        <v>11.714285714285714</v>
      </c>
    </row>
    <row r="1251" spans="1:10">
      <c r="A1251" s="61" t="s">
        <v>2569</v>
      </c>
      <c r="B1251" t="s">
        <v>1020</v>
      </c>
      <c r="C1251" s="30" t="s">
        <v>27</v>
      </c>
      <c r="D1251" s="13">
        <v>24.98</v>
      </c>
      <c r="E1251" s="13">
        <v>38.9</v>
      </c>
      <c r="G1251" s="17">
        <f t="shared" si="67"/>
        <v>38.430769230769229</v>
      </c>
      <c r="H1251" s="27" t="str">
        <f t="shared" si="69"/>
        <v>POSITIVO</v>
      </c>
      <c r="J1251" s="17">
        <f t="shared" si="68"/>
        <v>35.68571428571429</v>
      </c>
    </row>
    <row r="1252" spans="1:10">
      <c r="A1252" s="61" t="s">
        <v>2571</v>
      </c>
      <c r="B1252" t="s">
        <v>1876</v>
      </c>
      <c r="C1252" s="30" t="s">
        <v>27</v>
      </c>
      <c r="D1252" s="13">
        <v>28.38</v>
      </c>
      <c r="E1252" s="13">
        <v>44.8</v>
      </c>
      <c r="G1252" s="17">
        <f t="shared" si="67"/>
        <v>43.661538461538456</v>
      </c>
      <c r="H1252" s="27" t="str">
        <f t="shared" si="69"/>
        <v>POSITIVO</v>
      </c>
      <c r="J1252" s="17">
        <f t="shared" si="68"/>
        <v>40.542857142857144</v>
      </c>
    </row>
    <row r="1253" spans="1:10">
      <c r="A1253" s="61" t="s">
        <v>2572</v>
      </c>
      <c r="B1253" t="s">
        <v>1021</v>
      </c>
      <c r="C1253" s="30" t="s">
        <v>27</v>
      </c>
      <c r="D1253" s="13">
        <v>33.29</v>
      </c>
      <c r="E1253" s="13">
        <v>52.9</v>
      </c>
      <c r="G1253" s="17">
        <f t="shared" si="67"/>
        <v>51.215384615384615</v>
      </c>
      <c r="H1253" s="27" t="str">
        <f t="shared" si="69"/>
        <v>POSITIVO</v>
      </c>
      <c r="J1253" s="17">
        <f t="shared" si="68"/>
        <v>47.557142857142857</v>
      </c>
    </row>
    <row r="1254" spans="1:10">
      <c r="B1254" t="s">
        <v>1018</v>
      </c>
      <c r="C1254" s="30" t="s">
        <v>27</v>
      </c>
      <c r="D1254" s="13">
        <v>70.8</v>
      </c>
      <c r="E1254" s="13">
        <v>109.9</v>
      </c>
      <c r="G1254" s="17">
        <f t="shared" si="67"/>
        <v>108.92307692307692</v>
      </c>
      <c r="H1254" s="27" t="str">
        <f t="shared" si="69"/>
        <v>POSITIVO</v>
      </c>
      <c r="J1254" s="17">
        <f t="shared" si="68"/>
        <v>101.14285714285714</v>
      </c>
    </row>
    <row r="1255" spans="1:10">
      <c r="A1255" s="61" t="s">
        <v>2570</v>
      </c>
      <c r="B1255" t="s">
        <v>1019</v>
      </c>
      <c r="C1255" s="30" t="s">
        <v>27</v>
      </c>
      <c r="D1255" s="13">
        <v>20.52</v>
      </c>
      <c r="E1255" s="13">
        <v>32.799999999999997</v>
      </c>
      <c r="G1255" s="17">
        <f t="shared" si="67"/>
        <v>31.569230769230767</v>
      </c>
      <c r="H1255" s="27" t="str">
        <f t="shared" si="69"/>
        <v>POSITIVO</v>
      </c>
      <c r="J1255" s="17">
        <f t="shared" si="68"/>
        <v>29.314285714285717</v>
      </c>
    </row>
    <row r="1256" spans="1:10">
      <c r="B1256" t="s">
        <v>473</v>
      </c>
      <c r="C1256" s="24" t="s">
        <v>27</v>
      </c>
      <c r="D1256" s="25">
        <v>25.62</v>
      </c>
      <c r="E1256" s="26">
        <v>42.9</v>
      </c>
      <c r="G1256" s="17">
        <f t="shared" si="67"/>
        <v>39.415384615384617</v>
      </c>
      <c r="H1256" s="27" t="str">
        <f t="shared" si="69"/>
        <v>POSITIVO</v>
      </c>
      <c r="J1256" s="17">
        <f t="shared" si="68"/>
        <v>36.6</v>
      </c>
    </row>
    <row r="1257" spans="1:10">
      <c r="B1257" t="s">
        <v>474</v>
      </c>
      <c r="C1257" s="24" t="s">
        <v>27</v>
      </c>
      <c r="D1257" s="25">
        <v>16.670000000000002</v>
      </c>
      <c r="E1257" s="26">
        <v>25.8</v>
      </c>
      <c r="G1257" s="17">
        <f t="shared" si="67"/>
        <v>25.646153846153847</v>
      </c>
      <c r="H1257" s="27" t="str">
        <f t="shared" si="69"/>
        <v>POSITIVO</v>
      </c>
      <c r="J1257" s="17">
        <f t="shared" si="68"/>
        <v>23.814285714285717</v>
      </c>
    </row>
    <row r="1258" spans="1:10">
      <c r="B1258" t="s">
        <v>1968</v>
      </c>
      <c r="C1258" s="24" t="s">
        <v>27</v>
      </c>
      <c r="D1258" s="25">
        <v>23.73</v>
      </c>
      <c r="E1258" s="26">
        <v>39.9</v>
      </c>
      <c r="G1258" s="17">
        <f t="shared" si="67"/>
        <v>36.507692307692309</v>
      </c>
      <c r="H1258" s="27" t="str">
        <f t="shared" si="69"/>
        <v>POSITIVO</v>
      </c>
      <c r="J1258" s="17">
        <f t="shared" si="68"/>
        <v>33.900000000000006</v>
      </c>
    </row>
    <row r="1259" spans="1:10">
      <c r="B1259" t="s">
        <v>475</v>
      </c>
      <c r="C1259" s="24" t="s">
        <v>27</v>
      </c>
      <c r="D1259" s="25">
        <v>37.979999999999997</v>
      </c>
      <c r="E1259" s="26">
        <v>60</v>
      </c>
      <c r="G1259" s="17">
        <f t="shared" si="67"/>
        <v>58.430769230769222</v>
      </c>
      <c r="H1259" s="27" t="str">
        <f t="shared" si="69"/>
        <v>POSITIVO</v>
      </c>
      <c r="J1259" s="17">
        <f t="shared" si="68"/>
        <v>54.257142857142853</v>
      </c>
    </row>
    <row r="1260" spans="1:10">
      <c r="B1260" t="s">
        <v>1063</v>
      </c>
      <c r="C1260" s="30" t="s">
        <v>27</v>
      </c>
      <c r="D1260" s="13">
        <v>22.26</v>
      </c>
      <c r="E1260" s="13">
        <v>35.9</v>
      </c>
      <c r="G1260" s="17">
        <f t="shared" si="67"/>
        <v>34.246153846153845</v>
      </c>
      <c r="H1260" s="27" t="str">
        <f t="shared" si="69"/>
        <v>POSITIVO</v>
      </c>
      <c r="J1260" s="17">
        <f t="shared" si="68"/>
        <v>31.800000000000004</v>
      </c>
    </row>
    <row r="1261" spans="1:10">
      <c r="B1261" t="s">
        <v>1062</v>
      </c>
      <c r="C1261" s="30" t="s">
        <v>27</v>
      </c>
      <c r="D1261" s="13">
        <v>15.39</v>
      </c>
      <c r="E1261" s="13">
        <v>25</v>
      </c>
      <c r="G1261" s="17">
        <f t="shared" si="67"/>
        <v>23.676923076923078</v>
      </c>
      <c r="H1261" s="27" t="str">
        <f t="shared" si="69"/>
        <v>POSITIVO</v>
      </c>
      <c r="J1261" s="17">
        <f t="shared" si="68"/>
        <v>21.985714285714288</v>
      </c>
    </row>
    <row r="1262" spans="1:10">
      <c r="B1262" t="s">
        <v>1967</v>
      </c>
      <c r="C1262" s="30" t="s">
        <v>27</v>
      </c>
      <c r="D1262" s="13">
        <v>35.99</v>
      </c>
      <c r="E1262" s="13">
        <v>60</v>
      </c>
      <c r="G1262" s="17">
        <f t="shared" si="67"/>
        <v>55.369230769230768</v>
      </c>
      <c r="H1262" s="27" t="str">
        <f t="shared" si="69"/>
        <v>POSITIVO</v>
      </c>
      <c r="J1262" s="17">
        <f t="shared" si="68"/>
        <v>51.414285714285718</v>
      </c>
    </row>
    <row r="1263" spans="1:10">
      <c r="B1263" t="s">
        <v>476</v>
      </c>
      <c r="C1263" s="24" t="s">
        <v>27</v>
      </c>
      <c r="D1263" s="25">
        <v>81.33</v>
      </c>
      <c r="E1263" s="26">
        <v>127</v>
      </c>
      <c r="G1263" s="17">
        <f t="shared" si="67"/>
        <v>125.12307692307692</v>
      </c>
      <c r="H1263" s="27" t="str">
        <f t="shared" si="69"/>
        <v>POSITIVO</v>
      </c>
      <c r="J1263" s="17">
        <f t="shared" si="68"/>
        <v>116.1857142857143</v>
      </c>
    </row>
    <row r="1264" spans="1:10">
      <c r="B1264" t="s">
        <v>477</v>
      </c>
      <c r="C1264" s="24" t="s">
        <v>27</v>
      </c>
      <c r="D1264" s="25">
        <v>24.92</v>
      </c>
      <c r="E1264" s="26">
        <v>36</v>
      </c>
      <c r="G1264" s="17">
        <f t="shared" si="67"/>
        <v>38.338461538461537</v>
      </c>
      <c r="H1264" s="27" t="str">
        <f t="shared" si="69"/>
        <v>NEGATIVO</v>
      </c>
      <c r="J1264" s="17">
        <f t="shared" si="68"/>
        <v>35.6</v>
      </c>
    </row>
    <row r="1265" spans="2:10">
      <c r="B1265" t="s">
        <v>478</v>
      </c>
      <c r="C1265" s="24" t="s">
        <v>27</v>
      </c>
      <c r="D1265" s="25">
        <v>79.2</v>
      </c>
      <c r="E1265" s="26">
        <v>123</v>
      </c>
      <c r="G1265" s="17">
        <f t="shared" si="67"/>
        <v>121.84615384615384</v>
      </c>
      <c r="H1265" s="27" t="str">
        <f t="shared" si="69"/>
        <v>POSITIVO</v>
      </c>
      <c r="J1265" s="17">
        <f t="shared" si="68"/>
        <v>113.14285714285715</v>
      </c>
    </row>
    <row r="1266" spans="2:10">
      <c r="B1266" t="s">
        <v>479</v>
      </c>
      <c r="C1266" s="24" t="s">
        <v>27</v>
      </c>
      <c r="D1266" s="25">
        <v>24.7</v>
      </c>
      <c r="E1266" s="26">
        <v>39</v>
      </c>
      <c r="G1266" s="17">
        <f t="shared" si="67"/>
        <v>38</v>
      </c>
      <c r="H1266" s="27" t="str">
        <f t="shared" si="69"/>
        <v>POSITIVO</v>
      </c>
      <c r="J1266" s="17">
        <f t="shared" si="68"/>
        <v>35.285714285714285</v>
      </c>
    </row>
    <row r="1267" spans="2:10">
      <c r="B1267" t="s">
        <v>794</v>
      </c>
      <c r="C1267" s="24" t="s">
        <v>27</v>
      </c>
      <c r="D1267" s="25">
        <v>5</v>
      </c>
      <c r="E1267" s="26">
        <v>8</v>
      </c>
      <c r="G1267" s="17">
        <f t="shared" si="67"/>
        <v>7.6923076923076916</v>
      </c>
      <c r="H1267" s="27" t="str">
        <f t="shared" si="69"/>
        <v>POSITIVO</v>
      </c>
      <c r="J1267" s="17">
        <f t="shared" si="68"/>
        <v>7.1428571428571432</v>
      </c>
    </row>
    <row r="1268" spans="2:10">
      <c r="B1268" t="s">
        <v>795</v>
      </c>
      <c r="C1268" s="24" t="s">
        <v>27</v>
      </c>
      <c r="D1268" s="25">
        <v>59.9</v>
      </c>
      <c r="E1268" s="26">
        <v>95</v>
      </c>
      <c r="G1268" s="17">
        <f t="shared" ref="G1268:G1327" si="70">(D1268/65%)</f>
        <v>92.153846153846146</v>
      </c>
      <c r="H1268" s="27" t="str">
        <f t="shared" si="69"/>
        <v>POSITIVO</v>
      </c>
      <c r="J1268" s="17">
        <f t="shared" ref="J1268:J1327" si="71">D1268/70%</f>
        <v>85.571428571428569</v>
      </c>
    </row>
    <row r="1269" spans="2:10">
      <c r="B1269" t="s">
        <v>796</v>
      </c>
      <c r="C1269" s="24" t="s">
        <v>27</v>
      </c>
      <c r="D1269" s="25">
        <v>11.86</v>
      </c>
      <c r="E1269" s="26">
        <v>18.5</v>
      </c>
      <c r="G1269" s="17">
        <f t="shared" si="70"/>
        <v>18.246153846153845</v>
      </c>
      <c r="H1269" s="27" t="str">
        <f t="shared" si="69"/>
        <v>POSITIVO</v>
      </c>
      <c r="J1269" s="17">
        <f t="shared" si="71"/>
        <v>16.942857142857143</v>
      </c>
    </row>
    <row r="1270" spans="2:10">
      <c r="B1270" t="s">
        <v>797</v>
      </c>
      <c r="C1270" s="24" t="s">
        <v>27</v>
      </c>
      <c r="D1270" s="25">
        <v>10.35</v>
      </c>
      <c r="E1270" s="26">
        <v>16</v>
      </c>
      <c r="G1270" s="17">
        <f t="shared" si="70"/>
        <v>15.923076923076922</v>
      </c>
      <c r="H1270" s="27" t="str">
        <f t="shared" si="69"/>
        <v>POSITIVO</v>
      </c>
      <c r="J1270" s="17">
        <f t="shared" si="71"/>
        <v>14.785714285714286</v>
      </c>
    </row>
    <row r="1271" spans="2:10">
      <c r="B1271" t="s">
        <v>798</v>
      </c>
      <c r="C1271" s="24" t="s">
        <v>27</v>
      </c>
      <c r="D1271" s="25">
        <v>9.9</v>
      </c>
      <c r="E1271" s="26">
        <v>16</v>
      </c>
      <c r="G1271" s="17">
        <f t="shared" si="70"/>
        <v>15.23076923076923</v>
      </c>
      <c r="H1271" s="27" t="str">
        <f t="shared" si="69"/>
        <v>POSITIVO</v>
      </c>
      <c r="J1271" s="17">
        <f t="shared" si="71"/>
        <v>14.142857142857144</v>
      </c>
    </row>
    <row r="1272" spans="2:10">
      <c r="B1272" t="s">
        <v>799</v>
      </c>
      <c r="C1272" s="24" t="s">
        <v>27</v>
      </c>
      <c r="D1272" s="25">
        <v>19.899999999999999</v>
      </c>
      <c r="E1272" s="26">
        <v>32</v>
      </c>
      <c r="G1272" s="17">
        <f t="shared" si="70"/>
        <v>30.615384615384613</v>
      </c>
      <c r="H1272" s="27" t="str">
        <f t="shared" si="69"/>
        <v>POSITIVO</v>
      </c>
      <c r="J1272" s="17">
        <f t="shared" si="71"/>
        <v>28.428571428571427</v>
      </c>
    </row>
    <row r="1273" spans="2:10">
      <c r="B1273" t="s">
        <v>1640</v>
      </c>
      <c r="C1273" s="30" t="s">
        <v>27</v>
      </c>
      <c r="D1273" s="13">
        <v>92.9</v>
      </c>
      <c r="E1273" s="13">
        <v>148</v>
      </c>
      <c r="G1273" s="17">
        <f t="shared" si="70"/>
        <v>142.92307692307693</v>
      </c>
      <c r="H1273" s="27" t="str">
        <f t="shared" si="69"/>
        <v>POSITIVO</v>
      </c>
      <c r="J1273" s="17">
        <f t="shared" si="71"/>
        <v>132.71428571428572</v>
      </c>
    </row>
    <row r="1274" spans="2:10">
      <c r="B1274" t="s">
        <v>1639</v>
      </c>
      <c r="C1274" s="30" t="s">
        <v>27</v>
      </c>
      <c r="D1274" s="13">
        <v>22.9</v>
      </c>
      <c r="E1274" s="13">
        <v>36</v>
      </c>
      <c r="G1274" s="17">
        <f t="shared" si="70"/>
        <v>35.230769230769226</v>
      </c>
      <c r="H1274" s="27" t="str">
        <f t="shared" ref="H1274:H1333" si="72">IF(E1274&gt;=G1274,"POSITIVO","NEGATIVO")</f>
        <v>POSITIVO</v>
      </c>
      <c r="J1274" s="17">
        <f t="shared" si="71"/>
        <v>32.714285714285715</v>
      </c>
    </row>
    <row r="1275" spans="2:10">
      <c r="B1275" t="s">
        <v>480</v>
      </c>
      <c r="C1275" s="24" t="s">
        <v>27</v>
      </c>
      <c r="D1275" s="25">
        <v>8.9</v>
      </c>
      <c r="E1275" s="26">
        <v>14</v>
      </c>
      <c r="G1275" s="17">
        <f t="shared" si="70"/>
        <v>13.692307692307692</v>
      </c>
      <c r="H1275" s="27" t="str">
        <f t="shared" si="72"/>
        <v>POSITIVO</v>
      </c>
      <c r="J1275" s="17">
        <f t="shared" si="71"/>
        <v>12.714285714285715</v>
      </c>
    </row>
    <row r="1276" spans="2:10">
      <c r="B1276" t="s">
        <v>800</v>
      </c>
      <c r="C1276" s="24" t="s">
        <v>27</v>
      </c>
      <c r="D1276" s="25">
        <v>15.9</v>
      </c>
      <c r="E1276" s="26">
        <v>40</v>
      </c>
      <c r="G1276" s="17">
        <f t="shared" si="70"/>
        <v>24.46153846153846</v>
      </c>
      <c r="H1276" s="27" t="str">
        <f t="shared" si="72"/>
        <v>POSITIVO</v>
      </c>
      <c r="J1276" s="17">
        <f t="shared" si="71"/>
        <v>22.714285714285715</v>
      </c>
    </row>
    <row r="1277" spans="2:10">
      <c r="B1277" t="s">
        <v>801</v>
      </c>
      <c r="C1277" s="24" t="s">
        <v>27</v>
      </c>
      <c r="D1277" s="25">
        <v>15.9</v>
      </c>
      <c r="E1277" s="26">
        <v>40</v>
      </c>
      <c r="G1277" s="17">
        <f t="shared" si="70"/>
        <v>24.46153846153846</v>
      </c>
      <c r="H1277" s="27" t="str">
        <f t="shared" si="72"/>
        <v>POSITIVO</v>
      </c>
      <c r="J1277" s="17">
        <f t="shared" si="71"/>
        <v>22.714285714285715</v>
      </c>
    </row>
    <row r="1278" spans="2:10">
      <c r="B1278" t="s">
        <v>1635</v>
      </c>
      <c r="C1278" s="30" t="s">
        <v>27</v>
      </c>
      <c r="D1278" s="13">
        <v>22.7</v>
      </c>
      <c r="E1278" s="13">
        <v>35.9</v>
      </c>
      <c r="G1278" s="17">
        <f t="shared" si="70"/>
        <v>34.92307692307692</v>
      </c>
      <c r="H1278" s="27" t="str">
        <f t="shared" si="72"/>
        <v>POSITIVO</v>
      </c>
      <c r="J1278" s="17">
        <f t="shared" si="71"/>
        <v>32.428571428571431</v>
      </c>
    </row>
    <row r="1279" spans="2:10">
      <c r="B1279" t="s">
        <v>1637</v>
      </c>
      <c r="C1279" s="30" t="s">
        <v>27</v>
      </c>
      <c r="D1279" s="13">
        <v>12.82</v>
      </c>
      <c r="E1279" s="13">
        <v>21.5</v>
      </c>
      <c r="G1279" s="17">
        <f t="shared" si="70"/>
        <v>19.723076923076924</v>
      </c>
      <c r="H1279" s="27" t="str">
        <f t="shared" si="72"/>
        <v>POSITIVO</v>
      </c>
      <c r="J1279" s="17">
        <f t="shared" si="71"/>
        <v>18.314285714285717</v>
      </c>
    </row>
    <row r="1280" spans="2:10">
      <c r="B1280" t="s">
        <v>1636</v>
      </c>
      <c r="C1280" s="30" t="s">
        <v>27</v>
      </c>
      <c r="D1280" s="13">
        <v>25.98</v>
      </c>
      <c r="E1280" s="13">
        <v>42</v>
      </c>
      <c r="G1280" s="17">
        <f t="shared" si="70"/>
        <v>39.969230769230769</v>
      </c>
      <c r="H1280" s="27" t="str">
        <f t="shared" si="72"/>
        <v>POSITIVO</v>
      </c>
      <c r="J1280" s="17">
        <f t="shared" si="71"/>
        <v>37.114285714285714</v>
      </c>
    </row>
    <row r="1281" spans="1:10">
      <c r="B1281" t="s">
        <v>1643</v>
      </c>
      <c r="C1281" s="30" t="s">
        <v>27</v>
      </c>
      <c r="D1281" s="13">
        <v>66.900000000000006</v>
      </c>
      <c r="E1281" s="13">
        <v>105</v>
      </c>
      <c r="G1281" s="17">
        <f t="shared" si="70"/>
        <v>102.92307692307693</v>
      </c>
      <c r="H1281" s="27" t="str">
        <f t="shared" si="72"/>
        <v>POSITIVO</v>
      </c>
      <c r="J1281" s="17">
        <f t="shared" si="71"/>
        <v>95.571428571428584</v>
      </c>
    </row>
    <row r="1282" spans="1:10">
      <c r="B1282" t="s">
        <v>1642</v>
      </c>
      <c r="C1282" s="30" t="s">
        <v>27</v>
      </c>
      <c r="D1282" s="13">
        <v>74.900000000000006</v>
      </c>
      <c r="E1282" s="13">
        <v>116</v>
      </c>
      <c r="G1282" s="17">
        <f t="shared" si="70"/>
        <v>115.23076923076924</v>
      </c>
      <c r="H1282" s="27" t="str">
        <f t="shared" si="72"/>
        <v>POSITIVO</v>
      </c>
      <c r="J1282" s="17">
        <f t="shared" si="71"/>
        <v>107.00000000000001</v>
      </c>
    </row>
    <row r="1283" spans="1:10">
      <c r="B1283" t="s">
        <v>1344</v>
      </c>
      <c r="C1283" s="30" t="s">
        <v>27</v>
      </c>
      <c r="D1283" s="13">
        <v>39.03</v>
      </c>
      <c r="E1283" s="13">
        <v>62</v>
      </c>
      <c r="G1283" s="17">
        <f t="shared" si="70"/>
        <v>60.046153846153842</v>
      </c>
      <c r="H1283" s="27" t="str">
        <f t="shared" si="72"/>
        <v>POSITIVO</v>
      </c>
      <c r="J1283" s="17">
        <f t="shared" si="71"/>
        <v>55.75714285714286</v>
      </c>
    </row>
    <row r="1284" spans="1:10">
      <c r="B1284" t="s">
        <v>1345</v>
      </c>
      <c r="C1284" s="30" t="s">
        <v>27</v>
      </c>
      <c r="D1284" s="13">
        <v>45.73</v>
      </c>
      <c r="E1284" s="13">
        <v>72</v>
      </c>
      <c r="G1284" s="17">
        <f t="shared" si="70"/>
        <v>70.353846153846149</v>
      </c>
      <c r="H1284" s="27" t="str">
        <f t="shared" si="72"/>
        <v>POSITIVO</v>
      </c>
      <c r="J1284" s="17">
        <f t="shared" si="71"/>
        <v>65.328571428571422</v>
      </c>
    </row>
    <row r="1285" spans="1:10">
      <c r="B1285" t="s">
        <v>1346</v>
      </c>
      <c r="C1285" s="30" t="s">
        <v>27</v>
      </c>
      <c r="D1285" s="13">
        <v>53.79</v>
      </c>
      <c r="E1285" s="13">
        <v>83</v>
      </c>
      <c r="G1285" s="17">
        <f t="shared" si="70"/>
        <v>82.753846153846155</v>
      </c>
      <c r="H1285" s="27" t="str">
        <f t="shared" si="72"/>
        <v>POSITIVO</v>
      </c>
      <c r="J1285" s="17">
        <f t="shared" si="71"/>
        <v>76.842857142857142</v>
      </c>
    </row>
    <row r="1286" spans="1:10">
      <c r="B1286" t="s">
        <v>1336</v>
      </c>
      <c r="C1286" s="30" t="s">
        <v>27</v>
      </c>
      <c r="D1286" s="13">
        <v>12.9</v>
      </c>
      <c r="E1286" s="13">
        <v>19.899999999999999</v>
      </c>
      <c r="G1286" s="17">
        <f t="shared" si="70"/>
        <v>19.846153846153847</v>
      </c>
      <c r="H1286" s="27" t="str">
        <f t="shared" si="72"/>
        <v>POSITIVO</v>
      </c>
      <c r="J1286" s="17">
        <f t="shared" si="71"/>
        <v>18.428571428571431</v>
      </c>
    </row>
    <row r="1287" spans="1:10">
      <c r="B1287" t="s">
        <v>1337</v>
      </c>
      <c r="C1287" s="30" t="s">
        <v>27</v>
      </c>
      <c r="D1287" s="13">
        <v>16.899999999999999</v>
      </c>
      <c r="E1287" s="13">
        <v>28</v>
      </c>
      <c r="G1287" s="17">
        <f t="shared" si="70"/>
        <v>25.999999999999996</v>
      </c>
      <c r="H1287" s="27" t="str">
        <f t="shared" si="72"/>
        <v>POSITIVO</v>
      </c>
      <c r="J1287" s="17">
        <f t="shared" si="71"/>
        <v>24.142857142857142</v>
      </c>
    </row>
    <row r="1288" spans="1:10">
      <c r="B1288" t="s">
        <v>1338</v>
      </c>
      <c r="C1288" s="30" t="s">
        <v>27</v>
      </c>
      <c r="D1288" s="13">
        <v>20.9</v>
      </c>
      <c r="E1288" s="13">
        <v>34</v>
      </c>
      <c r="G1288" s="17">
        <f t="shared" si="70"/>
        <v>32.153846153846153</v>
      </c>
      <c r="H1288" s="27" t="str">
        <f t="shared" si="72"/>
        <v>POSITIVO</v>
      </c>
      <c r="J1288" s="17">
        <f t="shared" si="71"/>
        <v>29.857142857142858</v>
      </c>
    </row>
    <row r="1289" spans="1:10">
      <c r="B1289" t="s">
        <v>481</v>
      </c>
      <c r="C1289" s="24" t="s">
        <v>27</v>
      </c>
      <c r="D1289" s="25">
        <v>5.39</v>
      </c>
      <c r="E1289" s="26">
        <v>12</v>
      </c>
      <c r="G1289" s="17">
        <f t="shared" si="70"/>
        <v>8.2923076923076913</v>
      </c>
      <c r="H1289" s="27" t="str">
        <f t="shared" si="72"/>
        <v>POSITIVO</v>
      </c>
      <c r="J1289" s="17">
        <f t="shared" si="71"/>
        <v>7.7</v>
      </c>
    </row>
    <row r="1290" spans="1:10">
      <c r="B1290" t="s">
        <v>482</v>
      </c>
      <c r="C1290" s="24" t="s">
        <v>27</v>
      </c>
      <c r="D1290" s="25">
        <v>6.28</v>
      </c>
      <c r="E1290" s="25">
        <v>9.8000000000000007</v>
      </c>
      <c r="G1290" s="17">
        <f t="shared" si="70"/>
        <v>9.661538461538461</v>
      </c>
      <c r="H1290" s="27" t="str">
        <f t="shared" si="72"/>
        <v>POSITIVO</v>
      </c>
      <c r="J1290" s="17">
        <f t="shared" si="71"/>
        <v>8.9714285714285715</v>
      </c>
    </row>
    <row r="1291" spans="1:10">
      <c r="A1291" s="61" t="s">
        <v>2050</v>
      </c>
      <c r="B1291" t="s">
        <v>483</v>
      </c>
      <c r="C1291" s="24" t="s">
        <v>27</v>
      </c>
      <c r="D1291" s="25">
        <v>6.8</v>
      </c>
      <c r="E1291" s="26">
        <v>10.5</v>
      </c>
      <c r="G1291" s="17">
        <f t="shared" si="70"/>
        <v>10.461538461538462</v>
      </c>
      <c r="H1291" s="27" t="str">
        <f t="shared" si="72"/>
        <v>POSITIVO</v>
      </c>
      <c r="J1291" s="17">
        <f t="shared" si="71"/>
        <v>9.7142857142857153</v>
      </c>
    </row>
    <row r="1292" spans="1:10">
      <c r="B1292" t="s">
        <v>484</v>
      </c>
      <c r="C1292" s="24" t="s">
        <v>27</v>
      </c>
      <c r="D1292" s="25">
        <v>5.8</v>
      </c>
      <c r="E1292" s="25">
        <v>8</v>
      </c>
      <c r="G1292" s="17">
        <f t="shared" si="70"/>
        <v>8.9230769230769234</v>
      </c>
      <c r="H1292" s="27" t="str">
        <f t="shared" si="72"/>
        <v>NEGATIVO</v>
      </c>
      <c r="J1292" s="17">
        <f t="shared" si="71"/>
        <v>8.2857142857142865</v>
      </c>
    </row>
    <row r="1293" spans="1:10">
      <c r="B1293" t="s">
        <v>1503</v>
      </c>
      <c r="C1293" s="30" t="s">
        <v>27</v>
      </c>
      <c r="D1293" s="13">
        <v>17.88</v>
      </c>
      <c r="E1293" s="13">
        <v>28</v>
      </c>
      <c r="G1293" s="17">
        <f t="shared" si="70"/>
        <v>27.507692307692306</v>
      </c>
      <c r="H1293" s="27" t="str">
        <f t="shared" si="72"/>
        <v>POSITIVO</v>
      </c>
      <c r="J1293" s="17">
        <f t="shared" si="71"/>
        <v>25.542857142857144</v>
      </c>
    </row>
    <row r="1294" spans="1:10">
      <c r="B1294" t="s">
        <v>485</v>
      </c>
      <c r="C1294" s="24" t="s">
        <v>27</v>
      </c>
      <c r="D1294" s="25">
        <v>38.340000000000003</v>
      </c>
      <c r="E1294" s="26">
        <v>60</v>
      </c>
      <c r="G1294" s="17">
        <f t="shared" si="70"/>
        <v>58.984615384615388</v>
      </c>
      <c r="H1294" s="27" t="str">
        <f t="shared" si="72"/>
        <v>POSITIVO</v>
      </c>
      <c r="J1294" s="17">
        <f t="shared" si="71"/>
        <v>54.771428571428579</v>
      </c>
    </row>
    <row r="1295" spans="1:10">
      <c r="B1295" t="s">
        <v>1145</v>
      </c>
      <c r="C1295" s="24" t="s">
        <v>27</v>
      </c>
      <c r="D1295" s="25">
        <v>26.45</v>
      </c>
      <c r="E1295" s="26">
        <v>42</v>
      </c>
      <c r="G1295" s="17">
        <f t="shared" si="70"/>
        <v>40.692307692307686</v>
      </c>
      <c r="H1295" s="27" t="str">
        <f t="shared" si="72"/>
        <v>POSITIVO</v>
      </c>
      <c r="J1295" s="17">
        <f t="shared" si="71"/>
        <v>37.785714285714285</v>
      </c>
    </row>
    <row r="1296" spans="1:10">
      <c r="B1296" t="s">
        <v>1530</v>
      </c>
      <c r="C1296" s="30" t="s">
        <v>27</v>
      </c>
      <c r="D1296" s="13">
        <v>9.48</v>
      </c>
      <c r="E1296" s="13">
        <v>15</v>
      </c>
      <c r="G1296" s="17">
        <f t="shared" si="70"/>
        <v>14.584615384615384</v>
      </c>
      <c r="H1296" s="27" t="str">
        <f t="shared" si="72"/>
        <v>POSITIVO</v>
      </c>
      <c r="J1296" s="17">
        <f t="shared" si="71"/>
        <v>13.542857142857144</v>
      </c>
    </row>
    <row r="1297" spans="1:10">
      <c r="B1297" t="s">
        <v>1529</v>
      </c>
      <c r="C1297" s="30" t="s">
        <v>27</v>
      </c>
      <c r="D1297" s="13">
        <v>6.53</v>
      </c>
      <c r="E1297" s="13">
        <v>12</v>
      </c>
      <c r="G1297" s="17">
        <f t="shared" si="70"/>
        <v>10.046153846153846</v>
      </c>
      <c r="H1297" s="27" t="str">
        <f t="shared" si="72"/>
        <v>POSITIVO</v>
      </c>
      <c r="J1297" s="17">
        <f t="shared" si="71"/>
        <v>9.3285714285714292</v>
      </c>
    </row>
    <row r="1298" spans="1:10">
      <c r="B1298" t="s">
        <v>960</v>
      </c>
      <c r="C1298" s="24" t="s">
        <v>27</v>
      </c>
      <c r="D1298" s="25">
        <v>31.89</v>
      </c>
      <c r="E1298" s="25">
        <v>42.3</v>
      </c>
      <c r="G1298" s="17">
        <f t="shared" si="70"/>
        <v>49.061538461538461</v>
      </c>
      <c r="H1298" s="27" t="str">
        <f t="shared" si="72"/>
        <v>NEGATIVO</v>
      </c>
      <c r="J1298" s="17">
        <f t="shared" si="71"/>
        <v>45.557142857142864</v>
      </c>
    </row>
    <row r="1299" spans="1:10">
      <c r="B1299" t="s">
        <v>1419</v>
      </c>
      <c r="C1299" s="30" t="s">
        <v>27</v>
      </c>
      <c r="D1299" s="13">
        <v>21.9</v>
      </c>
      <c r="E1299" s="13">
        <v>34.9</v>
      </c>
      <c r="G1299" s="17">
        <f t="shared" si="70"/>
        <v>33.692307692307686</v>
      </c>
      <c r="H1299" s="27" t="str">
        <f t="shared" si="72"/>
        <v>POSITIVO</v>
      </c>
      <c r="J1299" s="17">
        <f t="shared" si="71"/>
        <v>31.285714285714285</v>
      </c>
    </row>
    <row r="1300" spans="1:10">
      <c r="B1300" t="s">
        <v>1418</v>
      </c>
      <c r="C1300" s="30" t="s">
        <v>27</v>
      </c>
      <c r="D1300" s="13">
        <v>24.9</v>
      </c>
      <c r="E1300" s="13">
        <v>39.9</v>
      </c>
      <c r="G1300" s="17">
        <f t="shared" si="70"/>
        <v>38.307692307692307</v>
      </c>
      <c r="H1300" s="27" t="str">
        <f t="shared" si="72"/>
        <v>POSITIVO</v>
      </c>
      <c r="J1300" s="17">
        <f t="shared" si="71"/>
        <v>35.571428571428569</v>
      </c>
    </row>
    <row r="1301" spans="1:10">
      <c r="B1301" t="s">
        <v>1417</v>
      </c>
      <c r="C1301" s="30" t="s">
        <v>27</v>
      </c>
      <c r="D1301" s="13">
        <v>26.2</v>
      </c>
      <c r="E1301" s="13">
        <v>42</v>
      </c>
      <c r="G1301" s="17">
        <f t="shared" si="70"/>
        <v>40.307692307692307</v>
      </c>
      <c r="H1301" s="27" t="str">
        <f t="shared" si="72"/>
        <v>POSITIVO</v>
      </c>
      <c r="J1301" s="17">
        <f t="shared" si="71"/>
        <v>37.428571428571431</v>
      </c>
    </row>
    <row r="1302" spans="1:10">
      <c r="B1302" t="s">
        <v>1415</v>
      </c>
      <c r="C1302" s="30" t="s">
        <v>27</v>
      </c>
      <c r="D1302" s="13">
        <v>25.2</v>
      </c>
      <c r="E1302" s="13">
        <v>39.9</v>
      </c>
      <c r="G1302" s="17">
        <f t="shared" si="70"/>
        <v>38.769230769230766</v>
      </c>
      <c r="H1302" s="27" t="str">
        <f t="shared" si="72"/>
        <v>POSITIVO</v>
      </c>
      <c r="J1302" s="17">
        <f t="shared" si="71"/>
        <v>36</v>
      </c>
    </row>
    <row r="1303" spans="1:10">
      <c r="B1303" t="s">
        <v>1416</v>
      </c>
      <c r="C1303" s="30" t="s">
        <v>27</v>
      </c>
      <c r="D1303" s="13">
        <v>26.2</v>
      </c>
      <c r="E1303" s="13">
        <v>42</v>
      </c>
      <c r="G1303" s="17">
        <f t="shared" si="70"/>
        <v>40.307692307692307</v>
      </c>
      <c r="H1303" s="27" t="str">
        <f t="shared" si="72"/>
        <v>POSITIVO</v>
      </c>
      <c r="J1303" s="17">
        <f t="shared" si="71"/>
        <v>37.428571428571431</v>
      </c>
    </row>
    <row r="1304" spans="1:10">
      <c r="A1304" s="61" t="s">
        <v>2036</v>
      </c>
      <c r="B1304" t="s">
        <v>2035</v>
      </c>
      <c r="C1304" s="24" t="s">
        <v>27</v>
      </c>
      <c r="D1304" s="25">
        <v>1.1599999999999999</v>
      </c>
      <c r="E1304" s="26">
        <v>2.5</v>
      </c>
      <c r="G1304" s="17">
        <f t="shared" si="70"/>
        <v>1.7846153846153845</v>
      </c>
      <c r="H1304" s="27" t="str">
        <f t="shared" si="72"/>
        <v>POSITIVO</v>
      </c>
      <c r="J1304" s="17">
        <f t="shared" si="71"/>
        <v>1.657142857142857</v>
      </c>
    </row>
    <row r="1305" spans="1:10">
      <c r="B1305" t="s">
        <v>1153</v>
      </c>
      <c r="C1305" s="30" t="s">
        <v>27</v>
      </c>
      <c r="D1305" s="13">
        <v>12.9</v>
      </c>
      <c r="E1305" s="13">
        <v>20</v>
      </c>
      <c r="G1305" s="17">
        <f t="shared" si="70"/>
        <v>19.846153846153847</v>
      </c>
      <c r="H1305" s="27" t="str">
        <f t="shared" si="72"/>
        <v>POSITIVO</v>
      </c>
      <c r="J1305" s="17">
        <f t="shared" si="71"/>
        <v>18.428571428571431</v>
      </c>
    </row>
    <row r="1306" spans="1:10">
      <c r="B1306" t="s">
        <v>1151</v>
      </c>
      <c r="C1306" s="30" t="s">
        <v>27</v>
      </c>
      <c r="D1306" s="13">
        <v>7.9</v>
      </c>
      <c r="E1306" s="13">
        <v>14</v>
      </c>
      <c r="G1306" s="17">
        <f t="shared" si="70"/>
        <v>12.153846153846153</v>
      </c>
      <c r="H1306" s="27" t="str">
        <f t="shared" si="72"/>
        <v>POSITIVO</v>
      </c>
      <c r="J1306" s="17">
        <f t="shared" si="71"/>
        <v>11.285714285714286</v>
      </c>
    </row>
    <row r="1307" spans="1:10">
      <c r="B1307" t="s">
        <v>1150</v>
      </c>
      <c r="C1307" s="24" t="s">
        <v>27</v>
      </c>
      <c r="D1307" s="25">
        <v>9.9</v>
      </c>
      <c r="E1307" s="26">
        <v>16</v>
      </c>
      <c r="G1307" s="17">
        <f t="shared" si="70"/>
        <v>15.23076923076923</v>
      </c>
      <c r="H1307" s="27" t="str">
        <f t="shared" si="72"/>
        <v>POSITIVO</v>
      </c>
      <c r="J1307" s="17">
        <f t="shared" si="71"/>
        <v>14.142857142857144</v>
      </c>
    </row>
    <row r="1308" spans="1:10">
      <c r="B1308" t="s">
        <v>1152</v>
      </c>
      <c r="C1308" s="30" t="s">
        <v>27</v>
      </c>
      <c r="D1308" s="13">
        <v>19.899999999999999</v>
      </c>
      <c r="E1308" s="13">
        <v>32</v>
      </c>
      <c r="G1308" s="17">
        <f t="shared" si="70"/>
        <v>30.615384615384613</v>
      </c>
      <c r="H1308" s="27" t="str">
        <f t="shared" si="72"/>
        <v>POSITIVO</v>
      </c>
      <c r="J1308" s="17">
        <f t="shared" si="71"/>
        <v>28.428571428571427</v>
      </c>
    </row>
    <row r="1309" spans="1:10">
      <c r="B1309" t="s">
        <v>1154</v>
      </c>
      <c r="C1309" s="30" t="s">
        <v>27</v>
      </c>
      <c r="D1309" s="13">
        <v>3.29</v>
      </c>
      <c r="E1309" s="13">
        <v>6</v>
      </c>
      <c r="G1309" s="17">
        <f t="shared" si="70"/>
        <v>5.0615384615384613</v>
      </c>
      <c r="H1309" s="27" t="str">
        <f t="shared" si="72"/>
        <v>POSITIVO</v>
      </c>
      <c r="J1309" s="17">
        <f t="shared" si="71"/>
        <v>4.7</v>
      </c>
    </row>
    <row r="1310" spans="1:10">
      <c r="B1310" t="s">
        <v>486</v>
      </c>
      <c r="C1310" s="24" t="s">
        <v>27</v>
      </c>
      <c r="D1310" s="25">
        <v>0.09</v>
      </c>
      <c r="E1310" s="26">
        <v>0.25</v>
      </c>
      <c r="G1310" s="17">
        <f t="shared" si="70"/>
        <v>0.13846153846153844</v>
      </c>
      <c r="H1310" s="27" t="str">
        <f t="shared" si="72"/>
        <v>POSITIVO</v>
      </c>
      <c r="J1310" s="17">
        <f t="shared" si="71"/>
        <v>0.12857142857142859</v>
      </c>
    </row>
    <row r="1311" spans="1:10">
      <c r="B1311" t="s">
        <v>802</v>
      </c>
      <c r="C1311" s="24" t="s">
        <v>27</v>
      </c>
      <c r="D1311" s="25">
        <v>0.08</v>
      </c>
      <c r="E1311" s="26">
        <v>0.18</v>
      </c>
      <c r="G1311" s="17">
        <f t="shared" si="70"/>
        <v>0.12307692307692307</v>
      </c>
      <c r="H1311" s="27" t="str">
        <f t="shared" si="72"/>
        <v>POSITIVO</v>
      </c>
      <c r="J1311" s="17">
        <f t="shared" si="71"/>
        <v>0.1142857142857143</v>
      </c>
    </row>
    <row r="1312" spans="1:10">
      <c r="B1312" t="s">
        <v>1309</v>
      </c>
      <c r="C1312" s="24" t="s">
        <v>27</v>
      </c>
      <c r="D1312" s="25">
        <v>0.2</v>
      </c>
      <c r="E1312" s="26">
        <v>0.35</v>
      </c>
      <c r="G1312" s="17">
        <f t="shared" si="70"/>
        <v>0.30769230769230771</v>
      </c>
      <c r="H1312" s="27" t="str">
        <f t="shared" si="72"/>
        <v>POSITIVO</v>
      </c>
      <c r="J1312" s="17">
        <f t="shared" si="71"/>
        <v>0.28571428571428575</v>
      </c>
    </row>
    <row r="1313" spans="2:10">
      <c r="B1313" t="s">
        <v>1309</v>
      </c>
      <c r="C1313" s="24" t="s">
        <v>27</v>
      </c>
      <c r="D1313" s="13">
        <v>0.05</v>
      </c>
      <c r="E1313" s="13">
        <v>0.15</v>
      </c>
      <c r="G1313" s="17">
        <f t="shared" si="70"/>
        <v>7.6923076923076927E-2</v>
      </c>
      <c r="H1313" s="27" t="str">
        <f t="shared" si="72"/>
        <v>POSITIVO</v>
      </c>
      <c r="J1313" s="17">
        <f t="shared" si="71"/>
        <v>7.1428571428571438E-2</v>
      </c>
    </row>
    <row r="1314" spans="2:10">
      <c r="B1314" t="s">
        <v>487</v>
      </c>
      <c r="C1314" s="24" t="s">
        <v>27</v>
      </c>
      <c r="D1314" s="25">
        <v>0.11</v>
      </c>
      <c r="E1314" s="26">
        <v>0.2</v>
      </c>
      <c r="G1314" s="17">
        <f t="shared" si="70"/>
        <v>0.16923076923076921</v>
      </c>
      <c r="H1314" s="27" t="str">
        <f t="shared" si="72"/>
        <v>POSITIVO</v>
      </c>
      <c r="J1314" s="17">
        <f t="shared" si="71"/>
        <v>0.15714285714285717</v>
      </c>
    </row>
    <row r="1315" spans="2:10">
      <c r="B1315" t="s">
        <v>488</v>
      </c>
      <c r="C1315" s="24" t="s">
        <v>27</v>
      </c>
      <c r="D1315" s="25">
        <v>0.14000000000000001</v>
      </c>
      <c r="E1315" s="26">
        <v>0.25</v>
      </c>
      <c r="G1315" s="17">
        <f t="shared" si="70"/>
        <v>0.2153846153846154</v>
      </c>
      <c r="H1315" s="27" t="str">
        <f t="shared" si="72"/>
        <v>POSITIVO</v>
      </c>
      <c r="J1315" s="17">
        <f t="shared" si="71"/>
        <v>0.20000000000000004</v>
      </c>
    </row>
    <row r="1316" spans="2:10">
      <c r="B1316" t="s">
        <v>489</v>
      </c>
      <c r="C1316" s="24" t="s">
        <v>27</v>
      </c>
      <c r="D1316" s="25">
        <v>0.45</v>
      </c>
      <c r="E1316" s="26">
        <v>0.65</v>
      </c>
      <c r="G1316" s="17">
        <f t="shared" si="70"/>
        <v>0.69230769230769229</v>
      </c>
      <c r="H1316" s="27" t="str">
        <f t="shared" si="72"/>
        <v>NEGATIVO</v>
      </c>
      <c r="J1316" s="17">
        <f t="shared" si="71"/>
        <v>0.6428571428571429</v>
      </c>
    </row>
    <row r="1317" spans="2:10">
      <c r="B1317" t="s">
        <v>1308</v>
      </c>
      <c r="C1317" s="24" t="s">
        <v>27</v>
      </c>
      <c r="D1317" s="13">
        <v>0.18</v>
      </c>
      <c r="E1317" s="13">
        <v>0.35</v>
      </c>
      <c r="G1317" s="17">
        <f t="shared" si="70"/>
        <v>0.27692307692307688</v>
      </c>
      <c r="H1317" s="27" t="str">
        <f t="shared" si="72"/>
        <v>POSITIVO</v>
      </c>
      <c r="J1317" s="17">
        <f t="shared" si="71"/>
        <v>0.25714285714285717</v>
      </c>
    </row>
    <row r="1318" spans="2:10">
      <c r="B1318" t="s">
        <v>1998</v>
      </c>
      <c r="C1318" s="24" t="s">
        <v>27</v>
      </c>
      <c r="D1318" s="25">
        <v>0.25</v>
      </c>
      <c r="E1318" s="26">
        <v>0.38</v>
      </c>
      <c r="G1318" s="17">
        <f t="shared" si="70"/>
        <v>0.38461538461538458</v>
      </c>
      <c r="H1318" s="27" t="str">
        <f t="shared" si="72"/>
        <v>NEGATIVO</v>
      </c>
      <c r="J1318" s="17">
        <f t="shared" si="71"/>
        <v>0.35714285714285715</v>
      </c>
    </row>
    <row r="1319" spans="2:10">
      <c r="B1319" t="s">
        <v>490</v>
      </c>
      <c r="C1319" s="24" t="s">
        <v>27</v>
      </c>
      <c r="D1319" s="25">
        <v>0.47</v>
      </c>
      <c r="E1319" s="26">
        <v>0.85</v>
      </c>
      <c r="G1319" s="17">
        <f t="shared" si="70"/>
        <v>0.72307692307692306</v>
      </c>
      <c r="H1319" s="27" t="str">
        <f t="shared" si="72"/>
        <v>POSITIVO</v>
      </c>
      <c r="J1319" s="17">
        <f t="shared" si="71"/>
        <v>0.67142857142857149</v>
      </c>
    </row>
    <row r="1320" spans="2:10">
      <c r="B1320" t="s">
        <v>490</v>
      </c>
      <c r="C1320" s="30" t="s">
        <v>27</v>
      </c>
      <c r="D1320" s="13">
        <v>0.4</v>
      </c>
      <c r="E1320" s="13">
        <v>0.65</v>
      </c>
      <c r="G1320" s="17">
        <f t="shared" si="70"/>
        <v>0.61538461538461542</v>
      </c>
      <c r="H1320" s="27" t="str">
        <f t="shared" si="72"/>
        <v>POSITIVO</v>
      </c>
      <c r="J1320" s="17">
        <f t="shared" si="71"/>
        <v>0.57142857142857151</v>
      </c>
    </row>
    <row r="1321" spans="2:10">
      <c r="B1321" t="s">
        <v>491</v>
      </c>
      <c r="C1321" s="24" t="s">
        <v>27</v>
      </c>
      <c r="D1321" s="25">
        <v>0.21</v>
      </c>
      <c r="E1321" s="26">
        <v>0.35</v>
      </c>
      <c r="G1321" s="17">
        <f t="shared" si="70"/>
        <v>0.32307692307692304</v>
      </c>
      <c r="H1321" s="27" t="str">
        <f t="shared" si="72"/>
        <v>POSITIVO</v>
      </c>
      <c r="J1321" s="17">
        <f t="shared" si="71"/>
        <v>0.3</v>
      </c>
    </row>
    <row r="1322" spans="2:10">
      <c r="B1322" t="s">
        <v>492</v>
      </c>
      <c r="C1322" s="24" t="s">
        <v>27</v>
      </c>
      <c r="D1322" s="25">
        <v>0.24</v>
      </c>
      <c r="E1322" s="26">
        <v>0.4</v>
      </c>
      <c r="G1322" s="17">
        <f t="shared" si="70"/>
        <v>0.3692307692307692</v>
      </c>
      <c r="H1322" s="27" t="str">
        <f t="shared" si="72"/>
        <v>POSITIVO</v>
      </c>
      <c r="J1322" s="17">
        <f t="shared" si="71"/>
        <v>0.34285714285714286</v>
      </c>
    </row>
    <row r="1323" spans="2:10">
      <c r="B1323" t="s">
        <v>493</v>
      </c>
      <c r="C1323" s="24" t="s">
        <v>27</v>
      </c>
      <c r="D1323" s="25">
        <v>0.28999999999999998</v>
      </c>
      <c r="E1323" s="26">
        <v>0.5</v>
      </c>
      <c r="G1323" s="17">
        <f t="shared" si="70"/>
        <v>0.44615384615384612</v>
      </c>
      <c r="H1323" s="27" t="str">
        <f t="shared" si="72"/>
        <v>POSITIVO</v>
      </c>
      <c r="J1323" s="17">
        <f t="shared" si="71"/>
        <v>0.41428571428571426</v>
      </c>
    </row>
    <row r="1324" spans="2:10">
      <c r="B1324" t="s">
        <v>494</v>
      </c>
      <c r="C1324" s="24" t="s">
        <v>27</v>
      </c>
      <c r="D1324" s="25">
        <v>0.4</v>
      </c>
      <c r="E1324" s="26">
        <v>0.63</v>
      </c>
      <c r="G1324" s="17">
        <f t="shared" si="70"/>
        <v>0.61538461538461542</v>
      </c>
      <c r="H1324" s="27" t="str">
        <f t="shared" si="72"/>
        <v>POSITIVO</v>
      </c>
      <c r="J1324" s="17">
        <f t="shared" si="71"/>
        <v>0.57142857142857151</v>
      </c>
    </row>
    <row r="1325" spans="2:10">
      <c r="B1325" t="s">
        <v>495</v>
      </c>
      <c r="C1325" s="24" t="s">
        <v>27</v>
      </c>
      <c r="D1325" s="25">
        <v>0.92</v>
      </c>
      <c r="E1325" s="26">
        <v>1.25</v>
      </c>
      <c r="G1325" s="17">
        <f t="shared" si="70"/>
        <v>1.4153846153846155</v>
      </c>
      <c r="H1325" s="27" t="str">
        <f t="shared" si="72"/>
        <v>NEGATIVO</v>
      </c>
      <c r="J1325" s="17">
        <f t="shared" si="71"/>
        <v>1.3142857142857145</v>
      </c>
    </row>
    <row r="1326" spans="2:10">
      <c r="B1326" t="s">
        <v>862</v>
      </c>
      <c r="C1326" s="30" t="s">
        <v>27</v>
      </c>
      <c r="D1326" s="13">
        <v>0.76</v>
      </c>
      <c r="E1326" s="13">
        <v>1.2</v>
      </c>
      <c r="G1326" s="17">
        <f t="shared" si="70"/>
        <v>1.1692307692307693</v>
      </c>
      <c r="H1326" s="27" t="str">
        <f t="shared" si="72"/>
        <v>POSITIVO</v>
      </c>
      <c r="J1326" s="17">
        <f t="shared" si="71"/>
        <v>1.0857142857142859</v>
      </c>
    </row>
    <row r="1327" spans="2:10">
      <c r="B1327" t="s">
        <v>863</v>
      </c>
      <c r="C1327" s="30" t="s">
        <v>27</v>
      </c>
      <c r="D1327" s="13">
        <v>0.67</v>
      </c>
      <c r="E1327" s="13">
        <v>1.25</v>
      </c>
      <c r="G1327" s="17">
        <f t="shared" si="70"/>
        <v>1.0307692307692309</v>
      </c>
      <c r="H1327" s="27" t="str">
        <f t="shared" si="72"/>
        <v>POSITIVO</v>
      </c>
      <c r="J1327" s="17">
        <f t="shared" si="71"/>
        <v>0.9571428571428573</v>
      </c>
    </row>
    <row r="1328" spans="2:10">
      <c r="B1328" t="s">
        <v>860</v>
      </c>
      <c r="C1328" s="30" t="s">
        <v>27</v>
      </c>
      <c r="D1328" s="13">
        <v>0.28000000000000003</v>
      </c>
      <c r="E1328" s="13">
        <v>0.45</v>
      </c>
      <c r="G1328" s="17">
        <f t="shared" ref="G1328:G1356" si="73">(D1328/65%)</f>
        <v>0.43076923076923079</v>
      </c>
      <c r="H1328" s="27" t="str">
        <f t="shared" si="72"/>
        <v>POSITIVO</v>
      </c>
      <c r="J1328" s="17">
        <f t="shared" ref="J1328:J1356" si="74">D1328/70%</f>
        <v>0.40000000000000008</v>
      </c>
    </row>
    <row r="1329" spans="2:10">
      <c r="B1329" t="s">
        <v>859</v>
      </c>
      <c r="C1329" s="30" t="s">
        <v>27</v>
      </c>
      <c r="D1329" s="13">
        <v>0.34</v>
      </c>
      <c r="E1329" s="13">
        <v>0.55000000000000004</v>
      </c>
      <c r="G1329" s="17">
        <f t="shared" si="73"/>
        <v>0.52307692307692311</v>
      </c>
      <c r="H1329" s="27" t="str">
        <f t="shared" si="72"/>
        <v>POSITIVO</v>
      </c>
      <c r="J1329" s="17">
        <f t="shared" si="74"/>
        <v>0.48571428571428577</v>
      </c>
    </row>
    <row r="1330" spans="2:10">
      <c r="B1330" t="s">
        <v>496</v>
      </c>
      <c r="C1330" s="24" t="s">
        <v>27</v>
      </c>
      <c r="D1330" s="25">
        <v>15.3</v>
      </c>
      <c r="E1330" s="26">
        <v>24.5</v>
      </c>
      <c r="G1330" s="17">
        <f t="shared" si="73"/>
        <v>23.53846153846154</v>
      </c>
      <c r="H1330" s="27" t="str">
        <f t="shared" si="72"/>
        <v>POSITIVO</v>
      </c>
      <c r="J1330" s="17">
        <f t="shared" si="74"/>
        <v>21.857142857142861</v>
      </c>
    </row>
    <row r="1331" spans="2:10">
      <c r="B1331" t="s">
        <v>497</v>
      </c>
      <c r="C1331" s="24" t="s">
        <v>27</v>
      </c>
      <c r="D1331" s="25">
        <v>0.57499999999999996</v>
      </c>
      <c r="E1331" s="26">
        <v>0.95</v>
      </c>
      <c r="G1331" s="17">
        <f t="shared" si="73"/>
        <v>0.88461538461538447</v>
      </c>
      <c r="H1331" s="27" t="str">
        <f t="shared" si="72"/>
        <v>POSITIVO</v>
      </c>
      <c r="J1331" s="17">
        <f t="shared" si="74"/>
        <v>0.8214285714285714</v>
      </c>
    </row>
    <row r="1332" spans="2:10">
      <c r="B1332" t="s">
        <v>498</v>
      </c>
      <c r="C1332" s="24" t="s">
        <v>27</v>
      </c>
      <c r="D1332" s="25">
        <v>0.5</v>
      </c>
      <c r="E1332" s="26">
        <v>0.8</v>
      </c>
      <c r="G1332" s="17">
        <f t="shared" si="73"/>
        <v>0.76923076923076916</v>
      </c>
      <c r="H1332" s="27" t="str">
        <f t="shared" si="72"/>
        <v>POSITIVO</v>
      </c>
      <c r="J1332" s="17">
        <f t="shared" si="74"/>
        <v>0.7142857142857143</v>
      </c>
    </row>
    <row r="1333" spans="2:10">
      <c r="B1333" t="s">
        <v>1434</v>
      </c>
      <c r="C1333" s="24" t="s">
        <v>27</v>
      </c>
      <c r="D1333" s="13">
        <v>0.52</v>
      </c>
      <c r="E1333" s="13">
        <v>0.8</v>
      </c>
      <c r="G1333" s="17">
        <f t="shared" si="73"/>
        <v>0.8</v>
      </c>
      <c r="H1333" s="27" t="str">
        <f t="shared" si="72"/>
        <v>POSITIVO</v>
      </c>
      <c r="J1333" s="17">
        <f t="shared" si="74"/>
        <v>0.74285714285714288</v>
      </c>
    </row>
    <row r="1334" spans="2:10">
      <c r="B1334" t="s">
        <v>499</v>
      </c>
      <c r="C1334" s="24" t="s">
        <v>27</v>
      </c>
      <c r="D1334" s="25">
        <v>0.75</v>
      </c>
      <c r="E1334" s="26">
        <v>1.2</v>
      </c>
      <c r="G1334" s="17">
        <f t="shared" si="73"/>
        <v>1.1538461538461537</v>
      </c>
      <c r="H1334" s="27" t="str">
        <f t="shared" ref="H1334:H1354" si="75">IF(E1334&gt;=G1334,"POSITIVO","NEGATIVO")</f>
        <v>POSITIVO</v>
      </c>
      <c r="J1334" s="17">
        <f t="shared" si="74"/>
        <v>1.0714285714285714</v>
      </c>
    </row>
    <row r="1335" spans="2:10">
      <c r="B1335" t="s">
        <v>500</v>
      </c>
      <c r="C1335" s="24" t="s">
        <v>27</v>
      </c>
      <c r="D1335" s="25">
        <v>0.8</v>
      </c>
      <c r="E1335" s="26">
        <v>1.3</v>
      </c>
      <c r="G1335" s="17">
        <f t="shared" si="73"/>
        <v>1.2307692307692308</v>
      </c>
      <c r="H1335" s="27" t="str">
        <f t="shared" si="75"/>
        <v>POSITIVO</v>
      </c>
      <c r="J1335" s="17">
        <f t="shared" si="74"/>
        <v>1.142857142857143</v>
      </c>
    </row>
    <row r="1336" spans="2:10">
      <c r="B1336" t="s">
        <v>864</v>
      </c>
      <c r="C1336" s="24" t="s">
        <v>27</v>
      </c>
      <c r="D1336" s="13">
        <v>1.28</v>
      </c>
      <c r="E1336" s="13">
        <v>2.1</v>
      </c>
      <c r="G1336" s="17">
        <f t="shared" si="73"/>
        <v>1.9692307692307691</v>
      </c>
      <c r="H1336" s="27" t="str">
        <f t="shared" si="75"/>
        <v>POSITIVO</v>
      </c>
      <c r="J1336" s="17">
        <f t="shared" si="74"/>
        <v>1.8285714285714287</v>
      </c>
    </row>
    <row r="1337" spans="2:10">
      <c r="B1337" t="s">
        <v>501</v>
      </c>
      <c r="C1337" s="24" t="s">
        <v>27</v>
      </c>
      <c r="D1337" s="25">
        <v>2.4</v>
      </c>
      <c r="E1337" s="26">
        <v>3.7</v>
      </c>
      <c r="G1337" s="17">
        <f t="shared" si="73"/>
        <v>3.6923076923076921</v>
      </c>
      <c r="H1337" s="27" t="str">
        <f t="shared" si="75"/>
        <v>POSITIVO</v>
      </c>
      <c r="J1337" s="17">
        <f t="shared" si="74"/>
        <v>3.4285714285714288</v>
      </c>
    </row>
    <row r="1338" spans="2:10">
      <c r="B1338" t="s">
        <v>502</v>
      </c>
      <c r="C1338" s="24" t="s">
        <v>27</v>
      </c>
      <c r="D1338" s="25">
        <v>3.48</v>
      </c>
      <c r="E1338" s="26">
        <v>5.4</v>
      </c>
      <c r="G1338" s="17">
        <f t="shared" si="73"/>
        <v>5.3538461538461535</v>
      </c>
      <c r="H1338" s="27" t="str">
        <f t="shared" si="75"/>
        <v>POSITIVO</v>
      </c>
      <c r="J1338" s="17">
        <f t="shared" si="74"/>
        <v>4.9714285714285715</v>
      </c>
    </row>
    <row r="1339" spans="2:10">
      <c r="B1339" t="s">
        <v>503</v>
      </c>
      <c r="C1339" s="24" t="s">
        <v>27</v>
      </c>
      <c r="D1339" s="25">
        <v>3.69</v>
      </c>
      <c r="E1339" s="26">
        <v>5.7</v>
      </c>
      <c r="G1339" s="17">
        <f t="shared" si="73"/>
        <v>5.6769230769230763</v>
      </c>
      <c r="H1339" s="27" t="str">
        <f t="shared" si="75"/>
        <v>POSITIVO</v>
      </c>
      <c r="J1339" s="17">
        <f t="shared" si="74"/>
        <v>5.2714285714285714</v>
      </c>
    </row>
    <row r="1340" spans="2:10">
      <c r="B1340" t="s">
        <v>504</v>
      </c>
      <c r="C1340" s="24" t="s">
        <v>27</v>
      </c>
      <c r="D1340" s="25">
        <v>4.05</v>
      </c>
      <c r="E1340" s="26">
        <v>6.25</v>
      </c>
      <c r="G1340" s="17">
        <f t="shared" si="73"/>
        <v>6.2307692307692299</v>
      </c>
      <c r="H1340" s="27" t="str">
        <f t="shared" si="75"/>
        <v>POSITIVO</v>
      </c>
      <c r="J1340" s="17">
        <f t="shared" si="74"/>
        <v>5.7857142857142856</v>
      </c>
    </row>
    <row r="1341" spans="2:10">
      <c r="B1341" t="s">
        <v>505</v>
      </c>
      <c r="C1341" s="24" t="s">
        <v>27</v>
      </c>
      <c r="D1341" s="25">
        <v>0.75</v>
      </c>
      <c r="E1341" s="26">
        <v>1.2</v>
      </c>
      <c r="G1341" s="17">
        <f t="shared" si="73"/>
        <v>1.1538461538461537</v>
      </c>
      <c r="H1341" s="27" t="str">
        <f t="shared" si="75"/>
        <v>POSITIVO</v>
      </c>
      <c r="J1341" s="17">
        <f t="shared" si="74"/>
        <v>1.0714285714285714</v>
      </c>
    </row>
    <row r="1342" spans="2:10">
      <c r="B1342" t="s">
        <v>506</v>
      </c>
      <c r="C1342" s="24" t="s">
        <v>27</v>
      </c>
      <c r="D1342" s="25">
        <v>0.95</v>
      </c>
      <c r="E1342" s="26">
        <v>1.55</v>
      </c>
      <c r="G1342" s="17">
        <f t="shared" si="73"/>
        <v>1.4615384615384615</v>
      </c>
      <c r="H1342" s="27" t="str">
        <f t="shared" si="75"/>
        <v>POSITIVO</v>
      </c>
      <c r="J1342" s="17">
        <f t="shared" si="74"/>
        <v>1.3571428571428572</v>
      </c>
    </row>
    <row r="1343" spans="2:10">
      <c r="B1343" t="s">
        <v>1606</v>
      </c>
      <c r="C1343" s="30" t="s">
        <v>27</v>
      </c>
      <c r="D1343" s="13">
        <v>0.84</v>
      </c>
      <c r="E1343" s="13">
        <v>1.3</v>
      </c>
      <c r="G1343" s="17">
        <f t="shared" si="73"/>
        <v>1.2923076923076922</v>
      </c>
      <c r="H1343" s="27" t="str">
        <f t="shared" si="75"/>
        <v>POSITIVO</v>
      </c>
      <c r="J1343" s="17">
        <f t="shared" si="74"/>
        <v>1.2</v>
      </c>
    </row>
    <row r="1344" spans="2:10">
      <c r="B1344" t="s">
        <v>507</v>
      </c>
      <c r="C1344" s="24" t="s">
        <v>27</v>
      </c>
      <c r="D1344" s="25">
        <v>1.2</v>
      </c>
      <c r="E1344" s="26">
        <v>2.5</v>
      </c>
      <c r="G1344" s="17">
        <f t="shared" si="73"/>
        <v>1.846153846153846</v>
      </c>
      <c r="H1344" s="27" t="str">
        <f t="shared" si="75"/>
        <v>POSITIVO</v>
      </c>
      <c r="J1344" s="17">
        <f t="shared" si="74"/>
        <v>1.7142857142857144</v>
      </c>
    </row>
    <row r="1345" spans="2:10">
      <c r="B1345" t="s">
        <v>1759</v>
      </c>
      <c r="C1345" s="30" t="s">
        <v>27</v>
      </c>
      <c r="D1345" s="13">
        <v>1.2</v>
      </c>
      <c r="E1345" s="13">
        <v>1.9</v>
      </c>
      <c r="G1345" s="17">
        <f t="shared" si="73"/>
        <v>1.846153846153846</v>
      </c>
      <c r="H1345" s="27" t="str">
        <f t="shared" si="75"/>
        <v>POSITIVO</v>
      </c>
      <c r="J1345" s="17">
        <f t="shared" si="74"/>
        <v>1.7142857142857144</v>
      </c>
    </row>
    <row r="1346" spans="2:10">
      <c r="B1346" t="s">
        <v>508</v>
      </c>
      <c r="C1346" s="24" t="s">
        <v>27</v>
      </c>
      <c r="D1346" s="25">
        <v>1.32</v>
      </c>
      <c r="E1346" s="26">
        <v>2.0499999999999998</v>
      </c>
      <c r="G1346" s="17">
        <f t="shared" si="73"/>
        <v>2.0307692307692307</v>
      </c>
      <c r="H1346" s="27" t="str">
        <f t="shared" si="75"/>
        <v>POSITIVO</v>
      </c>
      <c r="J1346" s="17">
        <f t="shared" si="74"/>
        <v>1.8857142857142859</v>
      </c>
    </row>
    <row r="1347" spans="2:10">
      <c r="B1347" t="s">
        <v>509</v>
      </c>
      <c r="C1347" s="24" t="s">
        <v>27</v>
      </c>
      <c r="D1347" s="25">
        <v>2.5499999999999998</v>
      </c>
      <c r="E1347" s="26">
        <v>3.95</v>
      </c>
      <c r="G1347" s="17">
        <f t="shared" si="73"/>
        <v>3.9230769230769225</v>
      </c>
      <c r="H1347" s="27" t="str">
        <f t="shared" si="75"/>
        <v>POSITIVO</v>
      </c>
      <c r="J1347" s="17">
        <f t="shared" si="74"/>
        <v>3.6428571428571428</v>
      </c>
    </row>
    <row r="1348" spans="2:10">
      <c r="B1348" t="s">
        <v>1212</v>
      </c>
      <c r="C1348" s="30" t="s">
        <v>27</v>
      </c>
      <c r="D1348" s="13">
        <v>0.08</v>
      </c>
      <c r="E1348" s="13">
        <v>0.15</v>
      </c>
      <c r="G1348" s="17">
        <f t="shared" si="73"/>
        <v>0.12307692307692307</v>
      </c>
      <c r="H1348" s="27" t="str">
        <f t="shared" si="75"/>
        <v>POSITIVO</v>
      </c>
      <c r="J1348" s="17">
        <f t="shared" si="74"/>
        <v>0.1142857142857143</v>
      </c>
    </row>
    <row r="1349" spans="2:10">
      <c r="B1349" t="s">
        <v>1213</v>
      </c>
      <c r="C1349" s="30" t="s">
        <v>27</v>
      </c>
      <c r="D1349" s="13">
        <v>0.11</v>
      </c>
      <c r="E1349" s="13">
        <v>0.2</v>
      </c>
      <c r="G1349" s="17">
        <f t="shared" si="73"/>
        <v>0.16923076923076921</v>
      </c>
      <c r="H1349" s="27" t="str">
        <f t="shared" si="75"/>
        <v>POSITIVO</v>
      </c>
      <c r="J1349" s="17">
        <f t="shared" si="74"/>
        <v>0.15714285714285717</v>
      </c>
    </row>
    <row r="1350" spans="2:10">
      <c r="B1350" t="s">
        <v>1311</v>
      </c>
      <c r="C1350" s="30" t="s">
        <v>27</v>
      </c>
      <c r="D1350" s="13">
        <v>7.0000000000000007E-2</v>
      </c>
      <c r="E1350" s="13">
        <v>0.15</v>
      </c>
      <c r="G1350" s="17">
        <f t="shared" si="73"/>
        <v>0.1076923076923077</v>
      </c>
      <c r="H1350" s="27" t="str">
        <f t="shared" si="75"/>
        <v>POSITIVO</v>
      </c>
      <c r="J1350" s="17">
        <f t="shared" si="74"/>
        <v>0.10000000000000002</v>
      </c>
    </row>
    <row r="1351" spans="2:10">
      <c r="B1351" t="s">
        <v>510</v>
      </c>
      <c r="C1351" s="24" t="s">
        <v>27</v>
      </c>
      <c r="D1351" s="25">
        <v>0.53</v>
      </c>
      <c r="E1351" s="26">
        <v>0.75</v>
      </c>
      <c r="G1351" s="17">
        <f t="shared" si="73"/>
        <v>0.81538461538461537</v>
      </c>
      <c r="H1351" s="27" t="str">
        <f t="shared" si="75"/>
        <v>NEGATIVO</v>
      </c>
      <c r="J1351" s="17">
        <f t="shared" si="74"/>
        <v>0.75714285714285723</v>
      </c>
    </row>
    <row r="1352" spans="2:10">
      <c r="B1352" t="s">
        <v>1323</v>
      </c>
      <c r="C1352" s="30" t="s">
        <v>27</v>
      </c>
      <c r="D1352" s="13">
        <v>4.2300000000000004</v>
      </c>
      <c r="E1352" s="13">
        <v>6.9</v>
      </c>
      <c r="G1352" s="17">
        <f t="shared" si="73"/>
        <v>6.5076923076923086</v>
      </c>
      <c r="H1352" s="27" t="str">
        <f t="shared" si="75"/>
        <v>POSITIVO</v>
      </c>
      <c r="J1352" s="17">
        <f t="shared" si="74"/>
        <v>6.0428571428571436</v>
      </c>
    </row>
    <row r="1353" spans="2:10">
      <c r="B1353" t="s">
        <v>1323</v>
      </c>
      <c r="D1353" s="13">
        <v>2.79</v>
      </c>
      <c r="E1353" s="13">
        <v>4.5</v>
      </c>
      <c r="G1353" s="17">
        <f t="shared" si="73"/>
        <v>4.2923076923076922</v>
      </c>
      <c r="H1353" s="27" t="str">
        <f t="shared" si="75"/>
        <v>POSITIVO</v>
      </c>
      <c r="J1353" s="17">
        <f t="shared" si="74"/>
        <v>3.9857142857142862</v>
      </c>
    </row>
    <row r="1354" spans="2:10">
      <c r="B1354" s="28" t="s">
        <v>511</v>
      </c>
      <c r="C1354" s="24" t="s">
        <v>27</v>
      </c>
      <c r="D1354" s="25">
        <v>0.42</v>
      </c>
      <c r="E1354" s="26">
        <v>0.65</v>
      </c>
      <c r="G1354" s="17">
        <f t="shared" si="73"/>
        <v>0.64615384615384608</v>
      </c>
      <c r="H1354" s="27" t="str">
        <f t="shared" si="75"/>
        <v>POSITIVO</v>
      </c>
      <c r="J1354" s="17">
        <f t="shared" si="74"/>
        <v>0.6</v>
      </c>
    </row>
    <row r="1355" spans="2:10">
      <c r="B1355" s="28" t="s">
        <v>512</v>
      </c>
      <c r="C1355" s="24" t="s">
        <v>27</v>
      </c>
      <c r="D1355" s="25">
        <v>0.44</v>
      </c>
      <c r="E1355" s="26">
        <v>0.7</v>
      </c>
      <c r="G1355" s="17">
        <f t="shared" si="73"/>
        <v>0.67692307692307685</v>
      </c>
      <c r="H1355" s="27"/>
      <c r="J1355" s="17">
        <f t="shared" si="74"/>
        <v>0.62857142857142867</v>
      </c>
    </row>
    <row r="1356" spans="2:10">
      <c r="B1356" s="28" t="s">
        <v>513</v>
      </c>
      <c r="C1356" s="24" t="s">
        <v>27</v>
      </c>
      <c r="D1356" s="25">
        <v>0.53</v>
      </c>
      <c r="E1356" s="26">
        <v>0.85</v>
      </c>
      <c r="G1356" s="17">
        <f t="shared" si="73"/>
        <v>0.81538461538461537</v>
      </c>
      <c r="H1356" s="27" t="str">
        <f t="shared" ref="H1356" si="76">IF(E1356&gt;=G1356,"POSITIVO","NEGATIVO")</f>
        <v>POSITIVO</v>
      </c>
      <c r="J1356" s="17">
        <f t="shared" si="74"/>
        <v>0.75714285714285723</v>
      </c>
    </row>
    <row r="1357" spans="2:10">
      <c r="B1357" s="28" t="s">
        <v>514</v>
      </c>
      <c r="C1357" s="24" t="s">
        <v>27</v>
      </c>
      <c r="D1357" s="25">
        <v>0.87</v>
      </c>
      <c r="E1357" s="26">
        <v>1.35</v>
      </c>
      <c r="G1357" s="17">
        <f t="shared" ref="G1357:G1418" si="77">(D1357/65%)</f>
        <v>1.3384615384615384</v>
      </c>
      <c r="H1357" s="27" t="str">
        <f t="shared" ref="H1357:H1418" si="78">IF(E1357&gt;=G1357,"POSITIVO","NEGATIVO")</f>
        <v>POSITIVO</v>
      </c>
      <c r="J1357" s="17">
        <f t="shared" ref="J1357:J1418" si="79">D1357/70%</f>
        <v>1.2428571428571429</v>
      </c>
    </row>
    <row r="1358" spans="2:10">
      <c r="B1358" s="28" t="s">
        <v>515</v>
      </c>
      <c r="C1358" s="24" t="s">
        <v>27</v>
      </c>
      <c r="D1358" s="25">
        <v>0.87</v>
      </c>
      <c r="E1358" s="26">
        <v>1.35</v>
      </c>
      <c r="G1358" s="17">
        <f t="shared" si="77"/>
        <v>1.3384615384615384</v>
      </c>
      <c r="H1358" s="27" t="str">
        <f t="shared" si="78"/>
        <v>POSITIVO</v>
      </c>
      <c r="J1358" s="17">
        <f t="shared" si="79"/>
        <v>1.2428571428571429</v>
      </c>
    </row>
    <row r="1359" spans="2:10">
      <c r="B1359" t="s">
        <v>1756</v>
      </c>
      <c r="C1359" s="30" t="s">
        <v>27</v>
      </c>
      <c r="D1359" s="13">
        <v>8.9700000000000006</v>
      </c>
      <c r="E1359" s="13">
        <v>15.9</v>
      </c>
      <c r="G1359" s="17">
        <f t="shared" si="77"/>
        <v>13.8</v>
      </c>
      <c r="H1359" s="27" t="str">
        <f t="shared" si="78"/>
        <v>POSITIVO</v>
      </c>
      <c r="J1359" s="17">
        <f t="shared" si="79"/>
        <v>12.814285714285717</v>
      </c>
    </row>
    <row r="1360" spans="2:10">
      <c r="B1360" s="28" t="s">
        <v>516</v>
      </c>
      <c r="C1360" s="24" t="s">
        <v>27</v>
      </c>
      <c r="D1360" s="25">
        <v>0.67</v>
      </c>
      <c r="E1360" s="26">
        <v>1.05</v>
      </c>
      <c r="G1360" s="17">
        <f t="shared" si="77"/>
        <v>1.0307692307692309</v>
      </c>
      <c r="H1360" s="27" t="str">
        <f t="shared" si="78"/>
        <v>POSITIVO</v>
      </c>
      <c r="J1360" s="17">
        <f t="shared" si="79"/>
        <v>0.9571428571428573</v>
      </c>
    </row>
    <row r="1361" spans="2:10">
      <c r="B1361" s="28" t="s">
        <v>517</v>
      </c>
      <c r="C1361" s="24" t="s">
        <v>27</v>
      </c>
      <c r="D1361" s="25">
        <v>0.52</v>
      </c>
      <c r="E1361" s="26">
        <v>1.1000000000000001</v>
      </c>
      <c r="G1361" s="17">
        <f t="shared" si="77"/>
        <v>0.8</v>
      </c>
      <c r="H1361" s="27" t="str">
        <f t="shared" si="78"/>
        <v>POSITIVO</v>
      </c>
      <c r="J1361" s="17">
        <f t="shared" si="79"/>
        <v>0.74285714285714288</v>
      </c>
    </row>
    <row r="1362" spans="2:10">
      <c r="B1362" s="28" t="s">
        <v>518</v>
      </c>
      <c r="C1362" s="24" t="s">
        <v>27</v>
      </c>
      <c r="D1362" s="25">
        <v>2.04</v>
      </c>
      <c r="E1362" s="26">
        <v>3.15</v>
      </c>
      <c r="G1362" s="17">
        <f t="shared" si="77"/>
        <v>3.1384615384615384</v>
      </c>
      <c r="H1362" s="27" t="str">
        <f t="shared" si="78"/>
        <v>POSITIVO</v>
      </c>
      <c r="J1362" s="17">
        <f t="shared" si="79"/>
        <v>2.9142857142857146</v>
      </c>
    </row>
    <row r="1363" spans="2:10">
      <c r="B1363" s="28" t="s">
        <v>2421</v>
      </c>
      <c r="C1363" s="30" t="s">
        <v>27</v>
      </c>
      <c r="D1363" s="13">
        <v>2.11</v>
      </c>
      <c r="E1363" s="13">
        <v>3.3</v>
      </c>
      <c r="G1363" s="17">
        <f t="shared" si="77"/>
        <v>3.2461538461538457</v>
      </c>
      <c r="H1363" s="27" t="str">
        <f t="shared" si="78"/>
        <v>POSITIVO</v>
      </c>
      <c r="J1363" s="17">
        <f t="shared" si="79"/>
        <v>3.0142857142857142</v>
      </c>
    </row>
    <row r="1364" spans="2:10">
      <c r="B1364" s="28" t="s">
        <v>519</v>
      </c>
      <c r="C1364" s="24" t="s">
        <v>27</v>
      </c>
      <c r="D1364" s="25">
        <v>2.77</v>
      </c>
      <c r="E1364" s="26">
        <v>4.3</v>
      </c>
      <c r="G1364" s="17">
        <f t="shared" si="77"/>
        <v>4.2615384615384615</v>
      </c>
      <c r="H1364" s="27" t="str">
        <f t="shared" si="78"/>
        <v>POSITIVO</v>
      </c>
      <c r="J1364" s="17">
        <f t="shared" si="79"/>
        <v>3.9571428571428573</v>
      </c>
    </row>
    <row r="1365" spans="2:10">
      <c r="B1365" s="28" t="s">
        <v>520</v>
      </c>
      <c r="C1365" s="24" t="s">
        <v>27</v>
      </c>
      <c r="D1365" s="25">
        <v>7.5</v>
      </c>
      <c r="E1365" s="26">
        <v>11.8</v>
      </c>
      <c r="G1365" s="17">
        <f t="shared" si="77"/>
        <v>11.538461538461538</v>
      </c>
      <c r="H1365" s="27" t="str">
        <f t="shared" si="78"/>
        <v>POSITIVO</v>
      </c>
      <c r="J1365" s="17">
        <f t="shared" si="79"/>
        <v>10.714285714285715</v>
      </c>
    </row>
    <row r="1366" spans="2:10">
      <c r="B1366" t="s">
        <v>521</v>
      </c>
      <c r="C1366" s="24" t="s">
        <v>27</v>
      </c>
      <c r="D1366" s="25">
        <v>0.65</v>
      </c>
      <c r="E1366" s="26">
        <v>1.1000000000000001</v>
      </c>
      <c r="G1366" s="17">
        <f t="shared" si="77"/>
        <v>1</v>
      </c>
      <c r="H1366" s="27" t="str">
        <f t="shared" si="78"/>
        <v>POSITIVO</v>
      </c>
      <c r="J1366" s="17">
        <f t="shared" si="79"/>
        <v>0.92857142857142871</v>
      </c>
    </row>
    <row r="1367" spans="2:10">
      <c r="B1367" s="28" t="s">
        <v>522</v>
      </c>
      <c r="C1367" s="24" t="s">
        <v>27</v>
      </c>
      <c r="D1367" s="25">
        <v>0.61</v>
      </c>
      <c r="E1367" s="26">
        <v>0.95</v>
      </c>
      <c r="G1367" s="17">
        <f t="shared" si="77"/>
        <v>0.93846153846153846</v>
      </c>
      <c r="H1367" s="27" t="str">
        <f t="shared" si="78"/>
        <v>POSITIVO</v>
      </c>
      <c r="J1367" s="17">
        <f t="shared" si="79"/>
        <v>0.87142857142857144</v>
      </c>
    </row>
    <row r="1368" spans="2:10">
      <c r="B1368" t="s">
        <v>523</v>
      </c>
      <c r="C1368" s="24" t="s">
        <v>27</v>
      </c>
      <c r="D1368" s="25">
        <v>0.54</v>
      </c>
      <c r="E1368" s="26">
        <v>0.95</v>
      </c>
      <c r="G1368" s="17">
        <f t="shared" si="77"/>
        <v>0.83076923076923082</v>
      </c>
      <c r="H1368" s="27" t="str">
        <f t="shared" si="78"/>
        <v>POSITIVO</v>
      </c>
      <c r="J1368" s="17">
        <f t="shared" si="79"/>
        <v>0.77142857142857157</v>
      </c>
    </row>
    <row r="1369" spans="2:10">
      <c r="B1369" t="s">
        <v>524</v>
      </c>
      <c r="C1369" s="24" t="s">
        <v>27</v>
      </c>
      <c r="D1369" s="25">
        <v>1.4</v>
      </c>
      <c r="E1369" s="26">
        <v>2.25</v>
      </c>
      <c r="G1369" s="17">
        <f t="shared" si="77"/>
        <v>2.1538461538461537</v>
      </c>
      <c r="H1369" s="27" t="str">
        <f t="shared" si="78"/>
        <v>POSITIVO</v>
      </c>
      <c r="J1369" s="17">
        <f t="shared" si="79"/>
        <v>2</v>
      </c>
    </row>
    <row r="1370" spans="2:10">
      <c r="B1370" t="s">
        <v>525</v>
      </c>
      <c r="C1370" s="24" t="s">
        <v>27</v>
      </c>
      <c r="D1370" s="25">
        <v>1.524</v>
      </c>
      <c r="E1370" s="26">
        <v>2.5</v>
      </c>
      <c r="G1370" s="17">
        <f t="shared" si="77"/>
        <v>2.3446153846153845</v>
      </c>
      <c r="H1370" s="27" t="str">
        <f t="shared" si="78"/>
        <v>POSITIVO</v>
      </c>
      <c r="J1370" s="17">
        <f t="shared" si="79"/>
        <v>2.1771428571428575</v>
      </c>
    </row>
    <row r="1371" spans="2:10">
      <c r="B1371" s="28" t="s">
        <v>526</v>
      </c>
      <c r="C1371" s="24" t="s">
        <v>27</v>
      </c>
      <c r="D1371" s="25">
        <v>0.94</v>
      </c>
      <c r="E1371" s="26">
        <v>1.45</v>
      </c>
      <c r="G1371" s="17">
        <f t="shared" si="77"/>
        <v>1.4461538461538461</v>
      </c>
      <c r="H1371" s="27" t="str">
        <f t="shared" si="78"/>
        <v>POSITIVO</v>
      </c>
      <c r="J1371" s="17">
        <f t="shared" si="79"/>
        <v>1.342857142857143</v>
      </c>
    </row>
    <row r="1372" spans="2:10">
      <c r="B1372" t="s">
        <v>527</v>
      </c>
      <c r="C1372" s="24" t="s">
        <v>27</v>
      </c>
      <c r="D1372" s="25">
        <v>1.8</v>
      </c>
      <c r="E1372" s="26">
        <v>2.8</v>
      </c>
      <c r="G1372" s="17">
        <f t="shared" si="77"/>
        <v>2.7692307692307692</v>
      </c>
      <c r="H1372" s="27" t="str">
        <f t="shared" si="78"/>
        <v>POSITIVO</v>
      </c>
      <c r="J1372" s="17">
        <f t="shared" si="79"/>
        <v>2.5714285714285716</v>
      </c>
    </row>
    <row r="1373" spans="2:10">
      <c r="B1373" t="s">
        <v>528</v>
      </c>
      <c r="C1373" s="24" t="s">
        <v>27</v>
      </c>
      <c r="D1373" s="25">
        <v>1.1200000000000001</v>
      </c>
      <c r="E1373" s="26">
        <v>1.75</v>
      </c>
      <c r="G1373" s="17">
        <f t="shared" si="77"/>
        <v>1.7230769230769232</v>
      </c>
      <c r="H1373" s="27" t="str">
        <f t="shared" si="78"/>
        <v>POSITIVO</v>
      </c>
      <c r="J1373" s="17">
        <f t="shared" si="79"/>
        <v>1.6000000000000003</v>
      </c>
    </row>
    <row r="1374" spans="2:10">
      <c r="B1374" t="s">
        <v>529</v>
      </c>
      <c r="C1374" s="24" t="s">
        <v>27</v>
      </c>
      <c r="D1374" s="25">
        <v>0.27</v>
      </c>
      <c r="E1374" s="26">
        <v>0.45</v>
      </c>
      <c r="G1374" s="17">
        <f t="shared" si="77"/>
        <v>0.41538461538461541</v>
      </c>
      <c r="H1374" s="27" t="str">
        <f t="shared" si="78"/>
        <v>POSITIVO</v>
      </c>
      <c r="J1374" s="17">
        <f t="shared" si="79"/>
        <v>0.38571428571428579</v>
      </c>
    </row>
    <row r="1375" spans="2:10">
      <c r="B1375" t="s">
        <v>530</v>
      </c>
      <c r="C1375" s="24" t="s">
        <v>27</v>
      </c>
      <c r="D1375" s="25">
        <v>0.7</v>
      </c>
      <c r="E1375" s="26">
        <v>1.1000000000000001</v>
      </c>
      <c r="G1375" s="17">
        <f t="shared" si="77"/>
        <v>1.0769230769230769</v>
      </c>
      <c r="H1375" s="27" t="str">
        <f t="shared" si="78"/>
        <v>POSITIVO</v>
      </c>
      <c r="J1375" s="17">
        <f t="shared" si="79"/>
        <v>1</v>
      </c>
    </row>
    <row r="1376" spans="2:10">
      <c r="B1376" t="s">
        <v>1313</v>
      </c>
      <c r="C1376" s="24" t="s">
        <v>27</v>
      </c>
      <c r="D1376" s="13">
        <v>0.53</v>
      </c>
      <c r="E1376" s="13">
        <v>0.9</v>
      </c>
      <c r="G1376" s="17">
        <f t="shared" si="77"/>
        <v>0.81538461538461537</v>
      </c>
      <c r="H1376" s="27" t="str">
        <f t="shared" si="78"/>
        <v>POSITIVO</v>
      </c>
      <c r="J1376" s="17">
        <f t="shared" si="79"/>
        <v>0.75714285714285723</v>
      </c>
    </row>
    <row r="1377" spans="2:10">
      <c r="B1377" t="s">
        <v>1312</v>
      </c>
      <c r="C1377" s="24" t="s">
        <v>27</v>
      </c>
      <c r="D1377" s="13">
        <v>0.64</v>
      </c>
      <c r="E1377" s="13">
        <v>1</v>
      </c>
      <c r="G1377" s="17">
        <f t="shared" si="77"/>
        <v>0.98461538461538456</v>
      </c>
      <c r="H1377" s="27" t="str">
        <f t="shared" si="78"/>
        <v>POSITIVO</v>
      </c>
      <c r="J1377" s="17">
        <f t="shared" si="79"/>
        <v>0.91428571428571437</v>
      </c>
    </row>
    <row r="1378" spans="2:10">
      <c r="B1378" t="s">
        <v>992</v>
      </c>
      <c r="C1378" s="24" t="s">
        <v>27</v>
      </c>
      <c r="D1378" s="13">
        <v>0.68</v>
      </c>
      <c r="E1378" s="13">
        <v>1</v>
      </c>
      <c r="G1378" s="17">
        <f t="shared" si="77"/>
        <v>1.0461538461538462</v>
      </c>
      <c r="H1378" s="27" t="str">
        <f t="shared" si="78"/>
        <v>NEGATIVO</v>
      </c>
      <c r="J1378" s="17">
        <f t="shared" si="79"/>
        <v>0.97142857142857153</v>
      </c>
    </row>
    <row r="1379" spans="2:10">
      <c r="B1379" t="s">
        <v>1435</v>
      </c>
      <c r="C1379" s="30" t="s">
        <v>27</v>
      </c>
      <c r="D1379" s="13">
        <v>2.46</v>
      </c>
      <c r="E1379" s="13">
        <v>3.9</v>
      </c>
      <c r="G1379" s="17">
        <f t="shared" si="77"/>
        <v>3.7846153846153845</v>
      </c>
      <c r="H1379" s="27" t="str">
        <f t="shared" si="78"/>
        <v>POSITIVO</v>
      </c>
      <c r="J1379" s="17">
        <f t="shared" si="79"/>
        <v>3.5142857142857147</v>
      </c>
    </row>
    <row r="1380" spans="2:10">
      <c r="B1380" t="s">
        <v>1099</v>
      </c>
      <c r="C1380" s="24" t="s">
        <v>27</v>
      </c>
      <c r="D1380" s="13">
        <v>1.18</v>
      </c>
      <c r="E1380" s="13">
        <v>1.9</v>
      </c>
      <c r="G1380" s="17">
        <f t="shared" si="77"/>
        <v>1.8153846153846152</v>
      </c>
      <c r="H1380" s="27" t="str">
        <f t="shared" si="78"/>
        <v>POSITIVO</v>
      </c>
      <c r="J1380" s="17">
        <f t="shared" si="79"/>
        <v>1.6857142857142857</v>
      </c>
    </row>
    <row r="1381" spans="2:10">
      <c r="B1381" t="s">
        <v>882</v>
      </c>
      <c r="C1381" s="24" t="s">
        <v>27</v>
      </c>
      <c r="D1381" s="25">
        <v>0.67</v>
      </c>
      <c r="E1381" s="26">
        <v>1.2</v>
      </c>
      <c r="G1381" s="17">
        <f t="shared" si="77"/>
        <v>1.0307692307692309</v>
      </c>
      <c r="H1381" s="27" t="str">
        <f t="shared" si="78"/>
        <v>POSITIVO</v>
      </c>
      <c r="J1381" s="17">
        <f t="shared" si="79"/>
        <v>0.9571428571428573</v>
      </c>
    </row>
    <row r="1382" spans="2:10">
      <c r="B1382" t="s">
        <v>1918</v>
      </c>
      <c r="C1382" s="30" t="s">
        <v>27</v>
      </c>
      <c r="D1382" s="13">
        <v>0.93</v>
      </c>
      <c r="E1382" s="13">
        <v>2</v>
      </c>
      <c r="G1382" s="17">
        <f t="shared" si="77"/>
        <v>1.4307692307692308</v>
      </c>
      <c r="H1382" s="27" t="str">
        <f t="shared" si="78"/>
        <v>POSITIVO</v>
      </c>
      <c r="J1382" s="17">
        <f t="shared" si="79"/>
        <v>1.3285714285714287</v>
      </c>
    </row>
    <row r="1383" spans="2:10">
      <c r="B1383" t="s">
        <v>995</v>
      </c>
      <c r="C1383" s="30" t="s">
        <v>27</v>
      </c>
      <c r="D1383" s="13">
        <v>0.52</v>
      </c>
      <c r="E1383" s="13">
        <v>0.8</v>
      </c>
      <c r="G1383" s="17">
        <f t="shared" si="77"/>
        <v>0.8</v>
      </c>
      <c r="H1383" s="27" t="str">
        <f t="shared" si="78"/>
        <v>POSITIVO</v>
      </c>
      <c r="J1383" s="17">
        <f t="shared" si="79"/>
        <v>0.74285714285714288</v>
      </c>
    </row>
    <row r="1384" spans="2:10">
      <c r="B1384" t="s">
        <v>950</v>
      </c>
      <c r="C1384" s="30" t="s">
        <v>27</v>
      </c>
      <c r="D1384" s="13">
        <v>0.1</v>
      </c>
      <c r="E1384" s="13">
        <v>0.2</v>
      </c>
      <c r="G1384" s="17">
        <f t="shared" si="77"/>
        <v>0.15384615384615385</v>
      </c>
      <c r="H1384" s="27" t="str">
        <f t="shared" si="78"/>
        <v>POSITIVO</v>
      </c>
      <c r="J1384" s="17">
        <f t="shared" si="79"/>
        <v>0.14285714285714288</v>
      </c>
    </row>
    <row r="1385" spans="2:10">
      <c r="B1385" t="s">
        <v>861</v>
      </c>
      <c r="C1385" s="30" t="s">
        <v>27</v>
      </c>
      <c r="D1385" s="13">
        <v>0.43</v>
      </c>
      <c r="E1385" s="13">
        <v>0.7</v>
      </c>
      <c r="G1385" s="17">
        <f t="shared" si="77"/>
        <v>0.66153846153846152</v>
      </c>
      <c r="H1385" s="27" t="str">
        <f t="shared" si="78"/>
        <v>POSITIVO</v>
      </c>
      <c r="J1385" s="17">
        <f t="shared" si="79"/>
        <v>0.61428571428571432</v>
      </c>
    </row>
    <row r="1386" spans="2:10">
      <c r="B1386" t="s">
        <v>803</v>
      </c>
      <c r="C1386" s="24" t="s">
        <v>27</v>
      </c>
      <c r="D1386" s="25">
        <v>13.33</v>
      </c>
      <c r="E1386" s="26">
        <v>21</v>
      </c>
      <c r="G1386" s="17">
        <f t="shared" si="77"/>
        <v>20.507692307692306</v>
      </c>
      <c r="H1386" s="27" t="str">
        <f t="shared" si="78"/>
        <v>POSITIVO</v>
      </c>
      <c r="J1386" s="17">
        <f t="shared" si="79"/>
        <v>19.042857142857144</v>
      </c>
    </row>
    <row r="1387" spans="2:10">
      <c r="B1387" t="s">
        <v>531</v>
      </c>
      <c r="C1387" s="24" t="s">
        <v>27</v>
      </c>
      <c r="D1387" s="25">
        <v>9.8800000000000008</v>
      </c>
      <c r="E1387" s="26">
        <v>15.5</v>
      </c>
      <c r="G1387" s="17">
        <f t="shared" si="77"/>
        <v>15.200000000000001</v>
      </c>
      <c r="H1387" s="27" t="str">
        <f t="shared" si="78"/>
        <v>POSITIVO</v>
      </c>
      <c r="J1387" s="17">
        <f t="shared" si="79"/>
        <v>14.114285714285716</v>
      </c>
    </row>
    <row r="1388" spans="2:10">
      <c r="B1388" t="s">
        <v>532</v>
      </c>
      <c r="C1388" s="24" t="s">
        <v>46</v>
      </c>
      <c r="D1388" s="25">
        <v>90.5</v>
      </c>
      <c r="E1388" s="26">
        <v>110</v>
      </c>
      <c r="G1388" s="17">
        <f t="shared" si="77"/>
        <v>139.23076923076923</v>
      </c>
      <c r="H1388" s="27" t="str">
        <f t="shared" si="78"/>
        <v>NEGATIVO</v>
      </c>
      <c r="J1388" s="17">
        <f t="shared" si="79"/>
        <v>129.28571428571431</v>
      </c>
    </row>
    <row r="1389" spans="2:10">
      <c r="B1389" t="s">
        <v>533</v>
      </c>
      <c r="C1389" s="24" t="s">
        <v>27</v>
      </c>
      <c r="D1389" s="25">
        <v>36.03</v>
      </c>
      <c r="E1389" s="26">
        <v>58</v>
      </c>
      <c r="G1389" s="17">
        <f t="shared" si="77"/>
        <v>55.430769230769229</v>
      </c>
      <c r="H1389" s="27" t="str">
        <f t="shared" si="78"/>
        <v>POSITIVO</v>
      </c>
      <c r="J1389" s="17">
        <f t="shared" si="79"/>
        <v>51.471428571428575</v>
      </c>
    </row>
    <row r="1390" spans="2:10">
      <c r="B1390" t="s">
        <v>1263</v>
      </c>
      <c r="C1390" s="30" t="s">
        <v>27</v>
      </c>
      <c r="D1390" s="13">
        <v>48.99</v>
      </c>
      <c r="E1390" s="13">
        <v>82</v>
      </c>
      <c r="G1390" s="17">
        <f t="shared" si="77"/>
        <v>75.369230769230768</v>
      </c>
      <c r="H1390" s="27" t="str">
        <f t="shared" si="78"/>
        <v>POSITIVO</v>
      </c>
      <c r="J1390" s="17">
        <f t="shared" si="79"/>
        <v>69.985714285714295</v>
      </c>
    </row>
    <row r="1391" spans="2:10">
      <c r="B1391" t="s">
        <v>534</v>
      </c>
      <c r="C1391" s="24" t="s">
        <v>27</v>
      </c>
      <c r="D1391" s="25">
        <v>22</v>
      </c>
      <c r="E1391" s="26">
        <v>30</v>
      </c>
      <c r="G1391" s="17">
        <f t="shared" si="77"/>
        <v>33.846153846153847</v>
      </c>
      <c r="H1391" s="27" t="str">
        <f t="shared" si="78"/>
        <v>NEGATIVO</v>
      </c>
      <c r="J1391" s="17">
        <f t="shared" si="79"/>
        <v>31.428571428571431</v>
      </c>
    </row>
    <row r="1392" spans="2:10">
      <c r="B1392" t="s">
        <v>1515</v>
      </c>
      <c r="C1392" s="30" t="s">
        <v>27</v>
      </c>
      <c r="D1392" s="13">
        <v>21.63</v>
      </c>
      <c r="E1392" s="13">
        <v>35</v>
      </c>
      <c r="G1392" s="17">
        <f t="shared" si="77"/>
        <v>33.276923076923076</v>
      </c>
      <c r="H1392" s="27" t="str">
        <f t="shared" si="78"/>
        <v>POSITIVO</v>
      </c>
      <c r="J1392" s="17">
        <f t="shared" si="79"/>
        <v>30.900000000000002</v>
      </c>
    </row>
    <row r="1393" spans="2:10">
      <c r="B1393" t="s">
        <v>946</v>
      </c>
      <c r="C1393" s="30" t="s">
        <v>46</v>
      </c>
      <c r="D1393" s="13">
        <v>184</v>
      </c>
      <c r="E1393" s="13">
        <v>295</v>
      </c>
      <c r="G1393" s="17">
        <f t="shared" si="77"/>
        <v>283.07692307692309</v>
      </c>
      <c r="H1393" s="27" t="str">
        <f t="shared" si="78"/>
        <v>POSITIVO</v>
      </c>
      <c r="J1393" s="17">
        <f t="shared" si="79"/>
        <v>262.85714285714289</v>
      </c>
    </row>
    <row r="1394" spans="2:10">
      <c r="B1394" t="s">
        <v>535</v>
      </c>
      <c r="C1394" s="24" t="s">
        <v>46</v>
      </c>
      <c r="D1394" s="25">
        <v>283</v>
      </c>
      <c r="E1394" s="26">
        <v>440</v>
      </c>
      <c r="G1394" s="17">
        <f t="shared" si="77"/>
        <v>435.38461538461536</v>
      </c>
      <c r="H1394" s="27" t="str">
        <f t="shared" si="78"/>
        <v>POSITIVO</v>
      </c>
      <c r="J1394" s="17">
        <f t="shared" si="79"/>
        <v>404.28571428571433</v>
      </c>
    </row>
    <row r="1395" spans="2:10">
      <c r="B1395" t="s">
        <v>947</v>
      </c>
      <c r="C1395" s="30" t="s">
        <v>46</v>
      </c>
      <c r="D1395" s="13">
        <v>319</v>
      </c>
      <c r="E1395" s="13">
        <v>495</v>
      </c>
      <c r="G1395" s="17">
        <f t="shared" si="77"/>
        <v>490.76923076923077</v>
      </c>
      <c r="H1395" s="27" t="str">
        <f t="shared" si="78"/>
        <v>POSITIVO</v>
      </c>
      <c r="J1395" s="17">
        <f t="shared" si="79"/>
        <v>455.71428571428572</v>
      </c>
    </row>
    <row r="1396" spans="2:10">
      <c r="B1396" t="s">
        <v>944</v>
      </c>
      <c r="C1396" s="24" t="s">
        <v>46</v>
      </c>
      <c r="D1396" s="25">
        <v>480</v>
      </c>
      <c r="E1396" s="26">
        <v>740</v>
      </c>
      <c r="G1396" s="17">
        <f t="shared" si="77"/>
        <v>738.46153846153845</v>
      </c>
      <c r="H1396" s="27" t="str">
        <f t="shared" si="78"/>
        <v>POSITIVO</v>
      </c>
      <c r="J1396" s="17">
        <f t="shared" si="79"/>
        <v>685.71428571428578</v>
      </c>
    </row>
    <row r="1397" spans="2:10">
      <c r="B1397" t="s">
        <v>536</v>
      </c>
      <c r="C1397" s="24" t="s">
        <v>46</v>
      </c>
      <c r="D1397" s="25">
        <v>115</v>
      </c>
      <c r="E1397" s="25">
        <v>178</v>
      </c>
      <c r="G1397" s="17">
        <f t="shared" si="77"/>
        <v>176.92307692307691</v>
      </c>
      <c r="H1397" s="27" t="str">
        <f t="shared" si="78"/>
        <v>POSITIVO</v>
      </c>
      <c r="J1397" s="17">
        <f t="shared" si="79"/>
        <v>164.28571428571431</v>
      </c>
    </row>
    <row r="1398" spans="2:10">
      <c r="B1398" t="s">
        <v>537</v>
      </c>
      <c r="C1398" s="24" t="s">
        <v>46</v>
      </c>
      <c r="D1398" s="25">
        <v>148</v>
      </c>
      <c r="E1398" s="25">
        <v>230</v>
      </c>
      <c r="G1398" s="17">
        <f t="shared" si="77"/>
        <v>227.69230769230768</v>
      </c>
      <c r="H1398" s="27" t="str">
        <f t="shared" si="78"/>
        <v>POSITIVO</v>
      </c>
      <c r="J1398" s="17">
        <f t="shared" si="79"/>
        <v>211.42857142857144</v>
      </c>
    </row>
    <row r="1399" spans="2:10">
      <c r="B1399" t="s">
        <v>945</v>
      </c>
      <c r="C1399" s="30" t="s">
        <v>46</v>
      </c>
      <c r="D1399" s="13">
        <v>208</v>
      </c>
      <c r="E1399" s="13">
        <v>320</v>
      </c>
      <c r="G1399" s="17">
        <f t="shared" si="77"/>
        <v>320</v>
      </c>
      <c r="H1399" s="27" t="str">
        <f t="shared" si="78"/>
        <v>POSITIVO</v>
      </c>
      <c r="J1399" s="17">
        <f t="shared" si="79"/>
        <v>297.14285714285717</v>
      </c>
    </row>
    <row r="1400" spans="2:10">
      <c r="B1400" t="s">
        <v>538</v>
      </c>
      <c r="C1400" s="24" t="s">
        <v>46</v>
      </c>
      <c r="D1400" s="25">
        <v>267</v>
      </c>
      <c r="E1400" s="26">
        <v>390</v>
      </c>
      <c r="G1400" s="17">
        <f t="shared" si="77"/>
        <v>410.76923076923077</v>
      </c>
      <c r="H1400" s="27" t="str">
        <f t="shared" si="78"/>
        <v>NEGATIVO</v>
      </c>
      <c r="J1400" s="17">
        <f t="shared" si="79"/>
        <v>381.42857142857144</v>
      </c>
    </row>
    <row r="1401" spans="2:10">
      <c r="B1401" t="s">
        <v>804</v>
      </c>
      <c r="C1401" s="24" t="s">
        <v>46</v>
      </c>
      <c r="D1401" s="25">
        <v>166.49</v>
      </c>
      <c r="E1401" s="26">
        <v>258</v>
      </c>
      <c r="G1401" s="17">
        <f t="shared" si="77"/>
        <v>256.13846153846157</v>
      </c>
      <c r="H1401" s="27" t="str">
        <f t="shared" si="78"/>
        <v>POSITIVO</v>
      </c>
      <c r="J1401" s="17">
        <f t="shared" si="79"/>
        <v>237.84285714285718</v>
      </c>
    </row>
    <row r="1402" spans="2:10">
      <c r="B1402" t="s">
        <v>805</v>
      </c>
      <c r="C1402" s="24" t="s">
        <v>27</v>
      </c>
      <c r="D1402" s="25">
        <v>2.8</v>
      </c>
      <c r="E1402" s="26">
        <v>4.5</v>
      </c>
      <c r="G1402" s="17">
        <f t="shared" si="77"/>
        <v>4.3076923076923075</v>
      </c>
      <c r="H1402" s="27" t="str">
        <f t="shared" si="78"/>
        <v>POSITIVO</v>
      </c>
      <c r="J1402" s="17">
        <f t="shared" si="79"/>
        <v>4</v>
      </c>
    </row>
    <row r="1403" spans="2:10">
      <c r="B1403" t="s">
        <v>1817</v>
      </c>
      <c r="C1403" s="24" t="s">
        <v>27</v>
      </c>
      <c r="D1403" s="25">
        <v>3.16</v>
      </c>
      <c r="E1403" s="26">
        <v>5</v>
      </c>
      <c r="G1403" s="17">
        <f t="shared" si="77"/>
        <v>4.861538461538462</v>
      </c>
      <c r="H1403" s="27" t="str">
        <f t="shared" si="78"/>
        <v>POSITIVO</v>
      </c>
      <c r="J1403" s="17">
        <f t="shared" si="79"/>
        <v>4.5142857142857151</v>
      </c>
    </row>
    <row r="1404" spans="2:10">
      <c r="B1404" t="s">
        <v>1727</v>
      </c>
      <c r="C1404" s="30" t="s">
        <v>27</v>
      </c>
      <c r="D1404" s="13">
        <v>2.2000000000000002</v>
      </c>
      <c r="E1404" s="13">
        <v>5</v>
      </c>
      <c r="G1404" s="17">
        <f t="shared" si="77"/>
        <v>3.3846153846153846</v>
      </c>
      <c r="H1404" s="27" t="str">
        <f t="shared" si="78"/>
        <v>POSITIVO</v>
      </c>
      <c r="J1404" s="17">
        <f t="shared" si="79"/>
        <v>3.1428571428571432</v>
      </c>
    </row>
    <row r="1405" spans="2:10">
      <c r="B1405" t="s">
        <v>539</v>
      </c>
      <c r="C1405" s="24" t="s">
        <v>27</v>
      </c>
      <c r="D1405" s="25">
        <v>2.33</v>
      </c>
      <c r="E1405" s="26">
        <v>5</v>
      </c>
      <c r="G1405" s="17">
        <f t="shared" si="77"/>
        <v>3.5846153846153848</v>
      </c>
      <c r="H1405" s="27" t="str">
        <f t="shared" si="78"/>
        <v>POSITIVO</v>
      </c>
      <c r="J1405" s="17">
        <f t="shared" si="79"/>
        <v>3.3285714285714287</v>
      </c>
    </row>
    <row r="1406" spans="2:10">
      <c r="B1406" t="s">
        <v>1192</v>
      </c>
      <c r="C1406" s="30" t="s">
        <v>27</v>
      </c>
      <c r="D1406" s="13">
        <v>59.11</v>
      </c>
      <c r="E1406" s="13">
        <v>92</v>
      </c>
      <c r="G1406" s="17">
        <f t="shared" si="77"/>
        <v>90.938461538461539</v>
      </c>
      <c r="H1406" s="27" t="str">
        <f t="shared" si="78"/>
        <v>POSITIVO</v>
      </c>
      <c r="J1406" s="17">
        <f t="shared" si="79"/>
        <v>84.44285714285715</v>
      </c>
    </row>
    <row r="1407" spans="2:10">
      <c r="B1407" t="s">
        <v>540</v>
      </c>
      <c r="C1407" s="24" t="s">
        <v>27</v>
      </c>
      <c r="D1407" s="25">
        <v>0.76</v>
      </c>
      <c r="E1407" s="26">
        <v>1.1499999999999999</v>
      </c>
      <c r="G1407" s="17">
        <f t="shared" si="77"/>
        <v>1.1692307692307693</v>
      </c>
      <c r="H1407" s="27" t="str">
        <f t="shared" si="78"/>
        <v>NEGATIVO</v>
      </c>
      <c r="J1407" s="17">
        <f t="shared" si="79"/>
        <v>1.0857142857142859</v>
      </c>
    </row>
    <row r="1408" spans="2:10">
      <c r="B1408" t="s">
        <v>541</v>
      </c>
      <c r="C1408" s="24" t="s">
        <v>27</v>
      </c>
      <c r="D1408" s="25">
        <v>0.6</v>
      </c>
      <c r="E1408" s="26">
        <v>1</v>
      </c>
      <c r="G1408" s="17">
        <f t="shared" si="77"/>
        <v>0.92307692307692302</v>
      </c>
      <c r="H1408" s="27" t="str">
        <f t="shared" si="78"/>
        <v>POSITIVO</v>
      </c>
      <c r="J1408" s="17">
        <f t="shared" si="79"/>
        <v>0.85714285714285721</v>
      </c>
    </row>
    <row r="1409" spans="1:10">
      <c r="B1409" t="s">
        <v>542</v>
      </c>
      <c r="C1409" s="24" t="s">
        <v>27</v>
      </c>
      <c r="D1409" s="25">
        <v>14.41</v>
      </c>
      <c r="E1409" s="26">
        <v>23</v>
      </c>
      <c r="G1409" s="17">
        <f t="shared" si="77"/>
        <v>22.169230769230769</v>
      </c>
      <c r="H1409" s="27" t="str">
        <f t="shared" si="78"/>
        <v>POSITIVO</v>
      </c>
      <c r="J1409" s="17">
        <f t="shared" si="79"/>
        <v>20.585714285714289</v>
      </c>
    </row>
    <row r="1410" spans="1:10">
      <c r="B1410" t="s">
        <v>543</v>
      </c>
      <c r="C1410" s="24" t="s">
        <v>27</v>
      </c>
      <c r="D1410" s="25">
        <v>10.1</v>
      </c>
      <c r="E1410" s="26">
        <v>16</v>
      </c>
      <c r="G1410" s="17">
        <f t="shared" si="77"/>
        <v>15.538461538461537</v>
      </c>
      <c r="H1410" s="27" t="str">
        <f t="shared" si="78"/>
        <v>POSITIVO</v>
      </c>
      <c r="J1410" s="17">
        <f t="shared" si="79"/>
        <v>14.428571428571429</v>
      </c>
    </row>
    <row r="1411" spans="1:10">
      <c r="B1411" t="s">
        <v>544</v>
      </c>
      <c r="C1411" s="24" t="s">
        <v>27</v>
      </c>
      <c r="D1411" s="25">
        <v>99.9</v>
      </c>
      <c r="E1411" s="26">
        <v>160</v>
      </c>
      <c r="G1411" s="17">
        <f t="shared" si="77"/>
        <v>153.69230769230771</v>
      </c>
      <c r="H1411" s="27" t="str">
        <f t="shared" si="78"/>
        <v>POSITIVO</v>
      </c>
      <c r="J1411" s="17">
        <f t="shared" si="79"/>
        <v>142.71428571428572</v>
      </c>
    </row>
    <row r="1412" spans="1:10">
      <c r="B1412" t="s">
        <v>545</v>
      </c>
      <c r="C1412" s="24" t="s">
        <v>27</v>
      </c>
      <c r="D1412" s="25">
        <v>99.9</v>
      </c>
      <c r="E1412" s="26">
        <v>155</v>
      </c>
      <c r="G1412" s="17">
        <f t="shared" si="77"/>
        <v>153.69230769230771</v>
      </c>
      <c r="H1412" s="27" t="str">
        <f t="shared" si="78"/>
        <v>POSITIVO</v>
      </c>
      <c r="J1412" s="17">
        <f t="shared" si="79"/>
        <v>142.71428571428572</v>
      </c>
    </row>
    <row r="1413" spans="1:10">
      <c r="A1413" s="61" t="s">
        <v>2546</v>
      </c>
      <c r="B1413" t="s">
        <v>1719</v>
      </c>
      <c r="C1413" s="30" t="s">
        <v>27</v>
      </c>
      <c r="D1413" s="13">
        <v>19.899999999999999</v>
      </c>
      <c r="E1413" s="13">
        <v>31</v>
      </c>
      <c r="G1413" s="17">
        <f t="shared" si="77"/>
        <v>30.615384615384613</v>
      </c>
      <c r="H1413" s="27" t="str">
        <f t="shared" si="78"/>
        <v>POSITIVO</v>
      </c>
      <c r="J1413" s="17">
        <f t="shared" si="79"/>
        <v>28.428571428571427</v>
      </c>
    </row>
    <row r="1414" spans="1:10">
      <c r="B1414" t="s">
        <v>1432</v>
      </c>
      <c r="C1414" s="30" t="s">
        <v>27</v>
      </c>
      <c r="D1414" s="13">
        <v>199.9</v>
      </c>
      <c r="E1414" s="13">
        <v>310</v>
      </c>
      <c r="G1414" s="17">
        <f t="shared" si="77"/>
        <v>307.53846153846155</v>
      </c>
      <c r="H1414" s="27" t="str">
        <f t="shared" si="78"/>
        <v>POSITIVO</v>
      </c>
      <c r="J1414" s="17">
        <f t="shared" si="79"/>
        <v>285.57142857142861</v>
      </c>
    </row>
    <row r="1415" spans="1:10">
      <c r="B1415" t="s">
        <v>546</v>
      </c>
      <c r="C1415" s="24" t="s">
        <v>27</v>
      </c>
      <c r="D1415" s="25">
        <v>94.9</v>
      </c>
      <c r="E1415" s="26">
        <v>148</v>
      </c>
      <c r="G1415" s="17">
        <f t="shared" si="77"/>
        <v>146</v>
      </c>
      <c r="H1415" s="27" t="str">
        <f t="shared" si="78"/>
        <v>POSITIVO</v>
      </c>
      <c r="J1415" s="17">
        <f t="shared" si="79"/>
        <v>135.57142857142858</v>
      </c>
    </row>
    <row r="1416" spans="1:10">
      <c r="B1416" t="s">
        <v>1622</v>
      </c>
      <c r="C1416" s="24" t="s">
        <v>27</v>
      </c>
      <c r="D1416" s="13">
        <v>104.9</v>
      </c>
      <c r="E1416" s="13">
        <v>165</v>
      </c>
      <c r="G1416" s="17">
        <f t="shared" si="77"/>
        <v>161.38461538461539</v>
      </c>
      <c r="H1416" s="27" t="str">
        <f t="shared" si="78"/>
        <v>POSITIVO</v>
      </c>
      <c r="J1416" s="17">
        <f t="shared" si="79"/>
        <v>149.85714285714286</v>
      </c>
    </row>
    <row r="1417" spans="1:10">
      <c r="B1417" t="s">
        <v>547</v>
      </c>
      <c r="C1417" s="24" t="s">
        <v>46</v>
      </c>
      <c r="D1417" s="25">
        <v>63.99</v>
      </c>
      <c r="E1417" s="26">
        <v>100</v>
      </c>
      <c r="G1417" s="17">
        <f t="shared" si="77"/>
        <v>98.446153846153848</v>
      </c>
      <c r="H1417" s="27" t="str">
        <f t="shared" si="78"/>
        <v>POSITIVO</v>
      </c>
      <c r="J1417" s="17">
        <f t="shared" si="79"/>
        <v>91.414285714285725</v>
      </c>
    </row>
    <row r="1418" spans="1:10">
      <c r="B1418" t="s">
        <v>1539</v>
      </c>
      <c r="C1418" s="24" t="s">
        <v>46</v>
      </c>
      <c r="D1418" s="25">
        <v>167.11</v>
      </c>
      <c r="E1418" s="26">
        <v>260</v>
      </c>
      <c r="G1418" s="17">
        <f t="shared" si="77"/>
        <v>257.09230769230771</v>
      </c>
      <c r="H1418" s="27" t="str">
        <f t="shared" si="78"/>
        <v>POSITIVO</v>
      </c>
      <c r="J1418" s="17">
        <f t="shared" si="79"/>
        <v>238.72857142857146</v>
      </c>
    </row>
    <row r="1419" spans="1:10">
      <c r="B1419" t="s">
        <v>548</v>
      </c>
      <c r="C1419" s="24" t="s">
        <v>46</v>
      </c>
      <c r="D1419" s="25">
        <v>32.26</v>
      </c>
      <c r="E1419" s="26">
        <v>50</v>
      </c>
      <c r="G1419" s="17">
        <f t="shared" ref="G1419:G1476" si="80">(D1419/65%)</f>
        <v>49.630769230769225</v>
      </c>
      <c r="H1419" s="27" t="str">
        <f t="shared" ref="H1419:H1476" si="81">IF(E1419&gt;=G1419,"POSITIVO","NEGATIVO")</f>
        <v>POSITIVO</v>
      </c>
      <c r="J1419" s="17">
        <f t="shared" ref="J1419:J1476" si="82">D1419/70%</f>
        <v>46.085714285714289</v>
      </c>
    </row>
    <row r="1420" spans="1:10">
      <c r="B1420" t="s">
        <v>549</v>
      </c>
      <c r="C1420" s="24" t="s">
        <v>46</v>
      </c>
      <c r="D1420" s="25">
        <v>47.9</v>
      </c>
      <c r="E1420" s="26">
        <v>74</v>
      </c>
      <c r="G1420" s="17">
        <f t="shared" si="80"/>
        <v>73.692307692307693</v>
      </c>
      <c r="H1420" s="27" t="str">
        <f t="shared" si="81"/>
        <v>POSITIVO</v>
      </c>
      <c r="J1420" s="17">
        <f t="shared" si="82"/>
        <v>68.428571428571431</v>
      </c>
    </row>
    <row r="1421" spans="1:10">
      <c r="B1421" t="s">
        <v>550</v>
      </c>
      <c r="C1421" s="24" t="s">
        <v>46</v>
      </c>
      <c r="D1421" s="25">
        <v>70.25</v>
      </c>
      <c r="E1421" s="26">
        <v>110</v>
      </c>
      <c r="G1421" s="17">
        <f t="shared" si="80"/>
        <v>108.07692307692308</v>
      </c>
      <c r="H1421" s="27" t="str">
        <f t="shared" si="81"/>
        <v>POSITIVO</v>
      </c>
      <c r="J1421" s="17">
        <f t="shared" si="82"/>
        <v>100.35714285714286</v>
      </c>
    </row>
    <row r="1422" spans="1:10">
      <c r="B1422" t="s">
        <v>551</v>
      </c>
      <c r="C1422" s="24" t="s">
        <v>46</v>
      </c>
      <c r="D1422" s="25">
        <v>17.5</v>
      </c>
      <c r="E1422" s="26">
        <v>27</v>
      </c>
      <c r="G1422" s="17">
        <f t="shared" si="80"/>
        <v>26.923076923076923</v>
      </c>
      <c r="H1422" s="27" t="str">
        <f t="shared" si="81"/>
        <v>POSITIVO</v>
      </c>
      <c r="J1422" s="17">
        <f t="shared" si="82"/>
        <v>25</v>
      </c>
    </row>
    <row r="1423" spans="1:10">
      <c r="B1423" t="s">
        <v>552</v>
      </c>
      <c r="C1423" s="24" t="s">
        <v>46</v>
      </c>
      <c r="D1423" s="25">
        <v>15.96</v>
      </c>
      <c r="E1423" s="25">
        <v>28</v>
      </c>
      <c r="G1423" s="17">
        <f t="shared" si="80"/>
        <v>24.553846153846155</v>
      </c>
      <c r="H1423" s="27" t="str">
        <f t="shared" si="81"/>
        <v>POSITIVO</v>
      </c>
      <c r="J1423" s="17">
        <f t="shared" si="82"/>
        <v>22.800000000000004</v>
      </c>
    </row>
    <row r="1424" spans="1:10">
      <c r="B1424" t="s">
        <v>553</v>
      </c>
      <c r="C1424" s="24" t="s">
        <v>46</v>
      </c>
      <c r="D1424" s="25">
        <v>44.9</v>
      </c>
      <c r="E1424" s="26">
        <v>70</v>
      </c>
      <c r="G1424" s="17">
        <f t="shared" si="80"/>
        <v>69.076923076923066</v>
      </c>
      <c r="H1424" s="27" t="str">
        <f t="shared" si="81"/>
        <v>POSITIVO</v>
      </c>
      <c r="J1424" s="17">
        <f t="shared" si="82"/>
        <v>64.142857142857139</v>
      </c>
    </row>
    <row r="1425" spans="2:10">
      <c r="B1425" t="s">
        <v>554</v>
      </c>
      <c r="C1425" s="24" t="s">
        <v>46</v>
      </c>
      <c r="D1425" s="25">
        <v>71.989999999999995</v>
      </c>
      <c r="E1425" s="26">
        <v>103</v>
      </c>
      <c r="G1425" s="17">
        <f t="shared" si="80"/>
        <v>110.75384615384614</v>
      </c>
      <c r="H1425" s="27" t="str">
        <f t="shared" si="81"/>
        <v>NEGATIVO</v>
      </c>
      <c r="J1425" s="17">
        <f t="shared" si="82"/>
        <v>102.84285714285714</v>
      </c>
    </row>
    <row r="1426" spans="2:10">
      <c r="B1426" t="s">
        <v>555</v>
      </c>
      <c r="C1426" s="24" t="s">
        <v>46</v>
      </c>
      <c r="D1426" s="25">
        <v>73.900000000000006</v>
      </c>
      <c r="E1426" s="26">
        <v>115</v>
      </c>
      <c r="G1426" s="17">
        <f t="shared" si="80"/>
        <v>113.69230769230769</v>
      </c>
      <c r="H1426" s="27" t="str">
        <f t="shared" si="81"/>
        <v>POSITIVO</v>
      </c>
      <c r="J1426" s="17">
        <f t="shared" si="82"/>
        <v>105.57142857142858</v>
      </c>
    </row>
    <row r="1427" spans="2:10">
      <c r="B1427" t="s">
        <v>556</v>
      </c>
      <c r="C1427" s="24" t="s">
        <v>46</v>
      </c>
      <c r="D1427" s="25">
        <v>141.9</v>
      </c>
      <c r="E1427" s="26">
        <v>219</v>
      </c>
      <c r="G1427" s="17">
        <f t="shared" si="80"/>
        <v>218.30769230769232</v>
      </c>
      <c r="H1427" s="27" t="str">
        <f t="shared" si="81"/>
        <v>POSITIVO</v>
      </c>
      <c r="J1427" s="17">
        <f t="shared" si="82"/>
        <v>202.71428571428572</v>
      </c>
    </row>
    <row r="1428" spans="2:10">
      <c r="B1428" t="s">
        <v>1433</v>
      </c>
      <c r="C1428" s="30" t="s">
        <v>27</v>
      </c>
      <c r="D1428" s="13">
        <v>79.900000000000006</v>
      </c>
      <c r="E1428" s="13">
        <v>125</v>
      </c>
      <c r="G1428" s="17">
        <f t="shared" si="80"/>
        <v>122.92307692307693</v>
      </c>
      <c r="H1428" s="27" t="str">
        <f t="shared" si="81"/>
        <v>POSITIVO</v>
      </c>
      <c r="J1428" s="17">
        <f t="shared" si="82"/>
        <v>114.14285714285715</v>
      </c>
    </row>
    <row r="1429" spans="2:10">
      <c r="B1429" t="s">
        <v>1138</v>
      </c>
      <c r="C1429" s="24" t="s">
        <v>27</v>
      </c>
      <c r="D1429" s="25">
        <v>24.99</v>
      </c>
      <c r="E1429" s="26">
        <v>39.9</v>
      </c>
      <c r="G1429" s="17">
        <f t="shared" si="80"/>
        <v>38.446153846153841</v>
      </c>
      <c r="H1429" s="27" t="str">
        <f t="shared" si="81"/>
        <v>POSITIVO</v>
      </c>
      <c r="J1429" s="17">
        <f t="shared" si="82"/>
        <v>35.700000000000003</v>
      </c>
    </row>
    <row r="1430" spans="2:10">
      <c r="B1430" t="s">
        <v>1943</v>
      </c>
      <c r="C1430" s="30" t="s">
        <v>27</v>
      </c>
      <c r="D1430" s="13">
        <v>8.5</v>
      </c>
      <c r="E1430" s="13">
        <v>15</v>
      </c>
      <c r="G1430" s="17">
        <f t="shared" si="80"/>
        <v>13.076923076923077</v>
      </c>
      <c r="H1430" s="27" t="str">
        <f t="shared" si="81"/>
        <v>POSITIVO</v>
      </c>
      <c r="J1430" s="17">
        <f t="shared" si="82"/>
        <v>12.142857142857144</v>
      </c>
    </row>
    <row r="1431" spans="2:10">
      <c r="B1431" t="s">
        <v>557</v>
      </c>
      <c r="C1431" s="24" t="s">
        <v>27</v>
      </c>
      <c r="D1431" s="25">
        <v>0.18</v>
      </c>
      <c r="E1431" s="26">
        <v>0.3</v>
      </c>
      <c r="G1431" s="17">
        <f t="shared" si="80"/>
        <v>0.27692307692307688</v>
      </c>
      <c r="H1431" s="27" t="str">
        <f t="shared" si="81"/>
        <v>POSITIVO</v>
      </c>
      <c r="J1431" s="17">
        <f t="shared" si="82"/>
        <v>0.25714285714285717</v>
      </c>
    </row>
    <row r="1432" spans="2:10">
      <c r="B1432" t="s">
        <v>1757</v>
      </c>
      <c r="C1432" s="30" t="s">
        <v>27</v>
      </c>
      <c r="D1432" s="13">
        <v>2.02</v>
      </c>
      <c r="E1432" s="13">
        <v>3.5</v>
      </c>
      <c r="G1432" s="17">
        <f t="shared" si="80"/>
        <v>3.1076923076923078</v>
      </c>
      <c r="H1432" s="27" t="str">
        <f t="shared" si="81"/>
        <v>POSITIVO</v>
      </c>
      <c r="J1432" s="17">
        <f t="shared" si="82"/>
        <v>2.8857142857142861</v>
      </c>
    </row>
    <row r="1433" spans="2:10">
      <c r="B1433" t="s">
        <v>558</v>
      </c>
      <c r="C1433" s="24" t="s">
        <v>27</v>
      </c>
      <c r="D1433" s="25">
        <v>0.23</v>
      </c>
      <c r="E1433" s="26">
        <v>0.4</v>
      </c>
      <c r="G1433" s="17">
        <f t="shared" si="80"/>
        <v>0.35384615384615387</v>
      </c>
      <c r="H1433" s="27" t="str">
        <f t="shared" si="81"/>
        <v>POSITIVO</v>
      </c>
      <c r="J1433" s="17">
        <f t="shared" si="82"/>
        <v>0.32857142857142863</v>
      </c>
    </row>
    <row r="1434" spans="2:10">
      <c r="B1434" t="s">
        <v>1571</v>
      </c>
      <c r="C1434" s="30" t="s">
        <v>27</v>
      </c>
      <c r="D1434" s="13">
        <v>0.36</v>
      </c>
      <c r="E1434" s="13">
        <v>0.65</v>
      </c>
      <c r="G1434" s="17">
        <f t="shared" si="80"/>
        <v>0.55384615384615377</v>
      </c>
      <c r="H1434" s="27" t="str">
        <f t="shared" si="81"/>
        <v>POSITIVO</v>
      </c>
      <c r="J1434" s="17">
        <f t="shared" si="82"/>
        <v>0.51428571428571435</v>
      </c>
    </row>
    <row r="1435" spans="2:10">
      <c r="B1435" t="s">
        <v>559</v>
      </c>
      <c r="C1435" s="24" t="s">
        <v>27</v>
      </c>
      <c r="D1435" s="25">
        <v>0.15</v>
      </c>
      <c r="E1435" s="26">
        <v>0.25</v>
      </c>
      <c r="G1435" s="17">
        <f t="shared" si="80"/>
        <v>0.23076923076923075</v>
      </c>
      <c r="H1435" s="27" t="str">
        <f t="shared" si="81"/>
        <v>POSITIVO</v>
      </c>
      <c r="J1435" s="17">
        <f t="shared" si="82"/>
        <v>0.2142857142857143</v>
      </c>
    </row>
    <row r="1436" spans="2:10">
      <c r="B1436" t="s">
        <v>1570</v>
      </c>
      <c r="C1436" s="30" t="s">
        <v>27</v>
      </c>
      <c r="D1436" s="13">
        <v>0.56000000000000005</v>
      </c>
      <c r="E1436" s="13">
        <v>0.9</v>
      </c>
      <c r="G1436" s="17">
        <f t="shared" si="80"/>
        <v>0.86153846153846159</v>
      </c>
      <c r="H1436" s="27" t="str">
        <f t="shared" si="81"/>
        <v>POSITIVO</v>
      </c>
      <c r="J1436" s="17">
        <f t="shared" si="82"/>
        <v>0.80000000000000016</v>
      </c>
    </row>
    <row r="1437" spans="2:10">
      <c r="B1437" t="s">
        <v>1335</v>
      </c>
      <c r="C1437" s="30" t="s">
        <v>27</v>
      </c>
      <c r="D1437" s="13">
        <v>1601.62</v>
      </c>
      <c r="E1437" s="13">
        <v>2390</v>
      </c>
      <c r="G1437" s="17">
        <f t="shared" si="80"/>
        <v>2464.0307692307688</v>
      </c>
      <c r="H1437" s="27" t="str">
        <f t="shared" si="81"/>
        <v>NEGATIVO</v>
      </c>
      <c r="J1437" s="17">
        <f t="shared" si="82"/>
        <v>2288.0285714285715</v>
      </c>
    </row>
    <row r="1438" spans="2:10">
      <c r="B1438" t="s">
        <v>560</v>
      </c>
      <c r="C1438" s="24" t="s">
        <v>27</v>
      </c>
      <c r="D1438" s="25">
        <v>4.9000000000000004</v>
      </c>
      <c r="E1438" s="26">
        <v>10.5</v>
      </c>
      <c r="G1438" s="17">
        <f t="shared" si="80"/>
        <v>7.5384615384615383</v>
      </c>
      <c r="H1438" s="27" t="str">
        <f t="shared" si="81"/>
        <v>POSITIVO</v>
      </c>
      <c r="J1438" s="17">
        <f t="shared" si="82"/>
        <v>7.0000000000000009</v>
      </c>
    </row>
    <row r="1439" spans="2:10">
      <c r="B1439" t="s">
        <v>1770</v>
      </c>
      <c r="C1439" s="30" t="s">
        <v>27</v>
      </c>
      <c r="D1439" s="13">
        <v>113.56</v>
      </c>
      <c r="E1439" s="13">
        <v>180</v>
      </c>
      <c r="G1439" s="17">
        <f t="shared" si="80"/>
        <v>174.7076923076923</v>
      </c>
      <c r="H1439" s="27" t="str">
        <f t="shared" si="81"/>
        <v>POSITIVO</v>
      </c>
      <c r="J1439" s="17">
        <f t="shared" si="82"/>
        <v>162.22857142857146</v>
      </c>
    </row>
    <row r="1440" spans="2:10">
      <c r="B1440" t="s">
        <v>561</v>
      </c>
      <c r="C1440" s="24" t="s">
        <v>27</v>
      </c>
      <c r="D1440" s="25">
        <v>37.590000000000003</v>
      </c>
      <c r="E1440" s="26">
        <v>54.9</v>
      </c>
      <c r="G1440" s="17">
        <f t="shared" si="80"/>
        <v>57.830769230769235</v>
      </c>
      <c r="H1440" s="27" t="str">
        <f t="shared" si="81"/>
        <v>NEGATIVO</v>
      </c>
      <c r="J1440" s="17">
        <f t="shared" si="82"/>
        <v>53.70000000000001</v>
      </c>
    </row>
    <row r="1441" spans="1:10">
      <c r="B1441" t="s">
        <v>918</v>
      </c>
      <c r="C1441" s="30" t="s">
        <v>27</v>
      </c>
      <c r="D1441" s="13">
        <v>27.93</v>
      </c>
      <c r="E1441" s="13">
        <v>44.9</v>
      </c>
      <c r="G1441" s="17">
        <f t="shared" si="80"/>
        <v>42.969230769230769</v>
      </c>
      <c r="H1441" s="27" t="str">
        <f t="shared" si="81"/>
        <v>POSITIVO</v>
      </c>
      <c r="J1441" s="17">
        <f t="shared" si="82"/>
        <v>39.9</v>
      </c>
    </row>
    <row r="1442" spans="1:10">
      <c r="B1442" t="s">
        <v>562</v>
      </c>
      <c r="C1442" s="24" t="s">
        <v>27</v>
      </c>
      <c r="D1442" s="25">
        <v>20.37</v>
      </c>
      <c r="E1442" s="26">
        <v>27.8</v>
      </c>
      <c r="G1442" s="17">
        <f t="shared" si="80"/>
        <v>31.338461538461537</v>
      </c>
      <c r="H1442" s="27" t="str">
        <f t="shared" si="81"/>
        <v>NEGATIVO</v>
      </c>
      <c r="J1442" s="17">
        <f t="shared" si="82"/>
        <v>29.100000000000005</v>
      </c>
    </row>
    <row r="1443" spans="1:10">
      <c r="B1443" t="s">
        <v>563</v>
      </c>
      <c r="C1443" s="24" t="s">
        <v>27</v>
      </c>
      <c r="D1443" s="25">
        <v>24.93</v>
      </c>
      <c r="E1443" s="26">
        <v>33.5</v>
      </c>
      <c r="G1443" s="17">
        <f t="shared" si="80"/>
        <v>38.353846153846149</v>
      </c>
      <c r="H1443" s="27" t="str">
        <f t="shared" si="81"/>
        <v>NEGATIVO</v>
      </c>
      <c r="J1443" s="17">
        <f t="shared" si="82"/>
        <v>35.614285714285714</v>
      </c>
    </row>
    <row r="1444" spans="1:10">
      <c r="B1444" t="s">
        <v>564</v>
      </c>
      <c r="C1444" s="24" t="s">
        <v>27</v>
      </c>
      <c r="D1444" s="25">
        <v>32.25</v>
      </c>
      <c r="E1444" s="26">
        <v>43.5</v>
      </c>
      <c r="G1444" s="17">
        <f t="shared" si="80"/>
        <v>49.615384615384613</v>
      </c>
      <c r="H1444" s="27" t="str">
        <f t="shared" si="81"/>
        <v>NEGATIVO</v>
      </c>
      <c r="J1444" s="17">
        <f t="shared" si="82"/>
        <v>46.071428571428577</v>
      </c>
    </row>
    <row r="1445" spans="1:10">
      <c r="B1445" t="s">
        <v>565</v>
      </c>
      <c r="C1445" s="24" t="s">
        <v>27</v>
      </c>
      <c r="D1445" s="25">
        <v>11.3</v>
      </c>
      <c r="E1445" s="26">
        <v>19</v>
      </c>
      <c r="G1445" s="17">
        <f t="shared" si="80"/>
        <v>17.384615384615387</v>
      </c>
      <c r="H1445" s="27" t="str">
        <f t="shared" si="81"/>
        <v>POSITIVO</v>
      </c>
      <c r="J1445" s="17">
        <f t="shared" si="82"/>
        <v>16.142857142857146</v>
      </c>
    </row>
    <row r="1446" spans="1:10">
      <c r="B1446" t="s">
        <v>1769</v>
      </c>
      <c r="C1446" s="30" t="s">
        <v>27</v>
      </c>
      <c r="D1446" s="13">
        <v>145.61000000000001</v>
      </c>
      <c r="E1446" s="13">
        <v>225</v>
      </c>
      <c r="G1446" s="17">
        <f t="shared" si="80"/>
        <v>224.01538461538462</v>
      </c>
      <c r="H1446" s="27" t="str">
        <f t="shared" si="81"/>
        <v>POSITIVO</v>
      </c>
      <c r="J1446" s="17">
        <f t="shared" si="82"/>
        <v>208.01428571428573</v>
      </c>
    </row>
    <row r="1447" spans="1:10">
      <c r="B1447" t="s">
        <v>1771</v>
      </c>
      <c r="C1447" s="30" t="s">
        <v>27</v>
      </c>
      <c r="D1447" s="13">
        <v>252</v>
      </c>
      <c r="E1447" s="13">
        <v>420</v>
      </c>
      <c r="G1447" s="17">
        <f t="shared" si="80"/>
        <v>387.69230769230768</v>
      </c>
      <c r="H1447" s="27" t="str">
        <f t="shared" si="81"/>
        <v>POSITIVO</v>
      </c>
      <c r="J1447" s="17">
        <f t="shared" si="82"/>
        <v>360</v>
      </c>
    </row>
    <row r="1448" spans="1:10">
      <c r="B1448" t="s">
        <v>1768</v>
      </c>
      <c r="C1448" s="24" t="s">
        <v>27</v>
      </c>
      <c r="D1448" s="25">
        <v>154.5</v>
      </c>
      <c r="E1448" s="26">
        <v>265</v>
      </c>
      <c r="G1448" s="17">
        <f t="shared" si="80"/>
        <v>237.69230769230768</v>
      </c>
      <c r="H1448" s="27" t="str">
        <f t="shared" si="81"/>
        <v>POSITIVO</v>
      </c>
      <c r="J1448" s="17">
        <f t="shared" si="82"/>
        <v>220.71428571428572</v>
      </c>
    </row>
    <row r="1449" spans="1:10">
      <c r="B1449" t="s">
        <v>1722</v>
      </c>
      <c r="C1449" s="30" t="s">
        <v>27</v>
      </c>
      <c r="D1449" s="13">
        <v>75</v>
      </c>
      <c r="E1449" s="13">
        <v>118</v>
      </c>
      <c r="G1449" s="17">
        <f t="shared" si="80"/>
        <v>115.38461538461539</v>
      </c>
      <c r="H1449" s="27" t="str">
        <f t="shared" si="81"/>
        <v>POSITIVO</v>
      </c>
      <c r="J1449" s="17">
        <f t="shared" si="82"/>
        <v>107.14285714285715</v>
      </c>
    </row>
    <row r="1450" spans="1:10">
      <c r="A1450" s="61" t="s">
        <v>2032</v>
      </c>
      <c r="B1450" t="s">
        <v>2031</v>
      </c>
      <c r="C1450" s="30" t="s">
        <v>27</v>
      </c>
      <c r="D1450" s="13">
        <v>1.75</v>
      </c>
      <c r="E1450" s="13">
        <v>5.5</v>
      </c>
      <c r="G1450" s="17">
        <f t="shared" si="80"/>
        <v>2.6923076923076921</v>
      </c>
      <c r="H1450" s="27" t="str">
        <f t="shared" si="81"/>
        <v>POSITIVO</v>
      </c>
      <c r="J1450" s="17">
        <f t="shared" si="82"/>
        <v>2.5</v>
      </c>
    </row>
    <row r="1451" spans="1:10">
      <c r="B1451" t="s">
        <v>566</v>
      </c>
      <c r="C1451" s="24" t="s">
        <v>27</v>
      </c>
      <c r="D1451" s="25">
        <v>36.99</v>
      </c>
      <c r="E1451" s="26">
        <v>57</v>
      </c>
      <c r="G1451" s="17">
        <f t="shared" si="80"/>
        <v>56.907692307692308</v>
      </c>
      <c r="H1451" s="27" t="str">
        <f t="shared" si="81"/>
        <v>POSITIVO</v>
      </c>
      <c r="J1451" s="17">
        <f t="shared" si="82"/>
        <v>52.842857142857149</v>
      </c>
    </row>
    <row r="1452" spans="1:10">
      <c r="B1452" t="s">
        <v>567</v>
      </c>
      <c r="C1452" s="24" t="s">
        <v>27</v>
      </c>
      <c r="D1452" s="25">
        <v>12.86</v>
      </c>
      <c r="E1452" s="25">
        <v>20</v>
      </c>
      <c r="G1452" s="17">
        <f t="shared" si="80"/>
        <v>19.784615384615382</v>
      </c>
      <c r="H1452" s="27" t="str">
        <f t="shared" si="81"/>
        <v>POSITIVO</v>
      </c>
      <c r="J1452" s="17">
        <f t="shared" si="82"/>
        <v>18.37142857142857</v>
      </c>
    </row>
    <row r="1453" spans="1:10">
      <c r="B1453" t="s">
        <v>1644</v>
      </c>
      <c r="C1453" s="30" t="s">
        <v>27</v>
      </c>
      <c r="D1453" s="13">
        <v>11.17</v>
      </c>
      <c r="E1453" s="13">
        <v>18</v>
      </c>
      <c r="G1453" s="17">
        <f t="shared" si="80"/>
        <v>17.184615384615384</v>
      </c>
      <c r="H1453" s="27" t="str">
        <f t="shared" si="81"/>
        <v>POSITIVO</v>
      </c>
      <c r="J1453" s="17">
        <f t="shared" si="82"/>
        <v>15.957142857142857</v>
      </c>
    </row>
    <row r="1454" spans="1:10">
      <c r="B1454" t="s">
        <v>568</v>
      </c>
      <c r="C1454" s="24" t="s">
        <v>27</v>
      </c>
      <c r="D1454" s="25">
        <v>24.28</v>
      </c>
      <c r="E1454" s="26">
        <v>32</v>
      </c>
      <c r="G1454" s="17">
        <f t="shared" si="80"/>
        <v>37.353846153846156</v>
      </c>
      <c r="H1454" s="27" t="str">
        <f t="shared" si="81"/>
        <v>NEGATIVO</v>
      </c>
      <c r="J1454" s="17">
        <f t="shared" si="82"/>
        <v>34.68571428571429</v>
      </c>
    </row>
    <row r="1455" spans="1:10">
      <c r="B1455" t="s">
        <v>569</v>
      </c>
      <c r="C1455" s="24" t="s">
        <v>27</v>
      </c>
      <c r="D1455" s="25">
        <v>22.5</v>
      </c>
      <c r="E1455" s="26">
        <v>35</v>
      </c>
      <c r="G1455" s="17">
        <f t="shared" si="80"/>
        <v>34.615384615384613</v>
      </c>
      <c r="H1455" s="27" t="str">
        <f t="shared" si="81"/>
        <v>POSITIVO</v>
      </c>
      <c r="J1455" s="17">
        <f t="shared" si="82"/>
        <v>32.142857142857146</v>
      </c>
    </row>
    <row r="1456" spans="1:10">
      <c r="B1456" t="s">
        <v>570</v>
      </c>
      <c r="C1456" s="24" t="s">
        <v>27</v>
      </c>
      <c r="D1456" s="25">
        <v>14.27</v>
      </c>
      <c r="E1456" s="25">
        <v>22</v>
      </c>
      <c r="G1456" s="17">
        <f t="shared" si="80"/>
        <v>21.953846153846154</v>
      </c>
      <c r="H1456" s="27" t="str">
        <f t="shared" si="81"/>
        <v>POSITIVO</v>
      </c>
      <c r="J1456" s="17">
        <f t="shared" si="82"/>
        <v>20.385714285714286</v>
      </c>
    </row>
    <row r="1457" spans="2:10">
      <c r="B1457" t="s">
        <v>571</v>
      </c>
      <c r="C1457" s="24" t="s">
        <v>27</v>
      </c>
      <c r="D1457" s="25">
        <v>14.15</v>
      </c>
      <c r="E1457" s="25">
        <v>23</v>
      </c>
      <c r="G1457" s="17">
        <f t="shared" si="80"/>
        <v>21.76923076923077</v>
      </c>
      <c r="H1457" s="27" t="str">
        <f t="shared" si="81"/>
        <v>POSITIVO</v>
      </c>
      <c r="J1457" s="17">
        <f t="shared" si="82"/>
        <v>20.214285714285715</v>
      </c>
    </row>
    <row r="1458" spans="2:10">
      <c r="B1458" t="s">
        <v>572</v>
      </c>
      <c r="C1458" s="24" t="s">
        <v>27</v>
      </c>
      <c r="D1458" s="25">
        <v>13.77</v>
      </c>
      <c r="E1458" s="26">
        <v>22</v>
      </c>
      <c r="G1458" s="17">
        <f t="shared" si="80"/>
        <v>21.184615384615384</v>
      </c>
      <c r="H1458" s="27" t="str">
        <f t="shared" si="81"/>
        <v>POSITIVO</v>
      </c>
      <c r="J1458" s="17">
        <f t="shared" si="82"/>
        <v>19.671428571428571</v>
      </c>
    </row>
    <row r="1459" spans="2:10">
      <c r="B1459" t="s">
        <v>573</v>
      </c>
      <c r="C1459" s="24" t="s">
        <v>27</v>
      </c>
      <c r="D1459" s="25">
        <v>13.5</v>
      </c>
      <c r="E1459" s="25">
        <v>27</v>
      </c>
      <c r="G1459" s="17">
        <f t="shared" si="80"/>
        <v>20.76923076923077</v>
      </c>
      <c r="H1459" s="27" t="str">
        <f t="shared" si="81"/>
        <v>POSITIVO</v>
      </c>
      <c r="J1459" s="17">
        <f t="shared" si="82"/>
        <v>19.285714285714288</v>
      </c>
    </row>
    <row r="1460" spans="2:10">
      <c r="B1460" t="s">
        <v>574</v>
      </c>
      <c r="C1460" s="24" t="s">
        <v>27</v>
      </c>
      <c r="D1460" s="25">
        <v>19.5</v>
      </c>
      <c r="E1460" s="26">
        <v>30</v>
      </c>
      <c r="G1460" s="17">
        <f t="shared" si="80"/>
        <v>30</v>
      </c>
      <c r="H1460" s="27" t="str">
        <f t="shared" si="81"/>
        <v>POSITIVO</v>
      </c>
      <c r="J1460" s="17">
        <f t="shared" si="82"/>
        <v>27.857142857142858</v>
      </c>
    </row>
    <row r="1461" spans="2:10">
      <c r="B1461" t="s">
        <v>575</v>
      </c>
      <c r="C1461" s="24" t="s">
        <v>27</v>
      </c>
      <c r="D1461" s="25">
        <v>14.88</v>
      </c>
      <c r="E1461" s="26">
        <v>25</v>
      </c>
      <c r="G1461" s="17">
        <f t="shared" si="80"/>
        <v>22.892307692307693</v>
      </c>
      <c r="H1461" s="27" t="str">
        <f t="shared" si="81"/>
        <v>POSITIVO</v>
      </c>
      <c r="J1461" s="17">
        <f t="shared" si="82"/>
        <v>21.25714285714286</v>
      </c>
    </row>
    <row r="1462" spans="2:10">
      <c r="B1462" t="s">
        <v>1683</v>
      </c>
      <c r="C1462" s="30" t="s">
        <v>27</v>
      </c>
      <c r="D1462" s="13">
        <v>11</v>
      </c>
      <c r="E1462" s="13">
        <v>19</v>
      </c>
      <c r="G1462" s="17">
        <f t="shared" si="80"/>
        <v>16.923076923076923</v>
      </c>
      <c r="H1462" s="27" t="str">
        <f t="shared" si="81"/>
        <v>POSITIVO</v>
      </c>
      <c r="J1462" s="17">
        <f t="shared" si="82"/>
        <v>15.714285714285715</v>
      </c>
    </row>
    <row r="1463" spans="2:10">
      <c r="B1463" t="s">
        <v>576</v>
      </c>
      <c r="C1463" s="24" t="s">
        <v>27</v>
      </c>
      <c r="D1463" s="25">
        <v>19.71</v>
      </c>
      <c r="E1463" s="26">
        <v>31</v>
      </c>
      <c r="G1463" s="17">
        <f t="shared" si="80"/>
        <v>30.323076923076922</v>
      </c>
      <c r="H1463" s="27" t="str">
        <f t="shared" si="81"/>
        <v>POSITIVO</v>
      </c>
      <c r="J1463" s="17">
        <f t="shared" si="82"/>
        <v>28.157142857142862</v>
      </c>
    </row>
    <row r="1464" spans="2:10">
      <c r="B1464" t="s">
        <v>806</v>
      </c>
      <c r="C1464" s="24" t="s">
        <v>27</v>
      </c>
      <c r="D1464" s="25">
        <v>12.66</v>
      </c>
      <c r="E1464" s="26">
        <v>20</v>
      </c>
      <c r="G1464" s="17">
        <f t="shared" si="80"/>
        <v>19.476923076923075</v>
      </c>
      <c r="H1464" s="27" t="str">
        <f t="shared" si="81"/>
        <v>POSITIVO</v>
      </c>
      <c r="J1464" s="17">
        <f t="shared" si="82"/>
        <v>18.085714285714285</v>
      </c>
    </row>
    <row r="1465" spans="2:10">
      <c r="B1465" t="s">
        <v>18</v>
      </c>
      <c r="C1465" s="24" t="s">
        <v>27</v>
      </c>
      <c r="D1465" s="25">
        <v>9.2899999999999991</v>
      </c>
      <c r="E1465" s="26">
        <v>18</v>
      </c>
      <c r="G1465" s="17">
        <f t="shared" si="80"/>
        <v>14.292307692307691</v>
      </c>
      <c r="H1465" s="27" t="str">
        <f t="shared" si="81"/>
        <v>POSITIVO</v>
      </c>
      <c r="J1465" s="17">
        <f t="shared" si="82"/>
        <v>13.27142857142857</v>
      </c>
    </row>
    <row r="1466" spans="2:10">
      <c r="B1466" t="s">
        <v>577</v>
      </c>
      <c r="C1466" s="24" t="s">
        <v>27</v>
      </c>
      <c r="D1466" s="25">
        <v>13</v>
      </c>
      <c r="E1466" s="26">
        <v>21</v>
      </c>
      <c r="G1466" s="17">
        <f t="shared" si="80"/>
        <v>20</v>
      </c>
      <c r="H1466" s="27" t="str">
        <f t="shared" si="81"/>
        <v>POSITIVO</v>
      </c>
      <c r="J1466" s="17">
        <f t="shared" si="82"/>
        <v>18.571428571428573</v>
      </c>
    </row>
    <row r="1467" spans="2:10">
      <c r="B1467" t="s">
        <v>578</v>
      </c>
      <c r="C1467" s="24" t="s">
        <v>27</v>
      </c>
      <c r="D1467" s="25">
        <v>11.32</v>
      </c>
      <c r="E1467" s="26">
        <v>18</v>
      </c>
      <c r="G1467" s="17">
        <f t="shared" si="80"/>
        <v>17.415384615384614</v>
      </c>
      <c r="H1467" s="27" t="str">
        <f t="shared" si="81"/>
        <v>POSITIVO</v>
      </c>
      <c r="J1467" s="17">
        <f t="shared" si="82"/>
        <v>16.171428571428574</v>
      </c>
    </row>
    <row r="1468" spans="2:10">
      <c r="B1468" t="s">
        <v>1107</v>
      </c>
      <c r="C1468" s="30" t="s">
        <v>27</v>
      </c>
      <c r="D1468" s="13">
        <v>23.93</v>
      </c>
      <c r="E1468" s="13">
        <v>35</v>
      </c>
      <c r="G1468" s="17">
        <f t="shared" si="80"/>
        <v>36.815384615384616</v>
      </c>
      <c r="H1468" s="27" t="str">
        <f t="shared" si="81"/>
        <v>NEGATIVO</v>
      </c>
      <c r="J1468" s="17">
        <f t="shared" si="82"/>
        <v>34.18571428571429</v>
      </c>
    </row>
    <row r="1469" spans="2:10">
      <c r="B1469" t="s">
        <v>579</v>
      </c>
      <c r="C1469" s="24" t="s">
        <v>27</v>
      </c>
      <c r="D1469" s="25">
        <v>13.8</v>
      </c>
      <c r="E1469" s="26">
        <v>22</v>
      </c>
      <c r="G1469" s="17">
        <f t="shared" si="80"/>
        <v>21.23076923076923</v>
      </c>
      <c r="H1469" s="27" t="str">
        <f t="shared" si="81"/>
        <v>POSITIVO</v>
      </c>
      <c r="J1469" s="17">
        <f t="shared" si="82"/>
        <v>19.714285714285715</v>
      </c>
    </row>
    <row r="1470" spans="2:10">
      <c r="B1470" t="s">
        <v>580</v>
      </c>
      <c r="C1470" s="24" t="s">
        <v>27</v>
      </c>
      <c r="D1470" s="25">
        <v>15.69</v>
      </c>
      <c r="E1470" s="26">
        <v>25</v>
      </c>
      <c r="G1470" s="17">
        <f t="shared" si="80"/>
        <v>24.138461538461538</v>
      </c>
      <c r="H1470" s="27" t="str">
        <f t="shared" si="81"/>
        <v>POSITIVO</v>
      </c>
      <c r="J1470" s="17">
        <f t="shared" si="82"/>
        <v>22.414285714285715</v>
      </c>
    </row>
    <row r="1471" spans="2:10">
      <c r="B1471" t="s">
        <v>996</v>
      </c>
      <c r="C1471" s="24" t="s">
        <v>27</v>
      </c>
      <c r="D1471" s="25">
        <v>0.36</v>
      </c>
      <c r="E1471" s="25">
        <v>0.6</v>
      </c>
      <c r="G1471" s="17">
        <f t="shared" si="80"/>
        <v>0.55384615384615377</v>
      </c>
      <c r="H1471" s="27" t="str">
        <f t="shared" si="81"/>
        <v>POSITIVO</v>
      </c>
      <c r="J1471" s="17">
        <f t="shared" si="82"/>
        <v>0.51428571428571435</v>
      </c>
    </row>
    <row r="1472" spans="2:10">
      <c r="B1472" t="s">
        <v>581</v>
      </c>
      <c r="C1472" s="24" t="s">
        <v>27</v>
      </c>
      <c r="D1472" s="25">
        <v>35</v>
      </c>
      <c r="E1472" s="26">
        <v>50</v>
      </c>
      <c r="G1472" s="17">
        <f t="shared" si="80"/>
        <v>53.846153846153847</v>
      </c>
      <c r="H1472" s="27" t="str">
        <f t="shared" si="81"/>
        <v>NEGATIVO</v>
      </c>
      <c r="J1472" s="17">
        <f t="shared" si="82"/>
        <v>50</v>
      </c>
    </row>
    <row r="1473" spans="2:10">
      <c r="B1473" t="s">
        <v>582</v>
      </c>
      <c r="C1473" s="24" t="s">
        <v>27</v>
      </c>
      <c r="D1473" s="25">
        <v>28.5</v>
      </c>
      <c r="E1473" s="26">
        <v>44</v>
      </c>
      <c r="G1473" s="17">
        <f t="shared" si="80"/>
        <v>43.846153846153847</v>
      </c>
      <c r="H1473" s="27" t="str">
        <f t="shared" si="81"/>
        <v>POSITIVO</v>
      </c>
      <c r="J1473" s="17">
        <f t="shared" si="82"/>
        <v>40.714285714285715</v>
      </c>
    </row>
    <row r="1474" spans="2:10">
      <c r="B1474" t="s">
        <v>583</v>
      </c>
      <c r="C1474" s="24" t="s">
        <v>27</v>
      </c>
      <c r="D1474" s="25">
        <v>27.5</v>
      </c>
      <c r="E1474" s="26">
        <v>43</v>
      </c>
      <c r="G1474" s="17">
        <f t="shared" si="80"/>
        <v>42.307692307692307</v>
      </c>
      <c r="H1474" s="27" t="str">
        <f t="shared" si="81"/>
        <v>POSITIVO</v>
      </c>
      <c r="J1474" s="17">
        <f t="shared" si="82"/>
        <v>39.285714285714285</v>
      </c>
    </row>
    <row r="1475" spans="2:10">
      <c r="B1475" t="s">
        <v>584</v>
      </c>
      <c r="C1475" s="24" t="s">
        <v>27</v>
      </c>
      <c r="D1475" s="25">
        <v>25.5</v>
      </c>
      <c r="E1475" s="26">
        <v>40</v>
      </c>
      <c r="G1475" s="17">
        <f t="shared" si="80"/>
        <v>39.230769230769226</v>
      </c>
      <c r="H1475" s="27" t="str">
        <f t="shared" si="81"/>
        <v>POSITIVO</v>
      </c>
      <c r="J1475" s="17">
        <f t="shared" si="82"/>
        <v>36.428571428571431</v>
      </c>
    </row>
    <row r="1476" spans="2:10">
      <c r="B1476" t="s">
        <v>807</v>
      </c>
      <c r="C1476" s="24" t="s">
        <v>27</v>
      </c>
      <c r="D1476" s="25">
        <v>23.5</v>
      </c>
      <c r="E1476" s="26">
        <v>37</v>
      </c>
      <c r="G1476" s="17">
        <f t="shared" si="80"/>
        <v>36.153846153846153</v>
      </c>
      <c r="H1476" s="27" t="str">
        <f t="shared" si="81"/>
        <v>POSITIVO</v>
      </c>
      <c r="J1476" s="17">
        <f t="shared" si="82"/>
        <v>33.571428571428577</v>
      </c>
    </row>
    <row r="1477" spans="2:10">
      <c r="B1477" t="s">
        <v>585</v>
      </c>
      <c r="C1477" s="24" t="s">
        <v>27</v>
      </c>
      <c r="D1477" s="25">
        <v>75.260000000000005</v>
      </c>
      <c r="E1477" s="25">
        <v>116</v>
      </c>
      <c r="G1477" s="17">
        <f t="shared" ref="G1477:G1529" si="83">(D1477/65%)</f>
        <v>115.78461538461539</v>
      </c>
      <c r="H1477" s="27" t="str">
        <f t="shared" ref="H1477:H1529" si="84">IF(E1477&gt;=G1477,"POSITIVO","NEGATIVO")</f>
        <v>POSITIVO</v>
      </c>
      <c r="J1477" s="17">
        <f t="shared" ref="J1477:J1529" si="85">D1477/70%</f>
        <v>107.51428571428573</v>
      </c>
    </row>
    <row r="1478" spans="2:10">
      <c r="B1478" t="s">
        <v>586</v>
      </c>
      <c r="C1478" s="24" t="s">
        <v>27</v>
      </c>
      <c r="D1478" s="25">
        <v>27.41</v>
      </c>
      <c r="E1478" s="25">
        <v>43</v>
      </c>
      <c r="G1478" s="17">
        <f t="shared" si="83"/>
        <v>42.169230769230765</v>
      </c>
      <c r="H1478" s="27" t="str">
        <f t="shared" si="84"/>
        <v>POSITIVO</v>
      </c>
      <c r="J1478" s="17">
        <f t="shared" si="85"/>
        <v>39.157142857142858</v>
      </c>
    </row>
    <row r="1479" spans="2:10">
      <c r="B1479" t="s">
        <v>852</v>
      </c>
      <c r="C1479" s="24" t="s">
        <v>27</v>
      </c>
      <c r="D1479" s="25">
        <v>27</v>
      </c>
      <c r="E1479" s="26">
        <v>43</v>
      </c>
      <c r="G1479" s="17">
        <f t="shared" si="83"/>
        <v>41.53846153846154</v>
      </c>
      <c r="H1479" s="27" t="str">
        <f t="shared" si="84"/>
        <v>POSITIVO</v>
      </c>
      <c r="J1479" s="17">
        <f t="shared" si="85"/>
        <v>38.571428571428577</v>
      </c>
    </row>
    <row r="1480" spans="2:10">
      <c r="B1480" t="s">
        <v>934</v>
      </c>
      <c r="C1480" s="30" t="s">
        <v>27</v>
      </c>
      <c r="D1480" s="13">
        <v>28.9</v>
      </c>
      <c r="E1480" s="13">
        <v>45</v>
      </c>
      <c r="G1480" s="17">
        <f t="shared" si="83"/>
        <v>44.46153846153846</v>
      </c>
      <c r="H1480" s="27" t="str">
        <f t="shared" si="84"/>
        <v>POSITIVO</v>
      </c>
      <c r="J1480" s="17">
        <f t="shared" si="85"/>
        <v>41.285714285714285</v>
      </c>
    </row>
    <row r="1481" spans="2:10">
      <c r="B1481" t="s">
        <v>933</v>
      </c>
      <c r="C1481" s="30" t="s">
        <v>27</v>
      </c>
      <c r="D1481" s="13">
        <v>18.899999999999999</v>
      </c>
      <c r="E1481" s="13">
        <v>31</v>
      </c>
      <c r="G1481" s="17">
        <f t="shared" si="83"/>
        <v>29.076923076923073</v>
      </c>
      <c r="H1481" s="27" t="str">
        <f t="shared" si="84"/>
        <v>POSITIVO</v>
      </c>
      <c r="J1481" s="17">
        <f t="shared" si="85"/>
        <v>27</v>
      </c>
    </row>
    <row r="1482" spans="2:10">
      <c r="B1482" t="s">
        <v>587</v>
      </c>
      <c r="C1482" s="24" t="s">
        <v>27</v>
      </c>
      <c r="D1482" s="25">
        <v>27.5</v>
      </c>
      <c r="E1482" s="26">
        <v>43</v>
      </c>
      <c r="G1482" s="17">
        <f t="shared" si="83"/>
        <v>42.307692307692307</v>
      </c>
      <c r="H1482" s="27" t="str">
        <f t="shared" si="84"/>
        <v>POSITIVO</v>
      </c>
      <c r="J1482" s="17">
        <f t="shared" si="85"/>
        <v>39.285714285714285</v>
      </c>
    </row>
    <row r="1483" spans="2:10">
      <c r="B1483" t="s">
        <v>588</v>
      </c>
      <c r="C1483" s="24" t="s">
        <v>27</v>
      </c>
      <c r="D1483" s="25">
        <v>14.2</v>
      </c>
      <c r="E1483" s="26">
        <v>22</v>
      </c>
      <c r="G1483" s="17">
        <f t="shared" si="83"/>
        <v>21.846153846153843</v>
      </c>
      <c r="H1483" s="27" t="str">
        <f t="shared" si="84"/>
        <v>POSITIVO</v>
      </c>
      <c r="J1483" s="17">
        <f t="shared" si="85"/>
        <v>20.285714285714285</v>
      </c>
    </row>
    <row r="1484" spans="2:10">
      <c r="B1484" t="s">
        <v>1510</v>
      </c>
      <c r="C1484" s="30" t="s">
        <v>27</v>
      </c>
      <c r="D1484" s="13">
        <v>12</v>
      </c>
      <c r="E1484" s="13">
        <v>23</v>
      </c>
      <c r="G1484" s="17">
        <f t="shared" si="83"/>
        <v>18.46153846153846</v>
      </c>
      <c r="H1484" s="27" t="str">
        <f t="shared" si="84"/>
        <v>POSITIVO</v>
      </c>
      <c r="J1484" s="17">
        <f t="shared" si="85"/>
        <v>17.142857142857142</v>
      </c>
    </row>
    <row r="1485" spans="2:10">
      <c r="B1485" t="s">
        <v>589</v>
      </c>
      <c r="C1485" s="24" t="s">
        <v>27</v>
      </c>
      <c r="D1485" s="25">
        <v>15.8</v>
      </c>
      <c r="E1485" s="26">
        <v>25</v>
      </c>
      <c r="G1485" s="17">
        <f t="shared" si="83"/>
        <v>24.307692307692307</v>
      </c>
      <c r="H1485" s="27" t="str">
        <f t="shared" si="84"/>
        <v>POSITIVO</v>
      </c>
      <c r="J1485" s="17">
        <f t="shared" si="85"/>
        <v>22.571428571428573</v>
      </c>
    </row>
    <row r="1486" spans="2:10">
      <c r="B1486" t="s">
        <v>2320</v>
      </c>
      <c r="C1486" s="30" t="s">
        <v>46</v>
      </c>
      <c r="D1486" s="13">
        <v>30.3</v>
      </c>
      <c r="E1486" s="13">
        <v>47</v>
      </c>
      <c r="G1486" s="17">
        <f t="shared" si="83"/>
        <v>46.615384615384613</v>
      </c>
      <c r="H1486" s="27" t="str">
        <f t="shared" si="84"/>
        <v>POSITIVO</v>
      </c>
      <c r="J1486" s="17">
        <f t="shared" si="85"/>
        <v>43.285714285714292</v>
      </c>
    </row>
    <row r="1487" spans="2:10">
      <c r="B1487" t="s">
        <v>2316</v>
      </c>
      <c r="C1487" s="30" t="s">
        <v>46</v>
      </c>
      <c r="D1487" s="13">
        <v>28.8</v>
      </c>
      <c r="E1487" s="13">
        <v>45</v>
      </c>
      <c r="G1487" s="17">
        <f t="shared" si="83"/>
        <v>44.307692307692307</v>
      </c>
      <c r="H1487" s="27" t="str">
        <f t="shared" si="84"/>
        <v>POSITIVO</v>
      </c>
      <c r="J1487" s="17">
        <f t="shared" si="85"/>
        <v>41.142857142857146</v>
      </c>
    </row>
    <row r="1488" spans="2:10">
      <c r="B1488" t="s">
        <v>2318</v>
      </c>
      <c r="C1488" s="30" t="s">
        <v>46</v>
      </c>
      <c r="D1488" s="13">
        <v>28.8</v>
      </c>
      <c r="E1488" s="13">
        <v>45</v>
      </c>
      <c r="G1488" s="17">
        <f t="shared" si="83"/>
        <v>44.307692307692307</v>
      </c>
      <c r="H1488" s="27" t="str">
        <f t="shared" si="84"/>
        <v>POSITIVO</v>
      </c>
      <c r="J1488" s="17">
        <f t="shared" si="85"/>
        <v>41.142857142857146</v>
      </c>
    </row>
    <row r="1489" spans="2:10">
      <c r="B1489" t="s">
        <v>2323</v>
      </c>
      <c r="C1489" s="30" t="s">
        <v>46</v>
      </c>
      <c r="D1489" s="13">
        <v>32.72</v>
      </c>
      <c r="E1489" s="13">
        <v>52</v>
      </c>
      <c r="G1489" s="17">
        <f t="shared" si="83"/>
        <v>50.338461538461537</v>
      </c>
      <c r="H1489" s="27" t="str">
        <f t="shared" si="84"/>
        <v>POSITIVO</v>
      </c>
      <c r="J1489" s="17">
        <f t="shared" si="85"/>
        <v>46.742857142857147</v>
      </c>
    </row>
    <row r="1490" spans="2:10">
      <c r="B1490" t="s">
        <v>590</v>
      </c>
      <c r="C1490" s="24" t="s">
        <v>27</v>
      </c>
      <c r="D1490" s="25">
        <v>16.881</v>
      </c>
      <c r="E1490" s="26">
        <v>26</v>
      </c>
      <c r="G1490" s="17">
        <f t="shared" si="83"/>
        <v>25.970769230769232</v>
      </c>
      <c r="H1490" s="27" t="str">
        <f t="shared" si="84"/>
        <v>POSITIVO</v>
      </c>
      <c r="J1490" s="17">
        <f t="shared" si="85"/>
        <v>24.115714285714287</v>
      </c>
    </row>
    <row r="1491" spans="2:10">
      <c r="B1491" t="s">
        <v>591</v>
      </c>
      <c r="C1491" s="24" t="s">
        <v>27</v>
      </c>
      <c r="D1491" s="25">
        <v>22.6</v>
      </c>
      <c r="E1491" s="26">
        <v>35</v>
      </c>
      <c r="G1491" s="17">
        <f t="shared" si="83"/>
        <v>34.769230769230774</v>
      </c>
      <c r="H1491" s="27" t="str">
        <f t="shared" si="84"/>
        <v>POSITIVO</v>
      </c>
      <c r="J1491" s="17">
        <f t="shared" si="85"/>
        <v>32.285714285714292</v>
      </c>
    </row>
    <row r="1492" spans="2:10">
      <c r="B1492" t="s">
        <v>1233</v>
      </c>
      <c r="C1492" s="24" t="s">
        <v>27</v>
      </c>
      <c r="D1492" s="25">
        <v>1.04</v>
      </c>
      <c r="E1492" s="26">
        <v>5</v>
      </c>
      <c r="G1492" s="17">
        <f t="shared" si="83"/>
        <v>1.6</v>
      </c>
      <c r="H1492" s="27" t="str">
        <f t="shared" si="84"/>
        <v>POSITIVO</v>
      </c>
      <c r="J1492" s="17">
        <f t="shared" si="85"/>
        <v>1.4857142857142858</v>
      </c>
    </row>
    <row r="1493" spans="2:10">
      <c r="B1493" t="s">
        <v>1705</v>
      </c>
      <c r="C1493" s="30" t="s">
        <v>27</v>
      </c>
      <c r="D1493" s="13">
        <v>14.54</v>
      </c>
      <c r="E1493" s="13">
        <v>22.9</v>
      </c>
      <c r="G1493" s="17">
        <f t="shared" si="83"/>
        <v>22.369230769230768</v>
      </c>
      <c r="H1493" s="27" t="str">
        <f t="shared" si="84"/>
        <v>POSITIVO</v>
      </c>
      <c r="J1493" s="17">
        <f t="shared" si="85"/>
        <v>20.771428571428572</v>
      </c>
    </row>
    <row r="1494" spans="2:10">
      <c r="B1494" t="s">
        <v>1142</v>
      </c>
      <c r="C1494" s="24" t="s">
        <v>27</v>
      </c>
      <c r="D1494" s="25">
        <v>19.100000000000001</v>
      </c>
      <c r="E1494" s="26">
        <v>30</v>
      </c>
      <c r="G1494" s="17">
        <f t="shared" si="83"/>
        <v>29.384615384615387</v>
      </c>
      <c r="H1494" s="27" t="str">
        <f t="shared" si="84"/>
        <v>POSITIVO</v>
      </c>
      <c r="J1494" s="17">
        <f t="shared" si="85"/>
        <v>27.285714285714288</v>
      </c>
    </row>
    <row r="1495" spans="2:10">
      <c r="B1495" t="s">
        <v>1143</v>
      </c>
      <c r="C1495" s="24" t="s">
        <v>27</v>
      </c>
      <c r="D1495" s="25">
        <v>21.5</v>
      </c>
      <c r="E1495" s="26">
        <v>34</v>
      </c>
      <c r="G1495" s="17">
        <f t="shared" si="83"/>
        <v>33.076923076923073</v>
      </c>
      <c r="H1495" s="27" t="str">
        <f t="shared" si="84"/>
        <v>POSITIVO</v>
      </c>
      <c r="J1495" s="17">
        <f t="shared" si="85"/>
        <v>30.714285714285715</v>
      </c>
    </row>
    <row r="1496" spans="2:10">
      <c r="B1496" t="s">
        <v>1380</v>
      </c>
      <c r="C1496" s="30" t="s">
        <v>27</v>
      </c>
      <c r="D1496" s="13">
        <v>21.53</v>
      </c>
      <c r="E1496" s="13">
        <v>37.9</v>
      </c>
      <c r="G1496" s="17">
        <f t="shared" si="83"/>
        <v>33.123076923076923</v>
      </c>
      <c r="H1496" s="27" t="str">
        <f t="shared" si="84"/>
        <v>POSITIVO</v>
      </c>
      <c r="J1496" s="17">
        <f t="shared" si="85"/>
        <v>30.75714285714286</v>
      </c>
    </row>
    <row r="1497" spans="2:10">
      <c r="B1497" t="s">
        <v>808</v>
      </c>
      <c r="C1497" s="24" t="s">
        <v>27</v>
      </c>
      <c r="D1497" s="25">
        <v>13.5</v>
      </c>
      <c r="E1497" s="26">
        <v>21</v>
      </c>
      <c r="G1497" s="17">
        <f t="shared" si="83"/>
        <v>20.76923076923077</v>
      </c>
      <c r="H1497" s="27" t="str">
        <f t="shared" si="84"/>
        <v>POSITIVO</v>
      </c>
      <c r="J1497" s="17">
        <f t="shared" si="85"/>
        <v>19.285714285714288</v>
      </c>
    </row>
    <row r="1498" spans="2:10">
      <c r="B1498" t="s">
        <v>990</v>
      </c>
      <c r="C1498" s="24" t="s">
        <v>27</v>
      </c>
      <c r="D1498" s="25">
        <v>15.8</v>
      </c>
      <c r="E1498" s="26">
        <v>25.8</v>
      </c>
      <c r="G1498" s="17">
        <f t="shared" si="83"/>
        <v>24.307692307692307</v>
      </c>
      <c r="H1498" s="27" t="str">
        <f t="shared" si="84"/>
        <v>POSITIVO</v>
      </c>
      <c r="J1498" s="17">
        <f t="shared" si="85"/>
        <v>22.571428571428573</v>
      </c>
    </row>
    <row r="1499" spans="2:10">
      <c r="B1499" t="s">
        <v>1915</v>
      </c>
      <c r="C1499" s="30" t="s">
        <v>27</v>
      </c>
      <c r="D1499" s="13">
        <v>12.9</v>
      </c>
      <c r="E1499" s="13">
        <v>22.9</v>
      </c>
      <c r="G1499" s="17">
        <f t="shared" si="83"/>
        <v>19.846153846153847</v>
      </c>
      <c r="H1499" s="27" t="str">
        <f t="shared" si="84"/>
        <v>POSITIVO</v>
      </c>
      <c r="J1499" s="17">
        <f t="shared" si="85"/>
        <v>18.428571428571431</v>
      </c>
    </row>
    <row r="1500" spans="2:10">
      <c r="B1500" t="s">
        <v>592</v>
      </c>
      <c r="C1500" s="24" t="s">
        <v>27</v>
      </c>
      <c r="D1500" s="25">
        <v>16.760000000000002</v>
      </c>
      <c r="E1500" s="26">
        <v>26</v>
      </c>
      <c r="G1500" s="17">
        <f t="shared" si="83"/>
        <v>25.784615384615385</v>
      </c>
      <c r="H1500" s="27" t="str">
        <f t="shared" si="84"/>
        <v>POSITIVO</v>
      </c>
      <c r="J1500" s="17">
        <f t="shared" si="85"/>
        <v>23.942857142857147</v>
      </c>
    </row>
    <row r="1501" spans="2:10">
      <c r="B1501" t="s">
        <v>1157</v>
      </c>
      <c r="C1501" s="30" t="s">
        <v>27</v>
      </c>
      <c r="D1501" s="13">
        <v>6.99</v>
      </c>
      <c r="E1501" s="13">
        <v>10.8</v>
      </c>
      <c r="G1501" s="17">
        <f t="shared" si="83"/>
        <v>10.753846153846153</v>
      </c>
      <c r="H1501" s="27" t="str">
        <f t="shared" si="84"/>
        <v>POSITIVO</v>
      </c>
      <c r="J1501" s="17">
        <f t="shared" si="85"/>
        <v>9.9857142857142858</v>
      </c>
    </row>
    <row r="1502" spans="2:10">
      <c r="B1502" t="s">
        <v>809</v>
      </c>
      <c r="C1502" s="24" t="s">
        <v>27</v>
      </c>
      <c r="D1502" s="25">
        <v>32.99</v>
      </c>
      <c r="E1502" s="26">
        <v>52</v>
      </c>
      <c r="G1502" s="17">
        <f t="shared" si="83"/>
        <v>50.753846153846155</v>
      </c>
      <c r="H1502" s="27" t="str">
        <f t="shared" si="84"/>
        <v>POSITIVO</v>
      </c>
      <c r="J1502" s="17">
        <f t="shared" si="85"/>
        <v>47.128571428571433</v>
      </c>
    </row>
    <row r="1503" spans="2:10">
      <c r="B1503" t="s">
        <v>1291</v>
      </c>
      <c r="C1503" s="24" t="s">
        <v>27</v>
      </c>
      <c r="D1503" s="25">
        <v>7.9</v>
      </c>
      <c r="E1503" s="26">
        <v>12.5</v>
      </c>
      <c r="G1503" s="17">
        <f t="shared" si="83"/>
        <v>12.153846153846153</v>
      </c>
      <c r="H1503" s="27" t="str">
        <f t="shared" si="84"/>
        <v>POSITIVO</v>
      </c>
      <c r="J1503" s="17">
        <f t="shared" si="85"/>
        <v>11.285714285714286</v>
      </c>
    </row>
    <row r="1504" spans="2:10">
      <c r="B1504" t="s">
        <v>1974</v>
      </c>
      <c r="C1504" s="30" t="s">
        <v>27</v>
      </c>
      <c r="D1504" s="13">
        <v>95.9</v>
      </c>
      <c r="E1504" s="13">
        <v>149.9</v>
      </c>
      <c r="G1504" s="17">
        <f t="shared" si="83"/>
        <v>147.53846153846155</v>
      </c>
      <c r="H1504" s="27" t="str">
        <f t="shared" si="84"/>
        <v>POSITIVO</v>
      </c>
      <c r="J1504" s="17">
        <f t="shared" si="85"/>
        <v>137.00000000000003</v>
      </c>
    </row>
    <row r="1505" spans="2:10">
      <c r="B1505" t="s">
        <v>1339</v>
      </c>
      <c r="C1505" s="30" t="s">
        <v>27</v>
      </c>
      <c r="D1505" s="13">
        <v>12.9</v>
      </c>
      <c r="E1505" s="13">
        <v>20</v>
      </c>
      <c r="G1505" s="17">
        <f t="shared" si="83"/>
        <v>19.846153846153847</v>
      </c>
      <c r="H1505" s="27" t="str">
        <f t="shared" si="84"/>
        <v>POSITIVO</v>
      </c>
      <c r="J1505" s="17">
        <f t="shared" si="85"/>
        <v>18.428571428571431</v>
      </c>
    </row>
    <row r="1506" spans="2:10">
      <c r="B1506" t="s">
        <v>593</v>
      </c>
      <c r="C1506" s="24" t="s">
        <v>27</v>
      </c>
      <c r="D1506" s="25">
        <v>6.01</v>
      </c>
      <c r="E1506" s="26">
        <v>10</v>
      </c>
      <c r="G1506" s="17">
        <f t="shared" si="83"/>
        <v>9.2461538461538453</v>
      </c>
      <c r="H1506" s="27" t="str">
        <f t="shared" si="84"/>
        <v>POSITIVO</v>
      </c>
      <c r="J1506" s="17">
        <f t="shared" si="85"/>
        <v>8.5857142857142854</v>
      </c>
    </row>
    <row r="1507" spans="2:10">
      <c r="B1507" t="s">
        <v>1657</v>
      </c>
      <c r="C1507" s="30" t="s">
        <v>27</v>
      </c>
      <c r="D1507" s="13">
        <v>18</v>
      </c>
      <c r="E1507" s="13">
        <v>28</v>
      </c>
      <c r="G1507" s="17">
        <f t="shared" si="83"/>
        <v>27.69230769230769</v>
      </c>
      <c r="H1507" s="27" t="str">
        <f t="shared" si="84"/>
        <v>POSITIVO</v>
      </c>
      <c r="J1507" s="17">
        <f t="shared" si="85"/>
        <v>25.714285714285715</v>
      </c>
    </row>
    <row r="1508" spans="2:10">
      <c r="B1508" t="s">
        <v>594</v>
      </c>
      <c r="C1508" s="24" t="s">
        <v>27</v>
      </c>
      <c r="D1508" s="25">
        <v>27.13</v>
      </c>
      <c r="E1508" s="26">
        <v>42</v>
      </c>
      <c r="G1508" s="17">
        <f t="shared" si="83"/>
        <v>41.738461538461536</v>
      </c>
      <c r="H1508" s="27" t="str">
        <f t="shared" si="84"/>
        <v>POSITIVO</v>
      </c>
      <c r="J1508" s="17">
        <f t="shared" si="85"/>
        <v>38.75714285714286</v>
      </c>
    </row>
    <row r="1509" spans="2:10">
      <c r="B1509" t="s">
        <v>1378</v>
      </c>
      <c r="C1509" s="30" t="s">
        <v>27</v>
      </c>
      <c r="D1509" s="13">
        <v>24.94</v>
      </c>
      <c r="E1509" s="13">
        <v>39.9</v>
      </c>
      <c r="G1509" s="17">
        <f t="shared" si="83"/>
        <v>38.369230769230768</v>
      </c>
      <c r="H1509" s="27" t="str">
        <f t="shared" si="84"/>
        <v>POSITIVO</v>
      </c>
      <c r="J1509" s="17">
        <f t="shared" si="85"/>
        <v>35.628571428571433</v>
      </c>
    </row>
    <row r="1510" spans="2:10">
      <c r="B1510" t="s">
        <v>595</v>
      </c>
      <c r="C1510" s="24" t="s">
        <v>27</v>
      </c>
      <c r="D1510" s="25">
        <v>17.350000000000001</v>
      </c>
      <c r="E1510" s="25">
        <v>24.7</v>
      </c>
      <c r="G1510" s="17">
        <f t="shared" si="83"/>
        <v>26.692307692307693</v>
      </c>
      <c r="H1510" s="27" t="str">
        <f t="shared" si="84"/>
        <v>NEGATIVO</v>
      </c>
      <c r="J1510" s="17">
        <f t="shared" si="85"/>
        <v>24.785714285714288</v>
      </c>
    </row>
    <row r="1511" spans="2:10">
      <c r="B1511" t="s">
        <v>810</v>
      </c>
      <c r="C1511" s="24" t="s">
        <v>27</v>
      </c>
      <c r="D1511" s="25">
        <v>11.8</v>
      </c>
      <c r="E1511" s="26">
        <v>20</v>
      </c>
      <c r="G1511" s="17">
        <f t="shared" si="83"/>
        <v>18.153846153846153</v>
      </c>
      <c r="H1511" s="27" t="str">
        <f t="shared" si="84"/>
        <v>POSITIVO</v>
      </c>
      <c r="J1511" s="17">
        <f t="shared" si="85"/>
        <v>16.857142857142858</v>
      </c>
    </row>
    <row r="1512" spans="2:10">
      <c r="B1512" t="s">
        <v>1836</v>
      </c>
      <c r="C1512" s="30" t="s">
        <v>27</v>
      </c>
      <c r="D1512" s="13">
        <v>19.760000000000002</v>
      </c>
      <c r="E1512" s="13">
        <v>32</v>
      </c>
      <c r="G1512" s="17">
        <f t="shared" si="83"/>
        <v>30.400000000000002</v>
      </c>
      <c r="H1512" s="27" t="str">
        <f t="shared" si="84"/>
        <v>POSITIVO</v>
      </c>
      <c r="J1512" s="17">
        <f t="shared" si="85"/>
        <v>28.228571428571431</v>
      </c>
    </row>
    <row r="1513" spans="2:10">
      <c r="B1513" t="s">
        <v>596</v>
      </c>
      <c r="C1513" s="24" t="s">
        <v>27</v>
      </c>
      <c r="D1513" s="25">
        <v>0.18</v>
      </c>
      <c r="E1513" s="26">
        <v>0.25</v>
      </c>
      <c r="G1513" s="17">
        <f t="shared" si="83"/>
        <v>0.27692307692307688</v>
      </c>
      <c r="H1513" s="27" t="str">
        <f t="shared" si="84"/>
        <v>NEGATIVO</v>
      </c>
      <c r="J1513" s="17">
        <f t="shared" si="85"/>
        <v>0.25714285714285717</v>
      </c>
    </row>
    <row r="1514" spans="2:10">
      <c r="B1514" t="s">
        <v>597</v>
      </c>
      <c r="C1514" s="24" t="s">
        <v>27</v>
      </c>
      <c r="D1514" s="25">
        <v>0.12</v>
      </c>
      <c r="E1514" s="26">
        <v>0.3</v>
      </c>
      <c r="G1514" s="17">
        <f t="shared" si="83"/>
        <v>0.1846153846153846</v>
      </c>
      <c r="H1514" s="27" t="str">
        <f t="shared" si="84"/>
        <v>POSITIVO</v>
      </c>
      <c r="J1514" s="17">
        <f t="shared" si="85"/>
        <v>0.17142857142857143</v>
      </c>
    </row>
    <row r="1515" spans="2:10">
      <c r="B1515" t="s">
        <v>598</v>
      </c>
      <c r="C1515" s="24" t="s">
        <v>27</v>
      </c>
      <c r="D1515" s="25">
        <v>0.36</v>
      </c>
      <c r="E1515" s="26">
        <v>0.55000000000000004</v>
      </c>
      <c r="G1515" s="17">
        <f t="shared" si="83"/>
        <v>0.55384615384615377</v>
      </c>
      <c r="H1515" s="27" t="str">
        <f t="shared" si="84"/>
        <v>NEGATIVO</v>
      </c>
      <c r="J1515" s="17">
        <f t="shared" si="85"/>
        <v>0.51428571428571435</v>
      </c>
    </row>
    <row r="1516" spans="2:10">
      <c r="B1516" t="s">
        <v>599</v>
      </c>
      <c r="C1516" s="24" t="s">
        <v>27</v>
      </c>
      <c r="D1516" s="25">
        <v>0.42</v>
      </c>
      <c r="E1516" s="26">
        <v>0.65</v>
      </c>
      <c r="G1516" s="17">
        <f t="shared" si="83"/>
        <v>0.64615384615384608</v>
      </c>
      <c r="H1516" s="27" t="str">
        <f t="shared" si="84"/>
        <v>POSITIVO</v>
      </c>
      <c r="J1516" s="17">
        <f t="shared" si="85"/>
        <v>0.6</v>
      </c>
    </row>
    <row r="1517" spans="2:10">
      <c r="B1517" t="s">
        <v>600</v>
      </c>
      <c r="C1517" s="24" t="s">
        <v>27</v>
      </c>
      <c r="D1517" s="25">
        <v>38.99</v>
      </c>
      <c r="E1517" s="26">
        <v>60</v>
      </c>
      <c r="G1517" s="17">
        <f t="shared" si="83"/>
        <v>59.984615384615388</v>
      </c>
      <c r="H1517" s="27" t="str">
        <f t="shared" si="84"/>
        <v>POSITIVO</v>
      </c>
      <c r="J1517" s="17">
        <f t="shared" si="85"/>
        <v>55.7</v>
      </c>
    </row>
    <row r="1518" spans="2:10">
      <c r="B1518" t="s">
        <v>991</v>
      </c>
      <c r="C1518" s="30" t="s">
        <v>27</v>
      </c>
      <c r="D1518" s="13">
        <v>55.99</v>
      </c>
      <c r="E1518" s="13">
        <v>87</v>
      </c>
      <c r="G1518" s="17">
        <f t="shared" si="83"/>
        <v>86.138461538461542</v>
      </c>
      <c r="H1518" s="27" t="str">
        <f t="shared" si="84"/>
        <v>POSITIVO</v>
      </c>
      <c r="J1518" s="17">
        <f t="shared" si="85"/>
        <v>79.985714285714295</v>
      </c>
    </row>
    <row r="1519" spans="2:10">
      <c r="B1519" t="s">
        <v>1502</v>
      </c>
      <c r="C1519" s="30" t="s">
        <v>27</v>
      </c>
      <c r="D1519" s="13">
        <v>78.8</v>
      </c>
      <c r="E1519" s="13">
        <v>142</v>
      </c>
      <c r="G1519" s="17">
        <f t="shared" si="83"/>
        <v>121.23076923076923</v>
      </c>
      <c r="H1519" s="27" t="str">
        <f t="shared" si="84"/>
        <v>POSITIVO</v>
      </c>
      <c r="J1519" s="17">
        <f t="shared" si="85"/>
        <v>112.57142857142857</v>
      </c>
    </row>
    <row r="1520" spans="2:10">
      <c r="B1520" t="s">
        <v>1784</v>
      </c>
      <c r="C1520" s="30" t="s">
        <v>27</v>
      </c>
      <c r="D1520" s="13">
        <v>0.48</v>
      </c>
      <c r="E1520" s="13">
        <v>1</v>
      </c>
      <c r="G1520" s="17">
        <f t="shared" si="83"/>
        <v>0.73846153846153839</v>
      </c>
      <c r="H1520" s="27" t="str">
        <f t="shared" si="84"/>
        <v>POSITIVO</v>
      </c>
      <c r="J1520" s="17">
        <f t="shared" si="85"/>
        <v>0.68571428571428572</v>
      </c>
    </row>
    <row r="1521" spans="1:10">
      <c r="B1521" t="s">
        <v>601</v>
      </c>
      <c r="C1521" s="24" t="s">
        <v>27</v>
      </c>
      <c r="D1521" s="25">
        <v>27.7</v>
      </c>
      <c r="E1521" s="26">
        <v>45</v>
      </c>
      <c r="G1521" s="17">
        <f t="shared" si="83"/>
        <v>42.615384615384613</v>
      </c>
      <c r="H1521" s="27" t="str">
        <f t="shared" si="84"/>
        <v>POSITIVO</v>
      </c>
      <c r="J1521" s="17">
        <f t="shared" si="85"/>
        <v>39.571428571428569</v>
      </c>
    </row>
    <row r="1522" spans="1:10">
      <c r="B1522" t="s">
        <v>602</v>
      </c>
      <c r="C1522" s="24" t="s">
        <v>27</v>
      </c>
      <c r="D1522" s="25">
        <v>89.9</v>
      </c>
      <c r="E1522" s="26">
        <v>155</v>
      </c>
      <c r="G1522" s="17">
        <f t="shared" si="83"/>
        <v>138.30769230769232</v>
      </c>
      <c r="H1522" s="27" t="str">
        <f t="shared" si="84"/>
        <v>POSITIVO</v>
      </c>
      <c r="J1522" s="17">
        <f t="shared" si="85"/>
        <v>128.42857142857144</v>
      </c>
    </row>
    <row r="1523" spans="1:10">
      <c r="B1523" t="s">
        <v>603</v>
      </c>
      <c r="C1523" s="24" t="s">
        <v>27</v>
      </c>
      <c r="D1523" s="25">
        <v>35.36</v>
      </c>
      <c r="E1523" s="26">
        <v>55</v>
      </c>
      <c r="G1523" s="17">
        <f t="shared" si="83"/>
        <v>54.4</v>
      </c>
      <c r="H1523" s="27" t="str">
        <f t="shared" si="84"/>
        <v>POSITIVO</v>
      </c>
      <c r="J1523" s="17">
        <f t="shared" si="85"/>
        <v>50.51428571428572</v>
      </c>
    </row>
    <row r="1524" spans="1:10">
      <c r="B1524" t="s">
        <v>1443</v>
      </c>
      <c r="C1524" s="30" t="s">
        <v>27</v>
      </c>
      <c r="D1524" s="13">
        <v>159.9</v>
      </c>
      <c r="E1524" s="13">
        <v>260</v>
      </c>
      <c r="G1524" s="17">
        <f t="shared" si="83"/>
        <v>246</v>
      </c>
      <c r="H1524" s="27" t="str">
        <f t="shared" si="84"/>
        <v>POSITIVO</v>
      </c>
      <c r="J1524" s="17">
        <f t="shared" si="85"/>
        <v>228.42857142857144</v>
      </c>
    </row>
    <row r="1525" spans="1:10">
      <c r="B1525" t="s">
        <v>1007</v>
      </c>
      <c r="C1525" s="24" t="s">
        <v>27</v>
      </c>
      <c r="D1525" s="13">
        <v>30.99</v>
      </c>
      <c r="E1525" s="13">
        <v>48</v>
      </c>
      <c r="G1525" s="17">
        <f t="shared" si="83"/>
        <v>47.676923076923075</v>
      </c>
      <c r="H1525" s="27" t="str">
        <f t="shared" si="84"/>
        <v>POSITIVO</v>
      </c>
      <c r="J1525" s="17">
        <f t="shared" si="85"/>
        <v>44.271428571428572</v>
      </c>
    </row>
    <row r="1526" spans="1:10">
      <c r="B1526" t="s">
        <v>604</v>
      </c>
      <c r="C1526" s="24" t="s">
        <v>27</v>
      </c>
      <c r="D1526" s="25">
        <v>29.86</v>
      </c>
      <c r="E1526" s="26">
        <v>46</v>
      </c>
      <c r="G1526" s="17">
        <f t="shared" si="83"/>
        <v>45.938461538461539</v>
      </c>
      <c r="H1526" s="27" t="str">
        <f t="shared" si="84"/>
        <v>POSITIVO</v>
      </c>
      <c r="J1526" s="17">
        <f t="shared" si="85"/>
        <v>42.657142857142858</v>
      </c>
    </row>
    <row r="1527" spans="1:10">
      <c r="B1527" t="s">
        <v>605</v>
      </c>
      <c r="C1527" s="24" t="s">
        <v>27</v>
      </c>
      <c r="D1527" s="25">
        <v>40.99</v>
      </c>
      <c r="E1527" s="26">
        <v>65</v>
      </c>
      <c r="G1527" s="17">
        <f t="shared" si="83"/>
        <v>63.061538461538461</v>
      </c>
      <c r="H1527" s="27" t="str">
        <f t="shared" si="84"/>
        <v>POSITIVO</v>
      </c>
      <c r="J1527" s="17">
        <f t="shared" si="85"/>
        <v>58.557142857142864</v>
      </c>
    </row>
    <row r="1528" spans="1:10">
      <c r="B1528" t="s">
        <v>606</v>
      </c>
      <c r="C1528" s="24" t="s">
        <v>27</v>
      </c>
      <c r="D1528" s="25">
        <v>43.02</v>
      </c>
      <c r="E1528" s="26">
        <v>73</v>
      </c>
      <c r="G1528" s="17">
        <f t="shared" si="83"/>
        <v>66.184615384615384</v>
      </c>
      <c r="H1528" s="27" t="str">
        <f t="shared" si="84"/>
        <v>POSITIVO</v>
      </c>
      <c r="J1528" s="17">
        <f t="shared" si="85"/>
        <v>61.457142857142863</v>
      </c>
    </row>
    <row r="1529" spans="1:10">
      <c r="B1529" t="s">
        <v>607</v>
      </c>
      <c r="C1529" s="24" t="s">
        <v>27</v>
      </c>
      <c r="D1529" s="25">
        <v>23.85</v>
      </c>
      <c r="E1529" s="26">
        <v>42</v>
      </c>
      <c r="G1529" s="17">
        <f t="shared" si="83"/>
        <v>36.692307692307693</v>
      </c>
      <c r="H1529" s="27" t="str">
        <f t="shared" si="84"/>
        <v>POSITIVO</v>
      </c>
      <c r="J1529" s="17">
        <f t="shared" si="85"/>
        <v>34.071428571428577</v>
      </c>
    </row>
    <row r="1530" spans="1:10">
      <c r="B1530" t="s">
        <v>1782</v>
      </c>
      <c r="C1530" s="24" t="s">
        <v>27</v>
      </c>
      <c r="D1530" s="25">
        <v>26.9</v>
      </c>
      <c r="E1530" s="26">
        <v>45</v>
      </c>
      <c r="G1530" s="17">
        <f t="shared" ref="G1530:G1587" si="86">(D1530/65%)</f>
        <v>41.38461538461538</v>
      </c>
      <c r="H1530" s="27" t="str">
        <f t="shared" ref="H1530:H1587" si="87">IF(E1530&gt;=G1530,"POSITIVO","NEGATIVO")</f>
        <v>POSITIVO</v>
      </c>
      <c r="J1530" s="17">
        <f t="shared" ref="J1530:J1587" si="88">D1530/70%</f>
        <v>38.428571428571431</v>
      </c>
    </row>
    <row r="1531" spans="1:10">
      <c r="B1531" t="s">
        <v>1736</v>
      </c>
      <c r="C1531" s="30" t="s">
        <v>27</v>
      </c>
      <c r="D1531" s="13">
        <v>48.5</v>
      </c>
      <c r="E1531" s="13">
        <v>75.900000000000006</v>
      </c>
      <c r="G1531" s="17">
        <f t="shared" si="86"/>
        <v>74.615384615384613</v>
      </c>
      <c r="H1531" s="27" t="str">
        <f t="shared" si="87"/>
        <v>POSITIVO</v>
      </c>
      <c r="J1531" s="17">
        <f t="shared" si="88"/>
        <v>69.285714285714292</v>
      </c>
    </row>
    <row r="1532" spans="1:10">
      <c r="B1532" t="s">
        <v>1600</v>
      </c>
      <c r="C1532" s="30" t="s">
        <v>27</v>
      </c>
      <c r="D1532" s="13">
        <v>125</v>
      </c>
      <c r="E1532" s="13">
        <v>195</v>
      </c>
      <c r="G1532" s="17">
        <f t="shared" si="86"/>
        <v>192.30769230769229</v>
      </c>
      <c r="H1532" s="27" t="str">
        <f t="shared" si="87"/>
        <v>POSITIVO</v>
      </c>
      <c r="J1532" s="17">
        <f t="shared" si="88"/>
        <v>178.57142857142858</v>
      </c>
    </row>
    <row r="1533" spans="1:10">
      <c r="B1533" t="s">
        <v>608</v>
      </c>
      <c r="C1533" s="24" t="s">
        <v>27</v>
      </c>
      <c r="D1533" s="25">
        <v>24.19</v>
      </c>
      <c r="E1533" s="26">
        <v>38</v>
      </c>
      <c r="G1533" s="17">
        <f t="shared" si="86"/>
        <v>37.215384615384615</v>
      </c>
      <c r="H1533" s="27" t="str">
        <f t="shared" si="87"/>
        <v>POSITIVO</v>
      </c>
      <c r="J1533" s="17">
        <f t="shared" si="88"/>
        <v>34.557142857142864</v>
      </c>
    </row>
    <row r="1534" spans="1:10">
      <c r="A1534" s="61" t="s">
        <v>2058</v>
      </c>
      <c r="B1534" t="s">
        <v>2059</v>
      </c>
      <c r="C1534" s="24" t="s">
        <v>27</v>
      </c>
      <c r="D1534" s="25">
        <v>27.9</v>
      </c>
      <c r="E1534" s="26">
        <v>45</v>
      </c>
      <c r="G1534" s="17">
        <f t="shared" si="86"/>
        <v>42.92307692307692</v>
      </c>
      <c r="H1534" s="27" t="str">
        <f t="shared" si="87"/>
        <v>POSITIVO</v>
      </c>
      <c r="J1534" s="17">
        <f t="shared" si="88"/>
        <v>39.857142857142854</v>
      </c>
    </row>
    <row r="1535" spans="1:10">
      <c r="A1535" s="61" t="s">
        <v>2505</v>
      </c>
      <c r="B1535" t="s">
        <v>1008</v>
      </c>
      <c r="C1535" s="30" t="s">
        <v>27</v>
      </c>
      <c r="D1535" s="13">
        <v>14.99</v>
      </c>
      <c r="E1535" s="13">
        <v>29.9</v>
      </c>
      <c r="G1535" s="17">
        <f t="shared" si="86"/>
        <v>23.061538461538461</v>
      </c>
      <c r="H1535" s="27" t="str">
        <f t="shared" si="87"/>
        <v>POSITIVO</v>
      </c>
      <c r="J1535" s="17">
        <f t="shared" si="88"/>
        <v>21.414285714285715</v>
      </c>
    </row>
    <row r="1536" spans="1:10">
      <c r="B1536" t="s">
        <v>609</v>
      </c>
      <c r="C1536" s="24" t="s">
        <v>27</v>
      </c>
      <c r="D1536" s="25">
        <v>42.5</v>
      </c>
      <c r="E1536" s="26">
        <v>65</v>
      </c>
      <c r="G1536" s="17">
        <f t="shared" si="86"/>
        <v>65.384615384615387</v>
      </c>
      <c r="H1536" s="27" t="str">
        <f t="shared" si="87"/>
        <v>NEGATIVO</v>
      </c>
      <c r="J1536" s="17">
        <f t="shared" si="88"/>
        <v>60.714285714285715</v>
      </c>
    </row>
    <row r="1537" spans="2:10">
      <c r="B1537" t="s">
        <v>1944</v>
      </c>
      <c r="C1537" s="30" t="s">
        <v>27</v>
      </c>
      <c r="D1537" s="13">
        <v>68</v>
      </c>
      <c r="E1537" s="13">
        <v>105</v>
      </c>
      <c r="G1537" s="17">
        <f t="shared" si="86"/>
        <v>104.61538461538461</v>
      </c>
      <c r="H1537" s="27" t="str">
        <f t="shared" si="87"/>
        <v>POSITIVO</v>
      </c>
      <c r="J1537" s="17">
        <f t="shared" si="88"/>
        <v>97.142857142857153</v>
      </c>
    </row>
    <row r="1538" spans="2:10">
      <c r="B1538" t="s">
        <v>1697</v>
      </c>
      <c r="C1538" s="30" t="s">
        <v>27</v>
      </c>
      <c r="D1538" s="13">
        <v>9.0500000000000007</v>
      </c>
      <c r="E1538" s="13">
        <v>14</v>
      </c>
      <c r="G1538" s="17">
        <f t="shared" si="86"/>
        <v>13.923076923076923</v>
      </c>
      <c r="H1538" s="27" t="str">
        <f t="shared" si="87"/>
        <v>POSITIVO</v>
      </c>
      <c r="J1538" s="17">
        <f t="shared" si="88"/>
        <v>12.928571428571431</v>
      </c>
    </row>
    <row r="1539" spans="2:10">
      <c r="B1539" t="s">
        <v>1024</v>
      </c>
      <c r="C1539" s="24" t="s">
        <v>27</v>
      </c>
      <c r="D1539" s="13">
        <v>14.2</v>
      </c>
      <c r="E1539" s="13">
        <v>22.3</v>
      </c>
      <c r="G1539" s="17">
        <f t="shared" si="86"/>
        <v>21.846153846153843</v>
      </c>
      <c r="H1539" s="27" t="str">
        <f t="shared" si="87"/>
        <v>POSITIVO</v>
      </c>
      <c r="J1539" s="17">
        <f t="shared" si="88"/>
        <v>20.285714285714285</v>
      </c>
    </row>
    <row r="1540" spans="2:10">
      <c r="B1540" t="s">
        <v>1023</v>
      </c>
      <c r="C1540" s="24" t="s">
        <v>27</v>
      </c>
      <c r="D1540" s="13">
        <v>23.5</v>
      </c>
      <c r="E1540" s="13">
        <v>35.5</v>
      </c>
      <c r="G1540" s="17">
        <f t="shared" si="86"/>
        <v>36.153846153846153</v>
      </c>
      <c r="H1540" s="27" t="str">
        <f t="shared" si="87"/>
        <v>NEGATIVO</v>
      </c>
      <c r="J1540" s="17">
        <f t="shared" si="88"/>
        <v>33.571428571428577</v>
      </c>
    </row>
    <row r="1541" spans="2:10">
      <c r="B1541" t="s">
        <v>1025</v>
      </c>
      <c r="C1541" s="24" t="s">
        <v>27</v>
      </c>
      <c r="D1541" s="13">
        <v>22</v>
      </c>
      <c r="E1541" s="13">
        <v>33.9</v>
      </c>
      <c r="G1541" s="17">
        <f t="shared" si="86"/>
        <v>33.846153846153847</v>
      </c>
      <c r="H1541" s="27" t="str">
        <f t="shared" si="87"/>
        <v>POSITIVO</v>
      </c>
      <c r="J1541" s="17">
        <f t="shared" si="88"/>
        <v>31.428571428571431</v>
      </c>
    </row>
    <row r="1542" spans="2:10">
      <c r="B1542" t="s">
        <v>1022</v>
      </c>
      <c r="C1542" s="24" t="s">
        <v>27</v>
      </c>
      <c r="D1542" s="25">
        <v>7.9</v>
      </c>
      <c r="E1542" s="26">
        <v>12.5</v>
      </c>
      <c r="G1542" s="17">
        <f t="shared" si="86"/>
        <v>12.153846153846153</v>
      </c>
      <c r="H1542" s="27" t="str">
        <f t="shared" si="87"/>
        <v>POSITIVO</v>
      </c>
      <c r="J1542" s="17">
        <f t="shared" si="88"/>
        <v>11.285714285714286</v>
      </c>
    </row>
    <row r="1543" spans="2:10">
      <c r="B1543" t="s">
        <v>1457</v>
      </c>
      <c r="C1543" s="30" t="s">
        <v>27</v>
      </c>
      <c r="D1543" s="13">
        <v>53</v>
      </c>
      <c r="E1543" s="13">
        <v>75</v>
      </c>
      <c r="G1543" s="17">
        <f t="shared" si="86"/>
        <v>81.538461538461533</v>
      </c>
      <c r="H1543" s="27" t="str">
        <f t="shared" si="87"/>
        <v>NEGATIVO</v>
      </c>
      <c r="J1543" s="17">
        <f t="shared" si="88"/>
        <v>75.714285714285722</v>
      </c>
    </row>
    <row r="1544" spans="2:10">
      <c r="B1544" t="s">
        <v>1320</v>
      </c>
      <c r="C1544" s="30" t="s">
        <v>27</v>
      </c>
      <c r="D1544" s="13">
        <v>17.899999999999999</v>
      </c>
      <c r="E1544" s="13">
        <v>28</v>
      </c>
      <c r="G1544" s="17">
        <f t="shared" si="86"/>
        <v>27.538461538461537</v>
      </c>
      <c r="H1544" s="27" t="str">
        <f t="shared" si="87"/>
        <v>POSITIVO</v>
      </c>
      <c r="J1544" s="17">
        <f t="shared" si="88"/>
        <v>25.571428571428569</v>
      </c>
    </row>
    <row r="1545" spans="2:10">
      <c r="B1545" t="s">
        <v>1942</v>
      </c>
      <c r="C1545" s="30" t="s">
        <v>27</v>
      </c>
      <c r="D1545" s="13">
        <v>10.3</v>
      </c>
      <c r="E1545" s="13">
        <v>16</v>
      </c>
      <c r="G1545" s="17">
        <f t="shared" si="86"/>
        <v>15.846153846153847</v>
      </c>
      <c r="H1545" s="27" t="str">
        <f t="shared" si="87"/>
        <v>POSITIVO</v>
      </c>
      <c r="J1545" s="17">
        <f t="shared" si="88"/>
        <v>14.714285714285717</v>
      </c>
    </row>
    <row r="1546" spans="2:10">
      <c r="B1546" t="s">
        <v>1319</v>
      </c>
      <c r="C1546" s="30" t="s">
        <v>27</v>
      </c>
      <c r="D1546" s="13">
        <v>9.8000000000000007</v>
      </c>
      <c r="E1546" s="13">
        <v>15.5</v>
      </c>
      <c r="G1546" s="17">
        <f t="shared" si="86"/>
        <v>15.076923076923077</v>
      </c>
      <c r="H1546" s="27" t="str">
        <f t="shared" si="87"/>
        <v>POSITIVO</v>
      </c>
      <c r="J1546" s="17">
        <f t="shared" si="88"/>
        <v>14.000000000000002</v>
      </c>
    </row>
    <row r="1547" spans="2:10">
      <c r="B1547" t="s">
        <v>610</v>
      </c>
      <c r="C1547" s="24" t="s">
        <v>27</v>
      </c>
      <c r="D1547" s="25">
        <v>22.38</v>
      </c>
      <c r="E1547" s="26">
        <v>35</v>
      </c>
      <c r="G1547" s="17">
        <f t="shared" si="86"/>
        <v>34.430769230769229</v>
      </c>
      <c r="H1547" s="27" t="str">
        <f t="shared" si="87"/>
        <v>POSITIVO</v>
      </c>
      <c r="J1547" s="17">
        <f t="shared" si="88"/>
        <v>31.971428571428572</v>
      </c>
    </row>
    <row r="1548" spans="2:10">
      <c r="B1548" t="s">
        <v>611</v>
      </c>
      <c r="C1548" s="24" t="s">
        <v>27</v>
      </c>
      <c r="D1548" s="25">
        <v>37.74</v>
      </c>
      <c r="E1548" s="26">
        <v>59</v>
      </c>
      <c r="G1548" s="17">
        <f t="shared" si="86"/>
        <v>58.061538461538461</v>
      </c>
      <c r="H1548" s="27" t="str">
        <f t="shared" si="87"/>
        <v>POSITIVO</v>
      </c>
      <c r="J1548" s="17">
        <f t="shared" si="88"/>
        <v>53.914285714285718</v>
      </c>
    </row>
    <row r="1549" spans="2:10">
      <c r="B1549" t="s">
        <v>811</v>
      </c>
      <c r="C1549" s="24" t="s">
        <v>27</v>
      </c>
      <c r="D1549" s="25">
        <v>42.76</v>
      </c>
      <c r="E1549" s="26">
        <v>66</v>
      </c>
      <c r="G1549" s="17">
        <f t="shared" si="86"/>
        <v>65.784615384615378</v>
      </c>
      <c r="H1549" s="27" t="str">
        <f t="shared" si="87"/>
        <v>POSITIVO</v>
      </c>
      <c r="J1549" s="17">
        <f t="shared" si="88"/>
        <v>61.085714285714289</v>
      </c>
    </row>
    <row r="1550" spans="2:10">
      <c r="B1550" t="s">
        <v>1056</v>
      </c>
      <c r="C1550" s="24" t="s">
        <v>46</v>
      </c>
      <c r="D1550" s="25">
        <v>3.5</v>
      </c>
      <c r="E1550" s="26">
        <v>6</v>
      </c>
      <c r="G1550" s="17">
        <f t="shared" si="86"/>
        <v>5.3846153846153841</v>
      </c>
      <c r="H1550" s="27" t="str">
        <f t="shared" si="87"/>
        <v>POSITIVO</v>
      </c>
      <c r="J1550" s="17">
        <f t="shared" si="88"/>
        <v>5</v>
      </c>
    </row>
    <row r="1551" spans="2:10">
      <c r="B1551" t="s">
        <v>978</v>
      </c>
      <c r="C1551" s="30" t="s">
        <v>27</v>
      </c>
      <c r="D1551" s="13">
        <v>24.8</v>
      </c>
      <c r="E1551" s="13">
        <v>41</v>
      </c>
      <c r="G1551" s="17">
        <f t="shared" si="86"/>
        <v>38.153846153846153</v>
      </c>
      <c r="H1551" s="27" t="str">
        <f t="shared" si="87"/>
        <v>POSITIVO</v>
      </c>
      <c r="J1551" s="17">
        <f t="shared" si="88"/>
        <v>35.428571428571431</v>
      </c>
    </row>
    <row r="1552" spans="2:10">
      <c r="B1552" t="s">
        <v>612</v>
      </c>
      <c r="C1552" s="24" t="s">
        <v>27</v>
      </c>
      <c r="D1552" s="25">
        <v>24.99</v>
      </c>
      <c r="E1552" s="26">
        <v>32.799999999999997</v>
      </c>
      <c r="G1552" s="17">
        <f t="shared" si="86"/>
        <v>38.446153846153841</v>
      </c>
      <c r="H1552" s="27" t="str">
        <f t="shared" si="87"/>
        <v>NEGATIVO</v>
      </c>
      <c r="J1552" s="17">
        <f t="shared" si="88"/>
        <v>35.700000000000003</v>
      </c>
    </row>
    <row r="1553" spans="2:10">
      <c r="B1553" t="s">
        <v>613</v>
      </c>
      <c r="C1553" s="24" t="s">
        <v>27</v>
      </c>
      <c r="D1553" s="25">
        <v>43.58</v>
      </c>
      <c r="E1553" s="26">
        <v>68</v>
      </c>
      <c r="G1553" s="17">
        <f t="shared" si="86"/>
        <v>67.046153846153842</v>
      </c>
      <c r="H1553" s="27" t="str">
        <f t="shared" si="87"/>
        <v>POSITIVO</v>
      </c>
      <c r="J1553" s="17">
        <f t="shared" si="88"/>
        <v>62.25714285714286</v>
      </c>
    </row>
    <row r="1554" spans="2:10">
      <c r="B1554" t="s">
        <v>614</v>
      </c>
      <c r="C1554" s="24" t="s">
        <v>27</v>
      </c>
      <c r="D1554" s="25">
        <v>10.199999999999999</v>
      </c>
      <c r="E1554" s="26">
        <v>15</v>
      </c>
      <c r="G1554" s="17">
        <f t="shared" si="86"/>
        <v>15.69230769230769</v>
      </c>
      <c r="H1554" s="27" t="str">
        <f t="shared" si="87"/>
        <v>NEGATIVO</v>
      </c>
      <c r="J1554" s="17">
        <f t="shared" si="88"/>
        <v>14.571428571428571</v>
      </c>
    </row>
    <row r="1555" spans="2:10">
      <c r="B1555" t="s">
        <v>1264</v>
      </c>
      <c r="C1555" s="24" t="s">
        <v>27</v>
      </c>
      <c r="D1555" s="13">
        <v>24.99</v>
      </c>
      <c r="E1555" s="13">
        <v>41</v>
      </c>
      <c r="G1555" s="17">
        <f t="shared" si="86"/>
        <v>38.446153846153841</v>
      </c>
      <c r="H1555" s="27" t="str">
        <f t="shared" si="87"/>
        <v>POSITIVO</v>
      </c>
      <c r="J1555" s="17">
        <f t="shared" si="88"/>
        <v>35.700000000000003</v>
      </c>
    </row>
    <row r="1556" spans="2:10">
      <c r="B1556" t="s">
        <v>615</v>
      </c>
      <c r="C1556" s="24" t="s">
        <v>27</v>
      </c>
      <c r="D1556" s="25">
        <v>22.98</v>
      </c>
      <c r="E1556" s="26">
        <v>36</v>
      </c>
      <c r="G1556" s="17">
        <f t="shared" si="86"/>
        <v>35.353846153846156</v>
      </c>
      <c r="H1556" s="27" t="str">
        <f t="shared" si="87"/>
        <v>POSITIVO</v>
      </c>
      <c r="J1556" s="17">
        <f t="shared" si="88"/>
        <v>32.828571428571429</v>
      </c>
    </row>
    <row r="1557" spans="2:10">
      <c r="B1557" t="s">
        <v>616</v>
      </c>
      <c r="C1557" s="24" t="s">
        <v>27</v>
      </c>
      <c r="D1557" s="25">
        <v>23.68</v>
      </c>
      <c r="E1557" s="26">
        <v>37</v>
      </c>
      <c r="G1557" s="17">
        <f t="shared" si="86"/>
        <v>36.430769230769229</v>
      </c>
      <c r="H1557" s="27" t="str">
        <f t="shared" si="87"/>
        <v>POSITIVO</v>
      </c>
      <c r="J1557" s="17">
        <f t="shared" si="88"/>
        <v>33.828571428571429</v>
      </c>
    </row>
    <row r="1558" spans="2:10">
      <c r="B1558" t="s">
        <v>1047</v>
      </c>
      <c r="C1558" s="24" t="s">
        <v>27</v>
      </c>
      <c r="D1558" s="25">
        <v>43.19</v>
      </c>
      <c r="E1558" s="26">
        <v>67</v>
      </c>
      <c r="G1558" s="17">
        <f t="shared" si="86"/>
        <v>66.446153846153834</v>
      </c>
      <c r="H1558" s="27" t="str">
        <f t="shared" si="87"/>
        <v>POSITIVO</v>
      </c>
      <c r="J1558" s="17">
        <f t="shared" si="88"/>
        <v>61.7</v>
      </c>
    </row>
    <row r="1559" spans="2:10">
      <c r="B1559" t="s">
        <v>617</v>
      </c>
      <c r="C1559" s="24" t="s">
        <v>27</v>
      </c>
      <c r="D1559" s="25">
        <v>23.9</v>
      </c>
      <c r="E1559" s="26">
        <v>32.9</v>
      </c>
      <c r="G1559" s="17">
        <f t="shared" si="86"/>
        <v>36.769230769230766</v>
      </c>
      <c r="H1559" s="27" t="str">
        <f t="shared" si="87"/>
        <v>NEGATIVO</v>
      </c>
      <c r="J1559" s="17">
        <f t="shared" si="88"/>
        <v>34.142857142857146</v>
      </c>
    </row>
    <row r="1560" spans="2:10">
      <c r="B1560" t="s">
        <v>1661</v>
      </c>
      <c r="C1560" s="30" t="s">
        <v>27</v>
      </c>
      <c r="D1560" s="13">
        <v>22</v>
      </c>
      <c r="E1560" s="13">
        <v>33.9</v>
      </c>
      <c r="G1560" s="17">
        <f t="shared" si="86"/>
        <v>33.846153846153847</v>
      </c>
      <c r="H1560" s="27" t="str">
        <f t="shared" si="87"/>
        <v>POSITIVO</v>
      </c>
      <c r="J1560" s="17">
        <f t="shared" si="88"/>
        <v>31.428571428571431</v>
      </c>
    </row>
    <row r="1561" spans="2:10">
      <c r="B1561" t="s">
        <v>1384</v>
      </c>
      <c r="C1561" s="24" t="s">
        <v>27</v>
      </c>
      <c r="D1561" s="25">
        <v>89</v>
      </c>
      <c r="E1561" s="26">
        <v>140</v>
      </c>
      <c r="G1561" s="17">
        <f t="shared" si="86"/>
        <v>136.92307692307691</v>
      </c>
      <c r="H1561" s="27" t="str">
        <f t="shared" si="87"/>
        <v>POSITIVO</v>
      </c>
      <c r="J1561" s="17">
        <f t="shared" si="88"/>
        <v>127.14285714285715</v>
      </c>
    </row>
    <row r="1562" spans="2:10">
      <c r="B1562" t="s">
        <v>1411</v>
      </c>
      <c r="C1562" s="30" t="s">
        <v>27</v>
      </c>
      <c r="D1562" s="13">
        <v>62.35</v>
      </c>
      <c r="E1562" s="13">
        <v>98</v>
      </c>
      <c r="G1562" s="17">
        <f t="shared" si="86"/>
        <v>95.92307692307692</v>
      </c>
      <c r="H1562" s="27" t="str">
        <f t="shared" si="87"/>
        <v>POSITIVO</v>
      </c>
      <c r="J1562" s="17">
        <f t="shared" si="88"/>
        <v>89.071428571428584</v>
      </c>
    </row>
    <row r="1563" spans="2:10">
      <c r="B1563" t="s">
        <v>1069</v>
      </c>
      <c r="C1563" s="24" t="s">
        <v>27</v>
      </c>
      <c r="D1563" s="13">
        <v>17</v>
      </c>
      <c r="E1563" s="13">
        <v>27</v>
      </c>
      <c r="G1563" s="17">
        <f t="shared" si="86"/>
        <v>26.153846153846153</v>
      </c>
      <c r="H1563" s="27" t="str">
        <f t="shared" si="87"/>
        <v>POSITIVO</v>
      </c>
      <c r="J1563" s="17">
        <f t="shared" si="88"/>
        <v>24.285714285714288</v>
      </c>
    </row>
    <row r="1564" spans="2:10">
      <c r="B1564" t="s">
        <v>618</v>
      </c>
      <c r="C1564" s="24" t="s">
        <v>27</v>
      </c>
      <c r="D1564" s="25">
        <v>10.6</v>
      </c>
      <c r="E1564" s="26">
        <v>16</v>
      </c>
      <c r="G1564" s="17">
        <f t="shared" si="86"/>
        <v>16.307692307692307</v>
      </c>
      <c r="H1564" s="27" t="str">
        <f t="shared" si="87"/>
        <v>NEGATIVO</v>
      </c>
      <c r="J1564" s="17">
        <f t="shared" si="88"/>
        <v>15.142857142857144</v>
      </c>
    </row>
    <row r="1565" spans="2:10">
      <c r="B1565" t="s">
        <v>619</v>
      </c>
      <c r="C1565" s="24" t="s">
        <v>27</v>
      </c>
      <c r="D1565" s="25">
        <v>7.62</v>
      </c>
      <c r="E1565" s="26">
        <v>10.5</v>
      </c>
      <c r="G1565" s="17">
        <f t="shared" si="86"/>
        <v>11.723076923076922</v>
      </c>
      <c r="H1565" s="27" t="str">
        <f t="shared" si="87"/>
        <v>NEGATIVO</v>
      </c>
      <c r="J1565" s="17">
        <f t="shared" si="88"/>
        <v>10.885714285714286</v>
      </c>
    </row>
    <row r="1566" spans="2:10">
      <c r="B1566" t="s">
        <v>620</v>
      </c>
      <c r="C1566" s="24" t="s">
        <v>27</v>
      </c>
      <c r="D1566" s="25">
        <v>35.9</v>
      </c>
      <c r="E1566" s="26">
        <v>48</v>
      </c>
      <c r="G1566" s="17">
        <f t="shared" si="86"/>
        <v>55.230769230769226</v>
      </c>
      <c r="H1566" s="27" t="str">
        <f t="shared" si="87"/>
        <v>NEGATIVO</v>
      </c>
      <c r="J1566" s="17">
        <f t="shared" si="88"/>
        <v>51.285714285714285</v>
      </c>
    </row>
    <row r="1567" spans="2:10">
      <c r="B1567" t="s">
        <v>621</v>
      </c>
      <c r="C1567" s="24" t="s">
        <v>27</v>
      </c>
      <c r="D1567" s="25">
        <v>38.4</v>
      </c>
      <c r="E1567" s="26">
        <v>59.9</v>
      </c>
      <c r="G1567" s="17">
        <f t="shared" si="86"/>
        <v>59.076923076923073</v>
      </c>
      <c r="H1567" s="27" t="str">
        <f t="shared" si="87"/>
        <v>POSITIVO</v>
      </c>
      <c r="J1567" s="17">
        <f t="shared" si="88"/>
        <v>54.857142857142861</v>
      </c>
    </row>
    <row r="1568" spans="2:10">
      <c r="B1568" t="s">
        <v>1386</v>
      </c>
      <c r="C1568" s="30" t="s">
        <v>27</v>
      </c>
      <c r="D1568" s="13">
        <v>48.4</v>
      </c>
      <c r="E1568" s="13">
        <v>75</v>
      </c>
      <c r="G1568" s="17">
        <f t="shared" si="86"/>
        <v>74.461538461538453</v>
      </c>
      <c r="H1568" s="27" t="str">
        <f t="shared" si="87"/>
        <v>POSITIVO</v>
      </c>
      <c r="J1568" s="17">
        <f t="shared" si="88"/>
        <v>69.142857142857139</v>
      </c>
    </row>
    <row r="1569" spans="2:10">
      <c r="B1569" t="s">
        <v>622</v>
      </c>
      <c r="C1569" s="24" t="s">
        <v>27</v>
      </c>
      <c r="D1569" s="25">
        <v>36.9</v>
      </c>
      <c r="E1569" s="26">
        <v>56.9</v>
      </c>
      <c r="G1569" s="17">
        <f t="shared" si="86"/>
        <v>56.769230769230766</v>
      </c>
      <c r="H1569" s="27" t="str">
        <f t="shared" si="87"/>
        <v>POSITIVO</v>
      </c>
      <c r="J1569" s="17">
        <f t="shared" si="88"/>
        <v>52.714285714285715</v>
      </c>
    </row>
    <row r="1570" spans="2:10">
      <c r="B1570" t="s">
        <v>1387</v>
      </c>
      <c r="C1570" s="30" t="s">
        <v>27</v>
      </c>
      <c r="D1570" s="13">
        <v>65.5</v>
      </c>
      <c r="E1570" s="13">
        <v>95</v>
      </c>
      <c r="G1570" s="17">
        <f t="shared" si="86"/>
        <v>100.76923076923076</v>
      </c>
      <c r="H1570" s="27" t="str">
        <f t="shared" si="87"/>
        <v>NEGATIVO</v>
      </c>
      <c r="J1570" s="17">
        <f t="shared" si="88"/>
        <v>93.571428571428584</v>
      </c>
    </row>
    <row r="1571" spans="2:10">
      <c r="B1571" t="s">
        <v>1877</v>
      </c>
      <c r="C1571" s="30" t="s">
        <v>27</v>
      </c>
      <c r="D1571" s="13">
        <v>0.76</v>
      </c>
      <c r="E1571" s="13">
        <v>1.5</v>
      </c>
      <c r="G1571" s="17">
        <f t="shared" si="86"/>
        <v>1.1692307692307693</v>
      </c>
      <c r="H1571" s="27" t="str">
        <f t="shared" si="87"/>
        <v>POSITIVO</v>
      </c>
      <c r="J1571" s="17">
        <f t="shared" si="88"/>
        <v>1.0857142857142859</v>
      </c>
    </row>
    <row r="1572" spans="2:10">
      <c r="B1572" t="s">
        <v>623</v>
      </c>
      <c r="C1572" s="24" t="s">
        <v>27</v>
      </c>
      <c r="D1572" s="25">
        <v>33.299999999999997</v>
      </c>
      <c r="E1572" s="26">
        <v>53</v>
      </c>
      <c r="G1572" s="17">
        <f t="shared" si="86"/>
        <v>51.230769230769226</v>
      </c>
      <c r="H1572" s="27" t="str">
        <f t="shared" si="87"/>
        <v>POSITIVO</v>
      </c>
      <c r="J1572" s="17">
        <f t="shared" si="88"/>
        <v>47.571428571428569</v>
      </c>
    </row>
    <row r="1573" spans="2:10">
      <c r="B1573" t="s">
        <v>624</v>
      </c>
      <c r="C1573" s="24" t="s">
        <v>27</v>
      </c>
      <c r="D1573" s="25">
        <v>34.4</v>
      </c>
      <c r="E1573" s="26">
        <v>53</v>
      </c>
      <c r="G1573" s="17">
        <f t="shared" si="86"/>
        <v>52.92307692307692</v>
      </c>
      <c r="H1573" s="27" t="str">
        <f t="shared" si="87"/>
        <v>POSITIVO</v>
      </c>
      <c r="J1573" s="17">
        <f t="shared" si="88"/>
        <v>49.142857142857146</v>
      </c>
    </row>
    <row r="1574" spans="2:10">
      <c r="B1574" t="s">
        <v>625</v>
      </c>
      <c r="C1574" s="24" t="s">
        <v>27</v>
      </c>
      <c r="D1574" s="25">
        <v>34</v>
      </c>
      <c r="E1574" s="26">
        <v>53</v>
      </c>
      <c r="G1574" s="17">
        <f t="shared" si="86"/>
        <v>52.307692307692307</v>
      </c>
      <c r="H1574" s="27" t="str">
        <f t="shared" si="87"/>
        <v>POSITIVO</v>
      </c>
      <c r="J1574" s="17">
        <f t="shared" si="88"/>
        <v>48.571428571428577</v>
      </c>
    </row>
    <row r="1575" spans="2:10">
      <c r="B1575" t="s">
        <v>626</v>
      </c>
      <c r="C1575" s="24" t="s">
        <v>27</v>
      </c>
      <c r="D1575" s="25">
        <v>34.200000000000003</v>
      </c>
      <c r="E1575" s="26">
        <v>53</v>
      </c>
      <c r="G1575" s="17">
        <f t="shared" si="86"/>
        <v>52.61538461538462</v>
      </c>
      <c r="H1575" s="27" t="str">
        <f t="shared" si="87"/>
        <v>POSITIVO</v>
      </c>
      <c r="J1575" s="17">
        <f t="shared" si="88"/>
        <v>48.857142857142861</v>
      </c>
    </row>
    <row r="1576" spans="2:10">
      <c r="B1576" t="s">
        <v>627</v>
      </c>
      <c r="C1576" s="24" t="s">
        <v>27</v>
      </c>
      <c r="D1576" s="25">
        <v>34.200000000000003</v>
      </c>
      <c r="E1576" s="26">
        <v>53</v>
      </c>
      <c r="G1576" s="17">
        <f t="shared" si="86"/>
        <v>52.61538461538462</v>
      </c>
      <c r="H1576" s="27" t="str">
        <f t="shared" si="87"/>
        <v>POSITIVO</v>
      </c>
      <c r="J1576" s="17">
        <f t="shared" si="88"/>
        <v>48.857142857142861</v>
      </c>
    </row>
    <row r="1577" spans="2:10">
      <c r="B1577" t="s">
        <v>628</v>
      </c>
      <c r="C1577" s="24" t="s">
        <v>27</v>
      </c>
      <c r="D1577" s="25">
        <v>34.200000000000003</v>
      </c>
      <c r="E1577" s="26">
        <v>53</v>
      </c>
      <c r="G1577" s="17">
        <f t="shared" si="86"/>
        <v>52.61538461538462</v>
      </c>
      <c r="H1577" s="27" t="str">
        <f t="shared" si="87"/>
        <v>POSITIVO</v>
      </c>
      <c r="J1577" s="17">
        <f t="shared" si="88"/>
        <v>48.857142857142861</v>
      </c>
    </row>
    <row r="1578" spans="2:10">
      <c r="B1578" t="s">
        <v>629</v>
      </c>
      <c r="C1578" s="24" t="s">
        <v>27</v>
      </c>
      <c r="D1578" s="25">
        <v>35.200000000000003</v>
      </c>
      <c r="E1578" s="26">
        <v>56</v>
      </c>
      <c r="G1578" s="17">
        <f t="shared" si="86"/>
        <v>54.153846153846153</v>
      </c>
      <c r="H1578" s="27" t="str">
        <f t="shared" si="87"/>
        <v>POSITIVO</v>
      </c>
      <c r="J1578" s="17">
        <f t="shared" si="88"/>
        <v>50.285714285714292</v>
      </c>
    </row>
    <row r="1579" spans="2:10">
      <c r="B1579" t="s">
        <v>630</v>
      </c>
      <c r="C1579" s="24" t="s">
        <v>27</v>
      </c>
      <c r="D1579" s="25">
        <v>35.5</v>
      </c>
      <c r="E1579" s="26">
        <v>56</v>
      </c>
      <c r="G1579" s="17">
        <f t="shared" si="86"/>
        <v>54.615384615384613</v>
      </c>
      <c r="H1579" s="27" t="str">
        <f t="shared" si="87"/>
        <v>POSITIVO</v>
      </c>
      <c r="J1579" s="17">
        <f t="shared" si="88"/>
        <v>50.714285714285715</v>
      </c>
    </row>
    <row r="1580" spans="2:10">
      <c r="B1580" t="s">
        <v>631</v>
      </c>
      <c r="C1580" s="24" t="s">
        <v>27</v>
      </c>
      <c r="D1580" s="25">
        <v>39.799999999999997</v>
      </c>
      <c r="E1580" s="26">
        <v>62</v>
      </c>
      <c r="G1580" s="17">
        <f t="shared" si="86"/>
        <v>61.230769230769226</v>
      </c>
      <c r="H1580" s="27" t="str">
        <f t="shared" si="87"/>
        <v>POSITIVO</v>
      </c>
      <c r="J1580" s="17">
        <f t="shared" si="88"/>
        <v>56.857142857142854</v>
      </c>
    </row>
    <row r="1581" spans="2:10">
      <c r="B1581" t="s">
        <v>632</v>
      </c>
      <c r="C1581" s="24" t="s">
        <v>27</v>
      </c>
      <c r="D1581" s="25">
        <v>40.200000000000003</v>
      </c>
      <c r="E1581" s="26">
        <v>62</v>
      </c>
      <c r="G1581" s="17">
        <f t="shared" si="86"/>
        <v>61.846153846153847</v>
      </c>
      <c r="H1581" s="27" t="str">
        <f t="shared" si="87"/>
        <v>POSITIVO</v>
      </c>
      <c r="J1581" s="17">
        <f t="shared" si="88"/>
        <v>57.428571428571438</v>
      </c>
    </row>
    <row r="1582" spans="2:10">
      <c r="B1582" t="s">
        <v>633</v>
      </c>
      <c r="C1582" s="24" t="s">
        <v>27</v>
      </c>
      <c r="D1582" s="25">
        <v>37</v>
      </c>
      <c r="E1582" s="26">
        <v>57</v>
      </c>
      <c r="G1582" s="17">
        <f t="shared" si="86"/>
        <v>56.92307692307692</v>
      </c>
      <c r="H1582" s="27" t="str">
        <f t="shared" si="87"/>
        <v>POSITIVO</v>
      </c>
      <c r="J1582" s="17">
        <f t="shared" si="88"/>
        <v>52.857142857142861</v>
      </c>
    </row>
    <row r="1583" spans="2:10">
      <c r="B1583" t="s">
        <v>634</v>
      </c>
      <c r="C1583" s="24" t="s">
        <v>27</v>
      </c>
      <c r="D1583" s="25">
        <v>40</v>
      </c>
      <c r="E1583" s="26">
        <v>61</v>
      </c>
      <c r="G1583" s="17">
        <f t="shared" si="86"/>
        <v>61.538461538461533</v>
      </c>
      <c r="H1583" s="27" t="str">
        <f t="shared" si="87"/>
        <v>NEGATIVO</v>
      </c>
      <c r="J1583" s="17">
        <f t="shared" si="88"/>
        <v>57.142857142857146</v>
      </c>
    </row>
    <row r="1584" spans="2:10">
      <c r="B1584" t="s">
        <v>635</v>
      </c>
      <c r="C1584" s="24" t="s">
        <v>27</v>
      </c>
      <c r="D1584" s="25">
        <v>31.84</v>
      </c>
      <c r="E1584" s="26">
        <v>49</v>
      </c>
      <c r="G1584" s="17">
        <f t="shared" si="86"/>
        <v>48.984615384615381</v>
      </c>
      <c r="H1584" s="27" t="str">
        <f t="shared" si="87"/>
        <v>POSITIVO</v>
      </c>
      <c r="J1584" s="17">
        <f t="shared" si="88"/>
        <v>45.485714285714288</v>
      </c>
    </row>
    <row r="1585" spans="2:10">
      <c r="B1585" t="s">
        <v>636</v>
      </c>
      <c r="C1585" s="24" t="s">
        <v>27</v>
      </c>
      <c r="D1585" s="25">
        <v>34.799999999999997</v>
      </c>
      <c r="E1585" s="26">
        <v>37</v>
      </c>
      <c r="G1585" s="17">
        <f t="shared" si="86"/>
        <v>53.538461538461533</v>
      </c>
      <c r="H1585" s="27" t="str">
        <f t="shared" si="87"/>
        <v>NEGATIVO</v>
      </c>
      <c r="J1585" s="17">
        <f t="shared" si="88"/>
        <v>49.714285714285715</v>
      </c>
    </row>
    <row r="1586" spans="2:10">
      <c r="B1586" t="s">
        <v>637</v>
      </c>
      <c r="C1586" s="24" t="s">
        <v>27</v>
      </c>
      <c r="D1586" s="25">
        <v>35.6</v>
      </c>
      <c r="E1586" s="26">
        <v>37</v>
      </c>
      <c r="G1586" s="17">
        <f t="shared" si="86"/>
        <v>54.769230769230766</v>
      </c>
      <c r="H1586" s="27" t="str">
        <f t="shared" si="87"/>
        <v>NEGATIVO</v>
      </c>
      <c r="J1586" s="17">
        <f t="shared" si="88"/>
        <v>50.857142857142861</v>
      </c>
    </row>
    <row r="1587" spans="2:10">
      <c r="B1587" t="s">
        <v>638</v>
      </c>
      <c r="C1587" s="24" t="s">
        <v>27</v>
      </c>
      <c r="D1587" s="25">
        <v>46.7</v>
      </c>
      <c r="E1587" s="26">
        <v>67</v>
      </c>
      <c r="G1587" s="17">
        <f t="shared" si="86"/>
        <v>71.846153846153854</v>
      </c>
      <c r="H1587" s="27" t="str">
        <f t="shared" si="87"/>
        <v>NEGATIVO</v>
      </c>
      <c r="J1587" s="17">
        <f t="shared" si="88"/>
        <v>66.714285714285722</v>
      </c>
    </row>
    <row r="1588" spans="2:10">
      <c r="B1588" t="s">
        <v>848</v>
      </c>
      <c r="C1588" s="24" t="s">
        <v>27</v>
      </c>
      <c r="D1588" s="25">
        <v>31.7</v>
      </c>
      <c r="E1588" s="26">
        <v>49.8</v>
      </c>
      <c r="G1588" s="17">
        <f t="shared" ref="G1588:G1646" si="89">(D1588/65%)</f>
        <v>48.769230769230766</v>
      </c>
      <c r="H1588" s="27" t="str">
        <f t="shared" ref="H1588:H1646" si="90">IF(E1588&gt;=G1588,"POSITIVO","NEGATIVO")</f>
        <v>POSITIVO</v>
      </c>
      <c r="J1588" s="17">
        <f t="shared" ref="J1588:J1646" si="91">D1588/70%</f>
        <v>45.285714285714285</v>
      </c>
    </row>
    <row r="1589" spans="2:10">
      <c r="B1589" t="s">
        <v>849</v>
      </c>
      <c r="C1589" s="30" t="s">
        <v>27</v>
      </c>
      <c r="D1589" s="13">
        <v>29.75</v>
      </c>
      <c r="E1589" s="13">
        <v>47</v>
      </c>
      <c r="G1589" s="17">
        <f t="shared" si="89"/>
        <v>45.769230769230766</v>
      </c>
      <c r="H1589" s="27" t="str">
        <f t="shared" si="90"/>
        <v>POSITIVO</v>
      </c>
      <c r="J1589" s="17">
        <f t="shared" si="91"/>
        <v>42.5</v>
      </c>
    </row>
    <row r="1590" spans="2:10">
      <c r="B1590" t="s">
        <v>1934</v>
      </c>
      <c r="C1590" s="30" t="s">
        <v>27</v>
      </c>
      <c r="D1590" s="13">
        <v>22.6</v>
      </c>
      <c r="E1590" s="13">
        <v>37.6</v>
      </c>
      <c r="G1590" s="17">
        <f t="shared" si="89"/>
        <v>34.769230769230774</v>
      </c>
      <c r="H1590" s="27" t="str">
        <f t="shared" si="90"/>
        <v>POSITIVO</v>
      </c>
      <c r="J1590" s="17">
        <f t="shared" si="91"/>
        <v>32.285714285714292</v>
      </c>
    </row>
    <row r="1591" spans="2:10">
      <c r="B1591" t="s">
        <v>639</v>
      </c>
      <c r="C1591" s="24" t="s">
        <v>27</v>
      </c>
      <c r="D1591" s="25">
        <v>17.98</v>
      </c>
      <c r="E1591" s="26">
        <v>28</v>
      </c>
      <c r="G1591" s="17">
        <f t="shared" si="89"/>
        <v>27.661538461538463</v>
      </c>
      <c r="H1591" s="27" t="str">
        <f t="shared" si="90"/>
        <v>POSITIVO</v>
      </c>
      <c r="J1591" s="17">
        <f t="shared" si="91"/>
        <v>25.685714285714287</v>
      </c>
    </row>
    <row r="1592" spans="2:10">
      <c r="B1592" t="s">
        <v>1700</v>
      </c>
      <c r="C1592" s="30" t="s">
        <v>27</v>
      </c>
      <c r="D1592" s="13">
        <v>9.5299999999999994</v>
      </c>
      <c r="E1592" s="13">
        <v>17.899999999999999</v>
      </c>
      <c r="G1592" s="17">
        <f t="shared" si="89"/>
        <v>14.661538461538459</v>
      </c>
      <c r="H1592" s="27" t="str">
        <f t="shared" si="90"/>
        <v>POSITIVO</v>
      </c>
      <c r="J1592" s="17">
        <f t="shared" si="91"/>
        <v>13.614285714285714</v>
      </c>
    </row>
    <row r="1593" spans="2:10">
      <c r="B1593" t="s">
        <v>971</v>
      </c>
      <c r="C1593" s="24" t="s">
        <v>27</v>
      </c>
      <c r="D1593" s="25">
        <v>8.83</v>
      </c>
      <c r="E1593" s="25">
        <v>15</v>
      </c>
      <c r="G1593" s="17">
        <f t="shared" si="89"/>
        <v>13.584615384615384</v>
      </c>
      <c r="H1593" s="27" t="str">
        <f t="shared" si="90"/>
        <v>POSITIVO</v>
      </c>
      <c r="J1593" s="17">
        <f t="shared" si="91"/>
        <v>12.614285714285716</v>
      </c>
    </row>
    <row r="1594" spans="2:10">
      <c r="B1594" t="s">
        <v>1900</v>
      </c>
      <c r="C1594" s="30" t="s">
        <v>27</v>
      </c>
      <c r="D1594" s="13">
        <v>15.75</v>
      </c>
      <c r="E1594" s="13">
        <v>25</v>
      </c>
      <c r="G1594" s="17">
        <f t="shared" si="89"/>
        <v>24.23076923076923</v>
      </c>
      <c r="H1594" s="27" t="str">
        <f t="shared" si="90"/>
        <v>POSITIVO</v>
      </c>
      <c r="J1594" s="17">
        <f t="shared" si="91"/>
        <v>22.5</v>
      </c>
    </row>
    <row r="1595" spans="2:10">
      <c r="B1595" t="s">
        <v>1516</v>
      </c>
      <c r="C1595" s="30" t="s">
        <v>27</v>
      </c>
      <c r="D1595" s="13">
        <v>45.44</v>
      </c>
      <c r="E1595" s="13">
        <v>72.900000000000006</v>
      </c>
      <c r="G1595" s="17">
        <f t="shared" si="89"/>
        <v>69.907692307692301</v>
      </c>
      <c r="H1595" s="27" t="str">
        <f t="shared" si="90"/>
        <v>POSITIVO</v>
      </c>
      <c r="J1595" s="17">
        <f t="shared" si="91"/>
        <v>64.914285714285711</v>
      </c>
    </row>
    <row r="1596" spans="2:10">
      <c r="B1596" t="s">
        <v>1362</v>
      </c>
      <c r="C1596" s="30" t="s">
        <v>27</v>
      </c>
      <c r="D1596" s="13">
        <v>10.51</v>
      </c>
      <c r="E1596" s="13">
        <v>18</v>
      </c>
      <c r="G1596" s="17">
        <f t="shared" si="89"/>
        <v>16.169230769230769</v>
      </c>
      <c r="H1596" s="27" t="str">
        <f t="shared" si="90"/>
        <v>POSITIVO</v>
      </c>
      <c r="J1596" s="17">
        <f t="shared" si="91"/>
        <v>15.014285714285714</v>
      </c>
    </row>
    <row r="1597" spans="2:10">
      <c r="B1597" t="s">
        <v>1363</v>
      </c>
      <c r="C1597" s="30" t="s">
        <v>27</v>
      </c>
      <c r="D1597" s="13">
        <v>14.59</v>
      </c>
      <c r="E1597" s="13">
        <v>23</v>
      </c>
      <c r="G1597" s="17">
        <f t="shared" si="89"/>
        <v>22.446153846153845</v>
      </c>
      <c r="H1597" s="27" t="str">
        <f t="shared" si="90"/>
        <v>POSITIVO</v>
      </c>
      <c r="J1597" s="17">
        <f t="shared" si="91"/>
        <v>20.842857142857145</v>
      </c>
    </row>
    <row r="1598" spans="2:10">
      <c r="B1598" t="s">
        <v>976</v>
      </c>
      <c r="C1598" s="24" t="s">
        <v>27</v>
      </c>
      <c r="D1598" s="25">
        <v>0.33</v>
      </c>
      <c r="E1598" s="26">
        <v>0.5</v>
      </c>
      <c r="G1598" s="17">
        <f t="shared" si="89"/>
        <v>0.50769230769230766</v>
      </c>
      <c r="H1598" s="27" t="str">
        <f t="shared" si="90"/>
        <v>NEGATIVO</v>
      </c>
      <c r="J1598" s="17">
        <f t="shared" si="91"/>
        <v>0.47142857142857147</v>
      </c>
    </row>
    <row r="1599" spans="2:10">
      <c r="B1599" t="s">
        <v>975</v>
      </c>
      <c r="C1599" s="24" t="s">
        <v>27</v>
      </c>
      <c r="D1599" s="25">
        <v>0.59</v>
      </c>
      <c r="E1599" s="26">
        <v>0.9</v>
      </c>
      <c r="G1599" s="17">
        <f t="shared" si="89"/>
        <v>0.90769230769230758</v>
      </c>
      <c r="H1599" s="27" t="str">
        <f t="shared" si="90"/>
        <v>NEGATIVO</v>
      </c>
      <c r="J1599" s="17">
        <f t="shared" si="91"/>
        <v>0.84285714285714286</v>
      </c>
    </row>
    <row r="1600" spans="2:10">
      <c r="B1600" t="s">
        <v>1398</v>
      </c>
      <c r="C1600" s="30" t="s">
        <v>27</v>
      </c>
      <c r="D1600" s="13">
        <v>0.68</v>
      </c>
      <c r="E1600" s="13">
        <v>1.1000000000000001</v>
      </c>
      <c r="G1600" s="17">
        <f t="shared" si="89"/>
        <v>1.0461538461538462</v>
      </c>
      <c r="H1600" s="27" t="str">
        <f t="shared" si="90"/>
        <v>POSITIVO</v>
      </c>
      <c r="J1600" s="17">
        <f t="shared" si="91"/>
        <v>0.97142857142857153</v>
      </c>
    </row>
    <row r="1601" spans="1:10">
      <c r="B1601" t="s">
        <v>640</v>
      </c>
      <c r="C1601" s="24" t="s">
        <v>27</v>
      </c>
      <c r="D1601" s="25">
        <v>20.13</v>
      </c>
      <c r="E1601" s="26">
        <v>27.9</v>
      </c>
      <c r="G1601" s="17">
        <f t="shared" si="89"/>
        <v>30.969230769230766</v>
      </c>
      <c r="H1601" s="27" t="str">
        <f t="shared" si="90"/>
        <v>NEGATIVO</v>
      </c>
      <c r="J1601" s="17">
        <f t="shared" si="91"/>
        <v>28.757142857142856</v>
      </c>
    </row>
    <row r="1602" spans="1:10">
      <c r="B1602" t="s">
        <v>812</v>
      </c>
      <c r="C1602" s="24" t="s">
        <v>27</v>
      </c>
      <c r="D1602" s="25">
        <v>21.99</v>
      </c>
      <c r="E1602" s="26">
        <v>35.799999999999997</v>
      </c>
      <c r="G1602" s="17">
        <f t="shared" si="89"/>
        <v>33.830769230769228</v>
      </c>
      <c r="H1602" s="27" t="str">
        <f t="shared" si="90"/>
        <v>POSITIVO</v>
      </c>
      <c r="J1602" s="17">
        <f t="shared" si="91"/>
        <v>31.414285714285715</v>
      </c>
    </row>
    <row r="1603" spans="1:10">
      <c r="B1603" t="s">
        <v>1808</v>
      </c>
      <c r="C1603" s="30" t="s">
        <v>27</v>
      </c>
      <c r="D1603" s="13">
        <v>499.02</v>
      </c>
      <c r="E1603" s="13">
        <v>725</v>
      </c>
      <c r="G1603" s="17">
        <f t="shared" si="89"/>
        <v>767.72307692307686</v>
      </c>
      <c r="H1603" s="27" t="str">
        <f t="shared" si="90"/>
        <v>NEGATIVO</v>
      </c>
      <c r="J1603" s="17">
        <f t="shared" si="91"/>
        <v>712.88571428571436</v>
      </c>
    </row>
    <row r="1604" spans="1:10">
      <c r="B1604" t="s">
        <v>1810</v>
      </c>
      <c r="C1604" s="30" t="s">
        <v>27</v>
      </c>
      <c r="D1604" s="13">
        <v>398.7</v>
      </c>
      <c r="E1604" s="13">
        <v>615</v>
      </c>
      <c r="G1604" s="17">
        <f t="shared" si="89"/>
        <v>613.38461538461536</v>
      </c>
      <c r="H1604" s="27" t="str">
        <f t="shared" si="90"/>
        <v>POSITIVO</v>
      </c>
      <c r="J1604" s="17">
        <f t="shared" si="91"/>
        <v>569.57142857142856</v>
      </c>
    </row>
    <row r="1605" spans="1:10">
      <c r="B1605" t="s">
        <v>1809</v>
      </c>
      <c r="C1605" s="30" t="s">
        <v>27</v>
      </c>
      <c r="D1605" s="13">
        <v>461.42</v>
      </c>
      <c r="E1605" s="13">
        <v>715</v>
      </c>
      <c r="G1605" s="17">
        <f t="shared" si="89"/>
        <v>709.87692307692305</v>
      </c>
      <c r="H1605" s="27" t="str">
        <f t="shared" si="90"/>
        <v>POSITIVO</v>
      </c>
      <c r="J1605" s="17">
        <f t="shared" si="91"/>
        <v>659.17142857142869</v>
      </c>
    </row>
    <row r="1606" spans="1:10">
      <c r="B1606" t="s">
        <v>1811</v>
      </c>
      <c r="C1606" s="30" t="s">
        <v>27</v>
      </c>
      <c r="D1606" s="13">
        <v>505.04</v>
      </c>
      <c r="E1606" s="13">
        <v>755</v>
      </c>
      <c r="G1606" s="17">
        <f t="shared" si="89"/>
        <v>776.98461538461538</v>
      </c>
      <c r="H1606" s="27" t="str">
        <f t="shared" si="90"/>
        <v>NEGATIVO</v>
      </c>
      <c r="J1606" s="17">
        <f t="shared" si="91"/>
        <v>721.48571428571438</v>
      </c>
    </row>
    <row r="1607" spans="1:10">
      <c r="B1607" t="s">
        <v>1617</v>
      </c>
      <c r="C1607" s="24" t="s">
        <v>27</v>
      </c>
      <c r="D1607" s="25">
        <v>4.9800000000000004</v>
      </c>
      <c r="E1607" s="26">
        <v>8</v>
      </c>
      <c r="G1607" s="17">
        <f t="shared" si="89"/>
        <v>7.6615384615384619</v>
      </c>
      <c r="H1607" s="27" t="str">
        <f t="shared" si="90"/>
        <v>POSITIVO</v>
      </c>
      <c r="J1607" s="17">
        <f t="shared" si="91"/>
        <v>7.1142857142857157</v>
      </c>
    </row>
    <row r="1608" spans="1:10">
      <c r="B1608" t="s">
        <v>1081</v>
      </c>
      <c r="C1608" s="24" t="s">
        <v>27</v>
      </c>
      <c r="D1608" s="25">
        <v>28.8</v>
      </c>
      <c r="E1608" s="26">
        <v>48.9</v>
      </c>
      <c r="G1608" s="17">
        <f t="shared" si="89"/>
        <v>44.307692307692307</v>
      </c>
      <c r="H1608" s="27" t="str">
        <f t="shared" si="90"/>
        <v>POSITIVO</v>
      </c>
      <c r="J1608" s="17">
        <f t="shared" si="91"/>
        <v>41.142857142857146</v>
      </c>
    </row>
    <row r="1609" spans="1:10">
      <c r="B1609" t="s">
        <v>1716</v>
      </c>
      <c r="C1609" s="30" t="s">
        <v>27</v>
      </c>
      <c r="D1609" s="13">
        <v>10.5</v>
      </c>
      <c r="E1609" s="13">
        <v>16.5</v>
      </c>
      <c r="G1609" s="17">
        <f t="shared" si="89"/>
        <v>16.153846153846153</v>
      </c>
      <c r="H1609" s="27" t="str">
        <f t="shared" si="90"/>
        <v>POSITIVO</v>
      </c>
      <c r="J1609" s="17">
        <f t="shared" si="91"/>
        <v>15.000000000000002</v>
      </c>
    </row>
    <row r="1610" spans="1:10">
      <c r="B1610" t="s">
        <v>1701</v>
      </c>
      <c r="C1610" s="30" t="s">
        <v>27</v>
      </c>
      <c r="D1610" s="13">
        <v>18.23</v>
      </c>
      <c r="E1610" s="13">
        <v>28.5</v>
      </c>
      <c r="G1610" s="17">
        <f t="shared" si="89"/>
        <v>28.046153846153846</v>
      </c>
      <c r="H1610" s="27" t="str">
        <f t="shared" si="90"/>
        <v>POSITIVO</v>
      </c>
      <c r="J1610" s="17">
        <f t="shared" si="91"/>
        <v>26.042857142857144</v>
      </c>
    </row>
    <row r="1611" spans="1:10">
      <c r="B1611" t="s">
        <v>641</v>
      </c>
      <c r="C1611" s="24" t="s">
        <v>27</v>
      </c>
      <c r="D1611" s="25">
        <v>38</v>
      </c>
      <c r="E1611" s="26">
        <v>58.9</v>
      </c>
      <c r="G1611" s="17">
        <f t="shared" si="89"/>
        <v>58.46153846153846</v>
      </c>
      <c r="H1611" s="27" t="str">
        <f t="shared" si="90"/>
        <v>POSITIVO</v>
      </c>
      <c r="J1611" s="17">
        <f t="shared" si="91"/>
        <v>54.285714285714292</v>
      </c>
    </row>
    <row r="1612" spans="1:10">
      <c r="A1612" s="61" t="s">
        <v>2051</v>
      </c>
      <c r="B1612" t="s">
        <v>1252</v>
      </c>
      <c r="C1612" s="30" t="s">
        <v>27</v>
      </c>
      <c r="D1612" s="13">
        <v>11.99</v>
      </c>
      <c r="E1612" s="13">
        <v>20</v>
      </c>
      <c r="G1612" s="17">
        <f t="shared" si="89"/>
        <v>18.446153846153845</v>
      </c>
      <c r="H1612" s="27" t="str">
        <f t="shared" si="90"/>
        <v>POSITIVO</v>
      </c>
      <c r="J1612" s="17">
        <f t="shared" si="91"/>
        <v>17.12857142857143</v>
      </c>
    </row>
    <row r="1613" spans="1:10">
      <c r="B1613" t="s">
        <v>642</v>
      </c>
      <c r="C1613" s="24" t="s">
        <v>27</v>
      </c>
      <c r="D1613" s="25">
        <v>9.5</v>
      </c>
      <c r="E1613" s="26">
        <v>15.5</v>
      </c>
      <c r="G1613" s="17">
        <f t="shared" si="89"/>
        <v>14.615384615384615</v>
      </c>
      <c r="H1613" s="27" t="str">
        <f t="shared" si="90"/>
        <v>POSITIVO</v>
      </c>
      <c r="J1613" s="17">
        <f t="shared" si="91"/>
        <v>13.571428571428573</v>
      </c>
    </row>
    <row r="1614" spans="1:10">
      <c r="B1614" t="s">
        <v>643</v>
      </c>
      <c r="C1614" s="24" t="s">
        <v>27</v>
      </c>
      <c r="D1614" s="25">
        <v>39.75</v>
      </c>
      <c r="E1614" s="26">
        <v>62</v>
      </c>
      <c r="G1614" s="17">
        <f t="shared" si="89"/>
        <v>61.153846153846153</v>
      </c>
      <c r="H1614" s="27" t="str">
        <f t="shared" si="90"/>
        <v>POSITIVO</v>
      </c>
      <c r="J1614" s="17">
        <f t="shared" si="91"/>
        <v>56.785714285714292</v>
      </c>
    </row>
    <row r="1615" spans="1:10">
      <c r="B1615" t="s">
        <v>644</v>
      </c>
      <c r="C1615" s="24" t="s">
        <v>27</v>
      </c>
      <c r="D1615" s="25">
        <v>32.5</v>
      </c>
      <c r="E1615" s="26">
        <v>50</v>
      </c>
      <c r="G1615" s="17">
        <f t="shared" si="89"/>
        <v>50</v>
      </c>
      <c r="H1615" s="27" t="str">
        <f t="shared" si="90"/>
        <v>POSITIVO</v>
      </c>
      <c r="J1615" s="17">
        <f t="shared" si="91"/>
        <v>46.428571428571431</v>
      </c>
    </row>
    <row r="1616" spans="1:10">
      <c r="B1616" t="s">
        <v>645</v>
      </c>
      <c r="C1616" s="24" t="s">
        <v>27</v>
      </c>
      <c r="D1616" s="25">
        <v>44</v>
      </c>
      <c r="E1616" s="26">
        <v>61.3</v>
      </c>
      <c r="G1616" s="17">
        <f t="shared" si="89"/>
        <v>67.692307692307693</v>
      </c>
      <c r="H1616" s="27" t="str">
        <f t="shared" si="90"/>
        <v>NEGATIVO</v>
      </c>
      <c r="J1616" s="17">
        <f t="shared" si="91"/>
        <v>62.857142857142861</v>
      </c>
    </row>
    <row r="1617" spans="1:10">
      <c r="B1617" t="s">
        <v>646</v>
      </c>
      <c r="C1617" s="24" t="s">
        <v>27</v>
      </c>
      <c r="D1617" s="25">
        <v>60</v>
      </c>
      <c r="E1617" s="26">
        <v>81.900000000000006</v>
      </c>
      <c r="G1617" s="17">
        <f t="shared" si="89"/>
        <v>92.307692307692307</v>
      </c>
      <c r="H1617" s="27" t="str">
        <f t="shared" si="90"/>
        <v>NEGATIVO</v>
      </c>
      <c r="J1617" s="17">
        <f t="shared" si="91"/>
        <v>85.714285714285722</v>
      </c>
    </row>
    <row r="1618" spans="1:10">
      <c r="A1618" s="61" t="s">
        <v>2479</v>
      </c>
      <c r="B1618" t="s">
        <v>2478</v>
      </c>
      <c r="C1618" s="24" t="s">
        <v>27</v>
      </c>
      <c r="D1618" s="25">
        <v>8.2899999999999991</v>
      </c>
      <c r="E1618" s="26">
        <v>12.8</v>
      </c>
      <c r="G1618" s="17">
        <f t="shared" si="89"/>
        <v>12.753846153846153</v>
      </c>
      <c r="H1618" s="27" t="str">
        <f t="shared" si="90"/>
        <v>POSITIVO</v>
      </c>
      <c r="J1618" s="17">
        <f t="shared" si="91"/>
        <v>11.842857142857142</v>
      </c>
    </row>
    <row r="1619" spans="1:10">
      <c r="A1619" s="61" t="s">
        <v>2481</v>
      </c>
      <c r="B1619" t="s">
        <v>2480</v>
      </c>
      <c r="C1619" s="30" t="s">
        <v>27</v>
      </c>
      <c r="D1619" s="13">
        <v>8.75</v>
      </c>
      <c r="E1619" s="13">
        <v>13.5</v>
      </c>
      <c r="G1619" s="17">
        <f t="shared" si="89"/>
        <v>13.461538461538462</v>
      </c>
      <c r="H1619" s="27" t="str">
        <f t="shared" si="90"/>
        <v>POSITIVO</v>
      </c>
      <c r="J1619" s="17">
        <f t="shared" si="91"/>
        <v>12.5</v>
      </c>
    </row>
    <row r="1620" spans="1:10">
      <c r="B1620" t="s">
        <v>1524</v>
      </c>
      <c r="C1620" s="30" t="s">
        <v>27</v>
      </c>
      <c r="D1620" s="13">
        <v>23</v>
      </c>
      <c r="E1620" s="13">
        <v>38</v>
      </c>
      <c r="G1620" s="17">
        <f t="shared" si="89"/>
        <v>35.384615384615387</v>
      </c>
      <c r="H1620" s="27" t="str">
        <f t="shared" si="90"/>
        <v>POSITIVO</v>
      </c>
      <c r="J1620" s="17">
        <f t="shared" si="91"/>
        <v>32.857142857142861</v>
      </c>
    </row>
    <row r="1621" spans="1:10">
      <c r="B1621" t="s">
        <v>1130</v>
      </c>
      <c r="C1621" s="30" t="s">
        <v>27</v>
      </c>
      <c r="D1621" s="13">
        <v>49.99</v>
      </c>
      <c r="E1621" s="13">
        <v>72</v>
      </c>
      <c r="G1621" s="17">
        <f t="shared" si="89"/>
        <v>76.907692307692315</v>
      </c>
      <c r="H1621" s="27" t="str">
        <f t="shared" si="90"/>
        <v>NEGATIVO</v>
      </c>
      <c r="J1621" s="17">
        <f t="shared" si="91"/>
        <v>71.414285714285725</v>
      </c>
    </row>
    <row r="1622" spans="1:10">
      <c r="B1622" t="s">
        <v>1131</v>
      </c>
      <c r="C1622" s="30" t="s">
        <v>27</v>
      </c>
      <c r="D1622" s="13">
        <v>21.06</v>
      </c>
      <c r="E1622" s="13">
        <v>32</v>
      </c>
      <c r="G1622" s="17">
        <f t="shared" si="89"/>
        <v>32.4</v>
      </c>
      <c r="H1622" s="27" t="str">
        <f t="shared" si="90"/>
        <v>NEGATIVO</v>
      </c>
      <c r="J1622" s="17">
        <f t="shared" si="91"/>
        <v>30.085714285714285</v>
      </c>
    </row>
    <row r="1623" spans="1:10">
      <c r="B1623" t="s">
        <v>647</v>
      </c>
      <c r="C1623" s="24" t="s">
        <v>27</v>
      </c>
      <c r="D1623" s="25">
        <v>100.7</v>
      </c>
      <c r="E1623" s="26">
        <v>145</v>
      </c>
      <c r="G1623" s="17">
        <f t="shared" si="89"/>
        <v>154.92307692307693</v>
      </c>
      <c r="H1623" s="27" t="str">
        <f t="shared" si="90"/>
        <v>NEGATIVO</v>
      </c>
      <c r="J1623" s="17">
        <f t="shared" si="91"/>
        <v>143.85714285714286</v>
      </c>
    </row>
    <row r="1624" spans="1:10">
      <c r="B1624" t="s">
        <v>648</v>
      </c>
      <c r="C1624" s="24" t="s">
        <v>27</v>
      </c>
      <c r="D1624" s="25">
        <v>162</v>
      </c>
      <c r="E1624" s="26">
        <v>232</v>
      </c>
      <c r="G1624" s="17">
        <f t="shared" si="89"/>
        <v>249.23076923076923</v>
      </c>
      <c r="H1624" s="27" t="str">
        <f t="shared" si="90"/>
        <v>NEGATIVO</v>
      </c>
      <c r="J1624" s="17">
        <f t="shared" si="91"/>
        <v>231.42857142857144</v>
      </c>
    </row>
    <row r="1625" spans="1:10">
      <c r="B1625" t="s">
        <v>649</v>
      </c>
      <c r="C1625" s="24" t="s">
        <v>27</v>
      </c>
      <c r="D1625" s="25">
        <v>266.89999999999998</v>
      </c>
      <c r="E1625" s="26">
        <v>382</v>
      </c>
      <c r="G1625" s="17">
        <f t="shared" si="89"/>
        <v>410.61538461538458</v>
      </c>
      <c r="H1625" s="27" t="str">
        <f t="shared" si="90"/>
        <v>NEGATIVO</v>
      </c>
      <c r="J1625" s="17">
        <f t="shared" si="91"/>
        <v>381.28571428571428</v>
      </c>
    </row>
    <row r="1626" spans="1:10">
      <c r="B1626" t="s">
        <v>1914</v>
      </c>
      <c r="C1626" s="24" t="s">
        <v>27</v>
      </c>
      <c r="D1626" s="25">
        <v>6.13</v>
      </c>
      <c r="E1626" s="26">
        <v>9.5</v>
      </c>
      <c r="G1626" s="17">
        <f t="shared" si="89"/>
        <v>9.430769230769231</v>
      </c>
      <c r="H1626" s="27" t="str">
        <f t="shared" si="90"/>
        <v>POSITIVO</v>
      </c>
      <c r="J1626" s="17">
        <f t="shared" si="91"/>
        <v>8.757142857142858</v>
      </c>
    </row>
    <row r="1627" spans="1:10">
      <c r="B1627" t="s">
        <v>650</v>
      </c>
      <c r="C1627" s="24" t="s">
        <v>27</v>
      </c>
      <c r="D1627" s="25">
        <v>7.33</v>
      </c>
      <c r="E1627" s="26">
        <v>12</v>
      </c>
      <c r="G1627" s="17">
        <f t="shared" si="89"/>
        <v>11.276923076923076</v>
      </c>
      <c r="H1627" s="27" t="str">
        <f t="shared" si="90"/>
        <v>POSITIVO</v>
      </c>
      <c r="J1627" s="17">
        <f t="shared" si="91"/>
        <v>10.471428571428572</v>
      </c>
    </row>
    <row r="1628" spans="1:10">
      <c r="A1628" s="61">
        <v>4050641445124</v>
      </c>
      <c r="B1628" t="s">
        <v>1990</v>
      </c>
      <c r="C1628" s="30" t="s">
        <v>27</v>
      </c>
      <c r="D1628" s="13">
        <v>8.15</v>
      </c>
      <c r="E1628" s="13">
        <v>12.6</v>
      </c>
      <c r="G1628" s="17">
        <f t="shared" si="89"/>
        <v>12.538461538461538</v>
      </c>
      <c r="H1628" s="27" t="str">
        <f t="shared" si="90"/>
        <v>POSITIVO</v>
      </c>
      <c r="J1628" s="17">
        <f t="shared" si="91"/>
        <v>11.642857142857144</v>
      </c>
    </row>
    <row r="1629" spans="1:10">
      <c r="B1629" t="s">
        <v>813</v>
      </c>
      <c r="C1629" s="24" t="s">
        <v>27</v>
      </c>
      <c r="D1629" s="25">
        <v>25</v>
      </c>
      <c r="E1629" s="26">
        <v>39</v>
      </c>
      <c r="G1629" s="17">
        <f t="shared" si="89"/>
        <v>38.46153846153846</v>
      </c>
      <c r="H1629" s="27" t="str">
        <f t="shared" si="90"/>
        <v>POSITIVO</v>
      </c>
      <c r="J1629" s="17">
        <f t="shared" si="91"/>
        <v>35.714285714285715</v>
      </c>
    </row>
    <row r="1630" spans="1:10">
      <c r="B1630" t="s">
        <v>814</v>
      </c>
      <c r="C1630" s="24" t="s">
        <v>27</v>
      </c>
      <c r="D1630" s="25">
        <v>25</v>
      </c>
      <c r="E1630" s="26">
        <v>39</v>
      </c>
      <c r="G1630" s="17">
        <f t="shared" si="89"/>
        <v>38.46153846153846</v>
      </c>
      <c r="H1630" s="27" t="str">
        <f t="shared" si="90"/>
        <v>POSITIVO</v>
      </c>
      <c r="J1630" s="17">
        <f t="shared" si="91"/>
        <v>35.714285714285715</v>
      </c>
    </row>
    <row r="1631" spans="1:10">
      <c r="B1631" t="s">
        <v>651</v>
      </c>
      <c r="C1631" s="24" t="s">
        <v>27</v>
      </c>
      <c r="D1631" s="25">
        <v>5.26</v>
      </c>
      <c r="E1631" s="26">
        <v>7.5</v>
      </c>
      <c r="G1631" s="17">
        <f t="shared" si="89"/>
        <v>8.092307692307692</v>
      </c>
      <c r="H1631" s="27" t="str">
        <f t="shared" si="90"/>
        <v>NEGATIVO</v>
      </c>
      <c r="J1631" s="17">
        <f t="shared" si="91"/>
        <v>7.5142857142857142</v>
      </c>
    </row>
    <row r="1632" spans="1:10">
      <c r="B1632" t="s">
        <v>1601</v>
      </c>
      <c r="C1632" s="30" t="s">
        <v>27</v>
      </c>
      <c r="D1632" s="13">
        <v>1.2</v>
      </c>
      <c r="E1632" s="13">
        <v>3</v>
      </c>
      <c r="G1632" s="17">
        <f t="shared" si="89"/>
        <v>1.846153846153846</v>
      </c>
      <c r="H1632" s="27" t="str">
        <f t="shared" si="90"/>
        <v>POSITIVO</v>
      </c>
      <c r="J1632" s="17">
        <f t="shared" si="91"/>
        <v>1.7142857142857144</v>
      </c>
    </row>
    <row r="1633" spans="2:10">
      <c r="B1633" t="s">
        <v>652</v>
      </c>
      <c r="C1633" s="24" t="s">
        <v>27</v>
      </c>
      <c r="D1633" s="25">
        <v>2.97</v>
      </c>
      <c r="E1633" s="26">
        <v>5</v>
      </c>
      <c r="G1633" s="17">
        <f t="shared" si="89"/>
        <v>4.569230769230769</v>
      </c>
      <c r="H1633" s="27" t="str">
        <f t="shared" si="90"/>
        <v>POSITIVO</v>
      </c>
      <c r="J1633" s="17">
        <f t="shared" si="91"/>
        <v>4.2428571428571438</v>
      </c>
    </row>
    <row r="1634" spans="2:10">
      <c r="B1634" t="s">
        <v>653</v>
      </c>
      <c r="C1634" s="24" t="s">
        <v>27</v>
      </c>
      <c r="D1634" s="25">
        <v>2.5</v>
      </c>
      <c r="E1634" s="25">
        <v>5</v>
      </c>
      <c r="G1634" s="17">
        <f t="shared" si="89"/>
        <v>3.8461538461538458</v>
      </c>
      <c r="H1634" s="27" t="str">
        <f t="shared" si="90"/>
        <v>POSITIVO</v>
      </c>
      <c r="J1634" s="17">
        <f t="shared" si="91"/>
        <v>3.5714285714285716</v>
      </c>
    </row>
    <row r="1635" spans="2:10">
      <c r="B1635" t="s">
        <v>1301</v>
      </c>
      <c r="C1635" s="24" t="s">
        <v>27</v>
      </c>
      <c r="D1635" s="13">
        <v>5.28</v>
      </c>
      <c r="E1635" s="13">
        <v>8.15</v>
      </c>
      <c r="G1635" s="17">
        <f t="shared" si="89"/>
        <v>8.1230769230769226</v>
      </c>
      <c r="H1635" s="27" t="str">
        <f t="shared" si="90"/>
        <v>POSITIVO</v>
      </c>
      <c r="J1635" s="17">
        <f t="shared" si="91"/>
        <v>7.5428571428571436</v>
      </c>
    </row>
    <row r="1636" spans="2:10">
      <c r="B1636" t="s">
        <v>654</v>
      </c>
      <c r="C1636" s="24" t="s">
        <v>27</v>
      </c>
      <c r="D1636" s="25">
        <v>6.84</v>
      </c>
      <c r="E1636" s="26">
        <v>10.6</v>
      </c>
      <c r="G1636" s="17">
        <f t="shared" si="89"/>
        <v>10.523076923076923</v>
      </c>
      <c r="H1636" s="27" t="str">
        <f t="shared" si="90"/>
        <v>POSITIVO</v>
      </c>
      <c r="J1636" s="17">
        <f t="shared" si="91"/>
        <v>9.7714285714285722</v>
      </c>
    </row>
    <row r="1637" spans="2:10">
      <c r="B1637" t="s">
        <v>1300</v>
      </c>
      <c r="C1637" s="30" t="s">
        <v>27</v>
      </c>
      <c r="D1637" s="13">
        <v>7.25</v>
      </c>
      <c r="E1637" s="13">
        <v>12</v>
      </c>
      <c r="G1637" s="17">
        <f t="shared" si="89"/>
        <v>11.153846153846153</v>
      </c>
      <c r="H1637" s="27" t="str">
        <f t="shared" si="90"/>
        <v>POSITIVO</v>
      </c>
      <c r="J1637" s="17">
        <f t="shared" si="91"/>
        <v>10.357142857142858</v>
      </c>
    </row>
    <row r="1638" spans="2:10">
      <c r="B1638" t="s">
        <v>1296</v>
      </c>
      <c r="C1638" s="30" t="s">
        <v>27</v>
      </c>
      <c r="D1638" s="13">
        <v>6.57</v>
      </c>
      <c r="E1638" s="13">
        <v>12</v>
      </c>
      <c r="G1638" s="17">
        <f t="shared" si="89"/>
        <v>10.107692307692307</v>
      </c>
      <c r="H1638" s="27" t="str">
        <f t="shared" si="90"/>
        <v>POSITIVO</v>
      </c>
      <c r="J1638" s="17">
        <f t="shared" si="91"/>
        <v>9.3857142857142861</v>
      </c>
    </row>
    <row r="1639" spans="2:10">
      <c r="B1639" t="s">
        <v>655</v>
      </c>
      <c r="C1639" s="24" t="s">
        <v>27</v>
      </c>
      <c r="D1639" s="25">
        <v>56.99</v>
      </c>
      <c r="E1639" s="26">
        <v>88</v>
      </c>
      <c r="G1639" s="17">
        <f t="shared" si="89"/>
        <v>87.676923076923075</v>
      </c>
      <c r="H1639" s="27" t="str">
        <f t="shared" si="90"/>
        <v>POSITIVO</v>
      </c>
      <c r="J1639" s="17">
        <f t="shared" si="91"/>
        <v>81.414285714285725</v>
      </c>
    </row>
    <row r="1640" spans="2:10">
      <c r="B1640" t="s">
        <v>1234</v>
      </c>
      <c r="C1640" s="30" t="s">
        <v>27</v>
      </c>
      <c r="D1640" s="13">
        <v>61.08</v>
      </c>
      <c r="E1640" s="13">
        <v>94</v>
      </c>
      <c r="G1640" s="17">
        <f t="shared" si="89"/>
        <v>93.969230769230762</v>
      </c>
      <c r="H1640" s="27" t="str">
        <f t="shared" si="90"/>
        <v>POSITIVO</v>
      </c>
      <c r="J1640" s="17">
        <f t="shared" si="91"/>
        <v>87.257142857142867</v>
      </c>
    </row>
    <row r="1641" spans="2:10">
      <c r="B1641" t="s">
        <v>656</v>
      </c>
      <c r="C1641" s="24" t="s">
        <v>27</v>
      </c>
      <c r="D1641" s="25">
        <v>54.99</v>
      </c>
      <c r="E1641" s="26">
        <v>85</v>
      </c>
      <c r="G1641" s="17">
        <f t="shared" si="89"/>
        <v>84.6</v>
      </c>
      <c r="H1641" s="27" t="str">
        <f t="shared" si="90"/>
        <v>POSITIVO</v>
      </c>
      <c r="J1641" s="17">
        <f t="shared" si="91"/>
        <v>78.557142857142864</v>
      </c>
    </row>
    <row r="1642" spans="2:10">
      <c r="B1642" t="s">
        <v>1904</v>
      </c>
      <c r="C1642" s="30" t="s">
        <v>665</v>
      </c>
      <c r="D1642" s="13">
        <v>58.5</v>
      </c>
      <c r="E1642" s="13">
        <v>98</v>
      </c>
      <c r="G1642" s="17">
        <f t="shared" si="89"/>
        <v>90</v>
      </c>
      <c r="H1642" s="27" t="str">
        <f t="shared" si="90"/>
        <v>POSITIVO</v>
      </c>
      <c r="J1642" s="17">
        <f t="shared" si="91"/>
        <v>83.571428571428584</v>
      </c>
    </row>
    <row r="1643" spans="2:10">
      <c r="B1643" t="s">
        <v>1935</v>
      </c>
      <c r="C1643" s="30" t="s">
        <v>665</v>
      </c>
      <c r="D1643" s="13">
        <v>49.72</v>
      </c>
      <c r="E1643" s="13">
        <v>85</v>
      </c>
      <c r="G1643" s="17">
        <f t="shared" si="89"/>
        <v>76.492307692307691</v>
      </c>
      <c r="H1643" s="27" t="str">
        <f t="shared" si="90"/>
        <v>POSITIVO</v>
      </c>
      <c r="J1643" s="17">
        <f t="shared" si="91"/>
        <v>71.028571428571425</v>
      </c>
    </row>
    <row r="1644" spans="2:10">
      <c r="B1644" t="s">
        <v>940</v>
      </c>
      <c r="C1644" s="30" t="s">
        <v>665</v>
      </c>
      <c r="D1644" s="13">
        <v>1.66</v>
      </c>
      <c r="E1644" s="13">
        <v>6</v>
      </c>
      <c r="G1644" s="17">
        <f t="shared" si="89"/>
        <v>2.5538461538461537</v>
      </c>
      <c r="H1644" s="27" t="str">
        <f t="shared" si="90"/>
        <v>POSITIVO</v>
      </c>
      <c r="J1644" s="17">
        <f t="shared" si="91"/>
        <v>2.3714285714285714</v>
      </c>
    </row>
    <row r="1645" spans="2:10">
      <c r="B1645" t="s">
        <v>1613</v>
      </c>
      <c r="C1645" s="30" t="s">
        <v>665</v>
      </c>
      <c r="D1645" s="13">
        <v>183.13</v>
      </c>
      <c r="E1645" s="13">
        <v>299.89999999999998</v>
      </c>
      <c r="G1645" s="17">
        <f t="shared" si="89"/>
        <v>281.73846153846154</v>
      </c>
      <c r="H1645" s="27" t="str">
        <f t="shared" si="90"/>
        <v>POSITIVO</v>
      </c>
      <c r="J1645" s="17">
        <f t="shared" si="91"/>
        <v>261.6142857142857</v>
      </c>
    </row>
    <row r="1646" spans="2:10">
      <c r="B1646" t="s">
        <v>1615</v>
      </c>
      <c r="C1646" s="30" t="s">
        <v>665</v>
      </c>
      <c r="D1646" s="13">
        <v>224.59</v>
      </c>
      <c r="E1646" s="13">
        <v>348</v>
      </c>
      <c r="G1646" s="17">
        <f t="shared" si="89"/>
        <v>345.52307692307693</v>
      </c>
      <c r="H1646" s="27" t="str">
        <f t="shared" si="90"/>
        <v>POSITIVO</v>
      </c>
      <c r="J1646" s="17">
        <f t="shared" si="91"/>
        <v>320.84285714285716</v>
      </c>
    </row>
    <row r="1647" spans="2:10">
      <c r="B1647" t="s">
        <v>1802</v>
      </c>
      <c r="C1647" s="30" t="s">
        <v>665</v>
      </c>
      <c r="D1647" s="13">
        <v>264.83999999999997</v>
      </c>
      <c r="E1647" s="13">
        <v>390</v>
      </c>
      <c r="G1647" s="17">
        <f t="shared" ref="G1647:G1710" si="92">(D1647/65%)</f>
        <v>407.44615384615378</v>
      </c>
      <c r="H1647" s="27" t="str">
        <f t="shared" ref="H1647:H1710" si="93">IF(E1647&gt;=G1647,"POSITIVO","NEGATIVO")</f>
        <v>NEGATIVO</v>
      </c>
      <c r="J1647" s="17">
        <f t="shared" ref="J1647:J1710" si="94">D1647/70%</f>
        <v>378.34285714285716</v>
      </c>
    </row>
    <row r="1648" spans="2:10">
      <c r="B1648" t="s">
        <v>939</v>
      </c>
      <c r="C1648" s="30" t="s">
        <v>27</v>
      </c>
      <c r="D1648" s="13">
        <v>30.46</v>
      </c>
      <c r="E1648" s="13">
        <v>47.5</v>
      </c>
      <c r="G1648" s="17">
        <f t="shared" si="92"/>
        <v>46.861538461538458</v>
      </c>
      <c r="H1648" s="27" t="str">
        <f t="shared" si="93"/>
        <v>POSITIVO</v>
      </c>
      <c r="J1648" s="17">
        <f t="shared" si="94"/>
        <v>43.51428571428572</v>
      </c>
    </row>
    <row r="1649" spans="2:10">
      <c r="B1649" t="s">
        <v>1155</v>
      </c>
      <c r="C1649" s="24" t="s">
        <v>27</v>
      </c>
      <c r="D1649" s="25">
        <v>2.52</v>
      </c>
      <c r="E1649" s="26">
        <v>5</v>
      </c>
      <c r="G1649" s="17">
        <f t="shared" si="92"/>
        <v>3.8769230769230769</v>
      </c>
      <c r="H1649" s="27" t="str">
        <f t="shared" si="93"/>
        <v>POSITIVO</v>
      </c>
      <c r="J1649" s="17">
        <f t="shared" si="94"/>
        <v>3.6</v>
      </c>
    </row>
    <row r="1650" spans="2:10">
      <c r="B1650" t="s">
        <v>1834</v>
      </c>
      <c r="C1650" s="30" t="s">
        <v>27</v>
      </c>
      <c r="D1650" s="13">
        <v>18.489999999999998</v>
      </c>
      <c r="E1650" s="13">
        <v>28.5</v>
      </c>
      <c r="G1650" s="17">
        <f t="shared" si="92"/>
        <v>28.446153846153841</v>
      </c>
      <c r="H1650" s="27" t="str">
        <f t="shared" si="93"/>
        <v>POSITIVO</v>
      </c>
      <c r="J1650" s="17">
        <f t="shared" si="94"/>
        <v>26.414285714285715</v>
      </c>
    </row>
    <row r="1651" spans="2:10">
      <c r="B1651" t="s">
        <v>1932</v>
      </c>
      <c r="C1651" s="30" t="s">
        <v>27</v>
      </c>
      <c r="D1651" s="13">
        <v>38.9</v>
      </c>
      <c r="E1651" s="13">
        <v>62</v>
      </c>
      <c r="G1651" s="17">
        <f t="shared" si="92"/>
        <v>59.84615384615384</v>
      </c>
      <c r="H1651" s="27" t="str">
        <f t="shared" si="93"/>
        <v>POSITIVO</v>
      </c>
      <c r="J1651" s="17">
        <f t="shared" si="94"/>
        <v>55.571428571428569</v>
      </c>
    </row>
    <row r="1652" spans="2:10">
      <c r="B1652" t="s">
        <v>657</v>
      </c>
      <c r="C1652" s="24" t="s">
        <v>27</v>
      </c>
      <c r="D1652" s="25">
        <v>34.07</v>
      </c>
      <c r="E1652" s="26">
        <v>53</v>
      </c>
      <c r="G1652" s="17">
        <f t="shared" si="92"/>
        <v>52.415384615384617</v>
      </c>
      <c r="H1652" s="27" t="str">
        <f t="shared" si="93"/>
        <v>POSITIVO</v>
      </c>
      <c r="J1652" s="17">
        <f t="shared" si="94"/>
        <v>48.671428571428578</v>
      </c>
    </row>
    <row r="1653" spans="2:10">
      <c r="B1653" t="s">
        <v>658</v>
      </c>
      <c r="C1653" s="24" t="s">
        <v>27</v>
      </c>
      <c r="D1653" s="25">
        <v>34.869999999999997</v>
      </c>
      <c r="E1653" s="26">
        <v>49.8</v>
      </c>
      <c r="G1653" s="17">
        <f t="shared" si="92"/>
        <v>53.646153846153844</v>
      </c>
      <c r="H1653" s="27" t="str">
        <f t="shared" si="93"/>
        <v>NEGATIVO</v>
      </c>
      <c r="J1653" s="17">
        <f t="shared" si="94"/>
        <v>49.814285714285717</v>
      </c>
    </row>
    <row r="1654" spans="2:10">
      <c r="B1654" t="s">
        <v>815</v>
      </c>
      <c r="C1654" s="24" t="s">
        <v>27</v>
      </c>
      <c r="D1654" s="25">
        <v>13</v>
      </c>
      <c r="E1654" s="26">
        <v>20</v>
      </c>
      <c r="G1654" s="17">
        <f t="shared" si="92"/>
        <v>20</v>
      </c>
      <c r="H1654" s="27" t="str">
        <f t="shared" si="93"/>
        <v>POSITIVO</v>
      </c>
      <c r="J1654" s="17">
        <f t="shared" si="94"/>
        <v>18.571428571428573</v>
      </c>
    </row>
    <row r="1655" spans="2:10">
      <c r="B1655" t="s">
        <v>659</v>
      </c>
      <c r="C1655" s="24" t="s">
        <v>27</v>
      </c>
      <c r="D1655" s="25">
        <v>28.6</v>
      </c>
      <c r="E1655" s="26">
        <v>45</v>
      </c>
      <c r="G1655" s="17">
        <f t="shared" si="92"/>
        <v>44</v>
      </c>
      <c r="H1655" s="27" t="str">
        <f t="shared" si="93"/>
        <v>POSITIVO</v>
      </c>
      <c r="J1655" s="17">
        <f t="shared" si="94"/>
        <v>40.857142857142861</v>
      </c>
    </row>
    <row r="1656" spans="2:10">
      <c r="B1656" t="s">
        <v>660</v>
      </c>
      <c r="C1656" s="24" t="s">
        <v>27</v>
      </c>
      <c r="D1656" s="25">
        <v>14.99</v>
      </c>
      <c r="E1656" s="26">
        <v>22</v>
      </c>
      <c r="G1656" s="17">
        <f t="shared" si="92"/>
        <v>23.061538461538461</v>
      </c>
      <c r="H1656" s="27" t="str">
        <f t="shared" si="93"/>
        <v>NEGATIVO</v>
      </c>
      <c r="J1656" s="17">
        <f t="shared" si="94"/>
        <v>21.414285714285715</v>
      </c>
    </row>
    <row r="1657" spans="2:10">
      <c r="B1657" t="s">
        <v>1361</v>
      </c>
      <c r="C1657" s="30" t="s">
        <v>27</v>
      </c>
      <c r="D1657" s="13">
        <v>52.2</v>
      </c>
      <c r="E1657" s="13">
        <v>82</v>
      </c>
      <c r="G1657" s="17">
        <f t="shared" si="92"/>
        <v>80.307692307692307</v>
      </c>
      <c r="H1657" s="27" t="str">
        <f t="shared" si="93"/>
        <v>POSITIVO</v>
      </c>
      <c r="J1657" s="17">
        <f t="shared" si="94"/>
        <v>74.571428571428584</v>
      </c>
    </row>
    <row r="1658" spans="2:10">
      <c r="B1658" t="s">
        <v>1360</v>
      </c>
      <c r="C1658" s="30" t="s">
        <v>27</v>
      </c>
      <c r="D1658" s="13">
        <v>55.14</v>
      </c>
      <c r="E1658" s="13">
        <v>86</v>
      </c>
      <c r="G1658" s="17">
        <f t="shared" si="92"/>
        <v>84.830769230769235</v>
      </c>
      <c r="H1658" s="27" t="str">
        <f t="shared" si="93"/>
        <v>POSITIVO</v>
      </c>
      <c r="J1658" s="17">
        <f t="shared" si="94"/>
        <v>78.771428571428572</v>
      </c>
    </row>
    <row r="1659" spans="2:10">
      <c r="B1659" t="s">
        <v>661</v>
      </c>
      <c r="C1659" s="24" t="s">
        <v>27</v>
      </c>
      <c r="D1659" s="25">
        <v>14.75</v>
      </c>
      <c r="E1659" s="26">
        <v>23</v>
      </c>
      <c r="G1659" s="17">
        <f t="shared" si="92"/>
        <v>22.69230769230769</v>
      </c>
      <c r="H1659" s="27" t="str">
        <f t="shared" si="93"/>
        <v>POSITIVO</v>
      </c>
      <c r="J1659" s="17">
        <f t="shared" si="94"/>
        <v>21.071428571428573</v>
      </c>
    </row>
    <row r="1660" spans="2:10">
      <c r="B1660" t="s">
        <v>1080</v>
      </c>
      <c r="C1660" s="30" t="s">
        <v>27</v>
      </c>
      <c r="D1660" s="13">
        <v>18</v>
      </c>
      <c r="E1660" s="13">
        <v>28</v>
      </c>
      <c r="G1660" s="17">
        <f t="shared" si="92"/>
        <v>27.69230769230769</v>
      </c>
      <c r="H1660" s="27" t="str">
        <f t="shared" si="93"/>
        <v>POSITIVO</v>
      </c>
      <c r="J1660" s="17">
        <f t="shared" si="94"/>
        <v>25.714285714285715</v>
      </c>
    </row>
    <row r="1661" spans="2:10">
      <c r="B1661" t="s">
        <v>662</v>
      </c>
      <c r="C1661" s="24" t="s">
        <v>27</v>
      </c>
      <c r="D1661" s="25">
        <v>5.81</v>
      </c>
      <c r="E1661" s="26">
        <v>8.1999999999999993</v>
      </c>
      <c r="G1661" s="17">
        <f t="shared" si="92"/>
        <v>8.9384615384615369</v>
      </c>
      <c r="H1661" s="27" t="str">
        <f t="shared" si="93"/>
        <v>NEGATIVO</v>
      </c>
      <c r="J1661" s="17">
        <f t="shared" si="94"/>
        <v>8.3000000000000007</v>
      </c>
    </row>
    <row r="1662" spans="2:10">
      <c r="B1662" t="s">
        <v>663</v>
      </c>
      <c r="C1662" s="24" t="s">
        <v>27</v>
      </c>
      <c r="D1662" s="25">
        <v>4.25</v>
      </c>
      <c r="E1662" s="26">
        <v>10</v>
      </c>
      <c r="G1662" s="17">
        <f t="shared" si="92"/>
        <v>6.5384615384615383</v>
      </c>
      <c r="H1662" s="27" t="str">
        <f t="shared" si="93"/>
        <v>POSITIVO</v>
      </c>
      <c r="J1662" s="17">
        <f t="shared" si="94"/>
        <v>6.0714285714285721</v>
      </c>
    </row>
    <row r="1663" spans="2:10">
      <c r="B1663" t="s">
        <v>2033</v>
      </c>
      <c r="C1663" s="30" t="s">
        <v>27</v>
      </c>
      <c r="D1663" s="13">
        <v>4.68</v>
      </c>
      <c r="E1663" s="13">
        <v>7.5</v>
      </c>
      <c r="G1663" s="17">
        <f t="shared" si="92"/>
        <v>7.1999999999999993</v>
      </c>
      <c r="H1663" s="27" t="str">
        <f t="shared" si="93"/>
        <v>POSITIVO</v>
      </c>
      <c r="J1663" s="17">
        <f t="shared" si="94"/>
        <v>6.6857142857142859</v>
      </c>
    </row>
    <row r="1664" spans="2:10">
      <c r="B1664" t="s">
        <v>2034</v>
      </c>
      <c r="C1664" s="30" t="s">
        <v>27</v>
      </c>
      <c r="D1664" s="13">
        <v>5.8</v>
      </c>
      <c r="E1664" s="13">
        <v>8.9</v>
      </c>
      <c r="G1664" s="17">
        <f t="shared" si="92"/>
        <v>8.9230769230769234</v>
      </c>
      <c r="H1664" s="27" t="str">
        <f t="shared" si="93"/>
        <v>NEGATIVO</v>
      </c>
      <c r="J1664" s="17">
        <f t="shared" si="94"/>
        <v>8.2857142857142865</v>
      </c>
    </row>
    <row r="1665" spans="2:10">
      <c r="B1665" t="s">
        <v>664</v>
      </c>
      <c r="C1665" s="24" t="s">
        <v>27</v>
      </c>
      <c r="D1665" s="25">
        <v>44</v>
      </c>
      <c r="E1665" s="26">
        <v>61</v>
      </c>
      <c r="G1665" s="17">
        <f t="shared" si="92"/>
        <v>67.692307692307693</v>
      </c>
      <c r="H1665" s="27" t="str">
        <f t="shared" si="93"/>
        <v>NEGATIVO</v>
      </c>
      <c r="J1665" s="17">
        <f t="shared" si="94"/>
        <v>62.857142857142861</v>
      </c>
    </row>
    <row r="1666" spans="2:10">
      <c r="B1666" t="s">
        <v>1037</v>
      </c>
      <c r="C1666" s="30" t="s">
        <v>27</v>
      </c>
      <c r="D1666" s="13">
        <v>59.16</v>
      </c>
      <c r="E1666" s="13">
        <v>92</v>
      </c>
      <c r="G1666" s="17">
        <f t="shared" si="92"/>
        <v>91.015384615384605</v>
      </c>
      <c r="H1666" s="27" t="str">
        <f t="shared" si="93"/>
        <v>POSITIVO</v>
      </c>
      <c r="J1666" s="17">
        <f t="shared" si="94"/>
        <v>84.51428571428572</v>
      </c>
    </row>
    <row r="1667" spans="2:10">
      <c r="B1667" t="s">
        <v>1767</v>
      </c>
      <c r="C1667" s="30" t="s">
        <v>27</v>
      </c>
      <c r="D1667" s="13">
        <v>124.06</v>
      </c>
      <c r="E1667" s="13">
        <v>175</v>
      </c>
      <c r="G1667" s="17">
        <f t="shared" si="92"/>
        <v>190.86153846153846</v>
      </c>
      <c r="H1667" s="27" t="str">
        <f t="shared" si="93"/>
        <v>NEGATIVO</v>
      </c>
      <c r="J1667" s="17">
        <f t="shared" si="94"/>
        <v>177.22857142857146</v>
      </c>
    </row>
    <row r="1668" spans="2:10">
      <c r="B1668" t="s">
        <v>1895</v>
      </c>
      <c r="C1668" s="30" t="s">
        <v>27</v>
      </c>
      <c r="D1668" s="13">
        <v>39.9</v>
      </c>
      <c r="E1668" s="13">
        <v>55</v>
      </c>
      <c r="G1668" s="17">
        <f t="shared" si="92"/>
        <v>61.38461538461538</v>
      </c>
      <c r="H1668" s="27" t="str">
        <f t="shared" si="93"/>
        <v>NEGATIVO</v>
      </c>
      <c r="J1668" s="17">
        <f t="shared" si="94"/>
        <v>57</v>
      </c>
    </row>
    <row r="1669" spans="2:10">
      <c r="B1669" t="s">
        <v>1044</v>
      </c>
      <c r="C1669" s="30" t="s">
        <v>27</v>
      </c>
      <c r="D1669" s="13">
        <v>23.28</v>
      </c>
      <c r="E1669" s="13">
        <v>36</v>
      </c>
      <c r="G1669" s="17">
        <f t="shared" si="92"/>
        <v>35.815384615384616</v>
      </c>
      <c r="H1669" s="27" t="str">
        <f t="shared" si="93"/>
        <v>POSITIVO</v>
      </c>
      <c r="J1669" s="17">
        <f t="shared" si="94"/>
        <v>33.25714285714286</v>
      </c>
    </row>
    <row r="1670" spans="2:10">
      <c r="B1670" t="s">
        <v>1045</v>
      </c>
      <c r="C1670" s="30" t="s">
        <v>27</v>
      </c>
      <c r="D1670" s="13">
        <v>27.85</v>
      </c>
      <c r="E1670" s="13">
        <v>43</v>
      </c>
      <c r="G1670" s="17">
        <f t="shared" si="92"/>
        <v>42.846153846153847</v>
      </c>
      <c r="H1670" s="27" t="str">
        <f t="shared" si="93"/>
        <v>POSITIVO</v>
      </c>
      <c r="J1670" s="17">
        <f t="shared" si="94"/>
        <v>39.785714285714292</v>
      </c>
    </row>
    <row r="1671" spans="2:10">
      <c r="B1671" t="s">
        <v>666</v>
      </c>
      <c r="C1671" s="24" t="s">
        <v>27</v>
      </c>
      <c r="D1671" s="25">
        <v>7.02</v>
      </c>
      <c r="E1671" s="26">
        <v>12</v>
      </c>
      <c r="G1671" s="17">
        <f t="shared" si="92"/>
        <v>10.799999999999999</v>
      </c>
      <c r="H1671" s="27" t="str">
        <f t="shared" si="93"/>
        <v>POSITIVO</v>
      </c>
      <c r="J1671" s="17">
        <f t="shared" si="94"/>
        <v>10.028571428571428</v>
      </c>
    </row>
    <row r="1672" spans="2:10">
      <c r="B1672" t="s">
        <v>667</v>
      </c>
      <c r="C1672" s="24" t="s">
        <v>46</v>
      </c>
      <c r="D1672" s="25">
        <v>196</v>
      </c>
      <c r="E1672" s="26">
        <v>305</v>
      </c>
      <c r="G1672" s="17">
        <f t="shared" si="92"/>
        <v>301.53846153846155</v>
      </c>
      <c r="H1672" s="27" t="str">
        <f t="shared" si="93"/>
        <v>POSITIVO</v>
      </c>
      <c r="J1672" s="17">
        <f t="shared" si="94"/>
        <v>280</v>
      </c>
    </row>
    <row r="1673" spans="2:10">
      <c r="B1673" t="s">
        <v>1800</v>
      </c>
      <c r="C1673" s="24" t="s">
        <v>46</v>
      </c>
      <c r="D1673" s="25">
        <v>212</v>
      </c>
      <c r="E1673" s="26">
        <v>328</v>
      </c>
      <c r="G1673" s="17">
        <f t="shared" si="92"/>
        <v>326.15384615384613</v>
      </c>
      <c r="H1673" s="27" t="str">
        <f t="shared" si="93"/>
        <v>POSITIVO</v>
      </c>
      <c r="J1673" s="17">
        <f t="shared" si="94"/>
        <v>302.85714285714289</v>
      </c>
    </row>
    <row r="1674" spans="2:10">
      <c r="B1674" t="s">
        <v>1812</v>
      </c>
      <c r="C1674" s="24" t="s">
        <v>46</v>
      </c>
      <c r="D1674" s="25">
        <v>88</v>
      </c>
      <c r="E1674" s="26">
        <v>140</v>
      </c>
      <c r="G1674" s="17">
        <f t="shared" si="92"/>
        <v>135.38461538461539</v>
      </c>
      <c r="H1674" s="27" t="str">
        <f t="shared" si="93"/>
        <v>POSITIVO</v>
      </c>
      <c r="J1674" s="17">
        <f t="shared" si="94"/>
        <v>125.71428571428572</v>
      </c>
    </row>
    <row r="1675" spans="2:10">
      <c r="B1675" t="s">
        <v>1801</v>
      </c>
      <c r="C1675" s="24" t="s">
        <v>46</v>
      </c>
      <c r="D1675" s="25">
        <v>144</v>
      </c>
      <c r="E1675" s="26">
        <v>205</v>
      </c>
      <c r="G1675" s="17">
        <f t="shared" si="92"/>
        <v>221.53846153846152</v>
      </c>
      <c r="H1675" s="27" t="str">
        <f t="shared" si="93"/>
        <v>NEGATIVO</v>
      </c>
      <c r="J1675" s="17">
        <f t="shared" si="94"/>
        <v>205.71428571428572</v>
      </c>
    </row>
    <row r="1676" spans="2:10">
      <c r="B1676" t="s">
        <v>816</v>
      </c>
      <c r="C1676" s="24" t="s">
        <v>46</v>
      </c>
      <c r="D1676" s="25">
        <v>89.25</v>
      </c>
      <c r="E1676" s="26">
        <v>138</v>
      </c>
      <c r="G1676" s="17">
        <f t="shared" si="92"/>
        <v>137.30769230769229</v>
      </c>
      <c r="H1676" s="27" t="str">
        <f t="shared" si="93"/>
        <v>POSITIVO</v>
      </c>
      <c r="J1676" s="17">
        <f t="shared" si="94"/>
        <v>127.50000000000001</v>
      </c>
    </row>
    <row r="1677" spans="2:10">
      <c r="B1677" t="s">
        <v>668</v>
      </c>
      <c r="C1677" s="24" t="s">
        <v>46</v>
      </c>
      <c r="D1677" s="25">
        <v>277</v>
      </c>
      <c r="E1677" s="26">
        <v>415</v>
      </c>
      <c r="G1677" s="17">
        <f t="shared" si="92"/>
        <v>426.15384615384613</v>
      </c>
      <c r="H1677" s="27" t="str">
        <f t="shared" si="93"/>
        <v>NEGATIVO</v>
      </c>
      <c r="J1677" s="17">
        <f t="shared" si="94"/>
        <v>395.71428571428572</v>
      </c>
    </row>
    <row r="1678" spans="2:10">
      <c r="B1678" t="s">
        <v>1842</v>
      </c>
      <c r="C1678" s="30" t="s">
        <v>27</v>
      </c>
      <c r="D1678" s="13">
        <v>7.99</v>
      </c>
      <c r="E1678" s="13">
        <v>12.5</v>
      </c>
      <c r="G1678" s="17">
        <f t="shared" si="92"/>
        <v>12.292307692307693</v>
      </c>
      <c r="H1678" s="27" t="str">
        <f t="shared" si="93"/>
        <v>POSITIVO</v>
      </c>
      <c r="J1678" s="17">
        <f t="shared" si="94"/>
        <v>11.414285714285715</v>
      </c>
    </row>
    <row r="1679" spans="2:10">
      <c r="B1679" t="s">
        <v>999</v>
      </c>
      <c r="C1679" s="24" t="s">
        <v>27</v>
      </c>
      <c r="D1679" s="25">
        <v>10.98</v>
      </c>
      <c r="E1679" s="26">
        <v>17.5</v>
      </c>
      <c r="G1679" s="17">
        <f t="shared" si="92"/>
        <v>16.892307692307693</v>
      </c>
      <c r="H1679" s="27" t="str">
        <f t="shared" si="93"/>
        <v>POSITIVO</v>
      </c>
      <c r="J1679" s="17">
        <f t="shared" si="94"/>
        <v>15.685714285714287</v>
      </c>
    </row>
    <row r="1680" spans="2:10">
      <c r="B1680" t="s">
        <v>669</v>
      </c>
      <c r="C1680" s="24" t="s">
        <v>27</v>
      </c>
      <c r="D1680" s="25">
        <v>11.49</v>
      </c>
      <c r="E1680" s="26">
        <v>17.8</v>
      </c>
      <c r="G1680" s="17">
        <f t="shared" si="92"/>
        <v>17.676923076923078</v>
      </c>
      <c r="H1680" s="27" t="str">
        <f t="shared" si="93"/>
        <v>POSITIVO</v>
      </c>
      <c r="J1680" s="17">
        <f t="shared" si="94"/>
        <v>16.414285714285715</v>
      </c>
    </row>
    <row r="1681" spans="2:10">
      <c r="B1681" t="s">
        <v>670</v>
      </c>
      <c r="C1681" s="24" t="s">
        <v>27</v>
      </c>
      <c r="D1681" s="25">
        <v>12.99</v>
      </c>
      <c r="E1681" s="26">
        <v>20</v>
      </c>
      <c r="G1681" s="17">
        <f t="shared" si="92"/>
        <v>19.984615384615385</v>
      </c>
      <c r="H1681" s="27" t="str">
        <f t="shared" si="93"/>
        <v>POSITIVO</v>
      </c>
      <c r="J1681" s="17">
        <f t="shared" si="94"/>
        <v>18.557142857142857</v>
      </c>
    </row>
    <row r="1682" spans="2:10">
      <c r="B1682" t="s">
        <v>1843</v>
      </c>
      <c r="C1682" s="24" t="s">
        <v>27</v>
      </c>
      <c r="D1682" s="25">
        <v>3.49</v>
      </c>
      <c r="E1682" s="26">
        <v>5.5</v>
      </c>
      <c r="G1682" s="17">
        <f t="shared" si="92"/>
        <v>5.3692307692307697</v>
      </c>
      <c r="H1682" s="27" t="str">
        <f t="shared" si="93"/>
        <v>POSITIVO</v>
      </c>
      <c r="J1682" s="17">
        <f t="shared" si="94"/>
        <v>4.9857142857142867</v>
      </c>
    </row>
    <row r="1683" spans="2:10">
      <c r="B1683" t="s">
        <v>1070</v>
      </c>
      <c r="C1683" s="30" t="s">
        <v>27</v>
      </c>
      <c r="D1683" s="13">
        <v>7.8</v>
      </c>
      <c r="E1683" s="13">
        <v>12</v>
      </c>
      <c r="G1683" s="17">
        <f t="shared" si="92"/>
        <v>12</v>
      </c>
      <c r="H1683" s="27" t="str">
        <f t="shared" si="93"/>
        <v>POSITIVO</v>
      </c>
      <c r="J1683" s="17">
        <f t="shared" si="94"/>
        <v>11.142857142857144</v>
      </c>
    </row>
    <row r="1684" spans="2:10">
      <c r="B1684" t="s">
        <v>671</v>
      </c>
      <c r="C1684" s="24" t="s">
        <v>27</v>
      </c>
      <c r="D1684" s="25">
        <v>4.66</v>
      </c>
      <c r="E1684" s="26">
        <v>8</v>
      </c>
      <c r="G1684" s="17">
        <f t="shared" si="92"/>
        <v>7.1692307692307695</v>
      </c>
      <c r="H1684" s="27" t="str">
        <f t="shared" si="93"/>
        <v>POSITIVO</v>
      </c>
      <c r="J1684" s="17">
        <f t="shared" si="94"/>
        <v>6.6571428571428575</v>
      </c>
    </row>
    <row r="1685" spans="2:10">
      <c r="B1685" t="s">
        <v>1691</v>
      </c>
      <c r="C1685" s="30" t="s">
        <v>27</v>
      </c>
      <c r="D1685" s="13">
        <v>5.35</v>
      </c>
      <c r="E1685" s="13">
        <v>8.5</v>
      </c>
      <c r="G1685" s="17">
        <f t="shared" si="92"/>
        <v>8.2307692307692299</v>
      </c>
      <c r="H1685" s="27" t="str">
        <f t="shared" si="93"/>
        <v>POSITIVO</v>
      </c>
      <c r="J1685" s="17">
        <f t="shared" si="94"/>
        <v>7.6428571428571432</v>
      </c>
    </row>
    <row r="1686" spans="2:10">
      <c r="B1686" t="s">
        <v>1690</v>
      </c>
      <c r="C1686" s="30" t="s">
        <v>27</v>
      </c>
      <c r="D1686" s="13">
        <v>7.49</v>
      </c>
      <c r="E1686" s="13">
        <v>11.6</v>
      </c>
      <c r="G1686" s="17">
        <f t="shared" si="92"/>
        <v>11.523076923076923</v>
      </c>
      <c r="H1686" s="27" t="str">
        <f t="shared" si="93"/>
        <v>POSITIVO</v>
      </c>
      <c r="J1686" s="17">
        <f t="shared" si="94"/>
        <v>10.700000000000001</v>
      </c>
    </row>
    <row r="1687" spans="2:10">
      <c r="B1687" t="s">
        <v>672</v>
      </c>
      <c r="C1687" s="24" t="s">
        <v>27</v>
      </c>
      <c r="D1687" s="25">
        <v>2.59</v>
      </c>
      <c r="E1687" s="26">
        <v>4.5</v>
      </c>
      <c r="G1687" s="17">
        <f t="shared" si="92"/>
        <v>3.9846153846153842</v>
      </c>
      <c r="H1687" s="27" t="str">
        <f t="shared" si="93"/>
        <v>POSITIVO</v>
      </c>
      <c r="J1687" s="17">
        <f t="shared" si="94"/>
        <v>3.7</v>
      </c>
    </row>
    <row r="1688" spans="2:10">
      <c r="B1688" t="s">
        <v>1692</v>
      </c>
      <c r="C1688" s="30" t="s">
        <v>27</v>
      </c>
      <c r="D1688" s="13">
        <v>4.7300000000000004</v>
      </c>
      <c r="E1688" s="13">
        <v>7.5</v>
      </c>
      <c r="G1688" s="17">
        <f t="shared" si="92"/>
        <v>7.2769230769230777</v>
      </c>
      <c r="H1688" s="27" t="str">
        <f t="shared" si="93"/>
        <v>POSITIVO</v>
      </c>
      <c r="J1688" s="17">
        <f t="shared" si="94"/>
        <v>6.757142857142858</v>
      </c>
    </row>
    <row r="1689" spans="2:10">
      <c r="B1689" t="s">
        <v>673</v>
      </c>
      <c r="C1689" s="24" t="s">
        <v>27</v>
      </c>
      <c r="D1689" s="25">
        <v>4.8099999999999996</v>
      </c>
      <c r="E1689" s="26">
        <v>7.8</v>
      </c>
      <c r="G1689" s="17">
        <f t="shared" si="92"/>
        <v>7.3999999999999995</v>
      </c>
      <c r="H1689" s="27" t="str">
        <f t="shared" si="93"/>
        <v>POSITIVO</v>
      </c>
      <c r="J1689" s="17">
        <f t="shared" si="94"/>
        <v>6.871428571428571</v>
      </c>
    </row>
    <row r="1690" spans="2:10">
      <c r="B1690" t="s">
        <v>1187</v>
      </c>
      <c r="C1690" s="30" t="s">
        <v>27</v>
      </c>
      <c r="D1690" s="13">
        <v>6.1</v>
      </c>
      <c r="E1690" s="13">
        <v>9.5</v>
      </c>
      <c r="G1690" s="17">
        <f t="shared" si="92"/>
        <v>9.3846153846153832</v>
      </c>
      <c r="H1690" s="27" t="str">
        <f t="shared" si="93"/>
        <v>POSITIVO</v>
      </c>
      <c r="J1690" s="17">
        <f t="shared" si="94"/>
        <v>8.7142857142857135</v>
      </c>
    </row>
    <row r="1691" spans="2:10">
      <c r="B1691" t="s">
        <v>1452</v>
      </c>
      <c r="C1691" s="30" t="s">
        <v>27</v>
      </c>
      <c r="D1691" s="13">
        <v>12.74</v>
      </c>
      <c r="E1691" s="13">
        <v>19.8</v>
      </c>
      <c r="G1691" s="17">
        <f t="shared" si="92"/>
        <v>19.600000000000001</v>
      </c>
      <c r="H1691" s="27" t="str">
        <f t="shared" si="93"/>
        <v>POSITIVO</v>
      </c>
      <c r="J1691" s="17">
        <f t="shared" si="94"/>
        <v>18.200000000000003</v>
      </c>
    </row>
    <row r="1692" spans="2:10">
      <c r="B1692" t="s">
        <v>881</v>
      </c>
      <c r="C1692" s="24" t="s">
        <v>46</v>
      </c>
      <c r="D1692" s="25">
        <v>85.48</v>
      </c>
      <c r="E1692" s="26">
        <v>129</v>
      </c>
      <c r="G1692" s="17">
        <f t="shared" si="92"/>
        <v>131.50769230769231</v>
      </c>
      <c r="H1692" s="27" t="str">
        <f t="shared" si="93"/>
        <v>NEGATIVO</v>
      </c>
      <c r="J1692" s="17">
        <f t="shared" si="94"/>
        <v>122.11428571428573</v>
      </c>
    </row>
    <row r="1693" spans="2:10">
      <c r="B1693" t="s">
        <v>1740</v>
      </c>
      <c r="C1693" s="24" t="s">
        <v>46</v>
      </c>
      <c r="D1693" s="25">
        <v>15.45</v>
      </c>
      <c r="E1693" s="25">
        <v>25</v>
      </c>
      <c r="G1693" s="17">
        <f t="shared" si="92"/>
        <v>23.769230769230766</v>
      </c>
      <c r="H1693" s="27" t="str">
        <f t="shared" si="93"/>
        <v>POSITIVO</v>
      </c>
      <c r="J1693" s="17">
        <f t="shared" si="94"/>
        <v>22.071428571428573</v>
      </c>
    </row>
    <row r="1694" spans="2:10">
      <c r="B1694" t="s">
        <v>1739</v>
      </c>
      <c r="C1694" s="24" t="s">
        <v>46</v>
      </c>
      <c r="D1694" s="25">
        <v>42.51</v>
      </c>
      <c r="E1694" s="26">
        <v>68</v>
      </c>
      <c r="G1694" s="17">
        <f t="shared" si="92"/>
        <v>65.399999999999991</v>
      </c>
      <c r="H1694" s="27" t="str">
        <f t="shared" si="93"/>
        <v>POSITIVO</v>
      </c>
      <c r="J1694" s="17">
        <f t="shared" si="94"/>
        <v>60.728571428571428</v>
      </c>
    </row>
    <row r="1695" spans="2:10">
      <c r="B1695" t="s">
        <v>880</v>
      </c>
      <c r="C1695" s="24" t="s">
        <v>46</v>
      </c>
      <c r="D1695" s="25">
        <v>94.99</v>
      </c>
      <c r="E1695" s="25">
        <v>148</v>
      </c>
      <c r="G1695" s="17">
        <f t="shared" si="92"/>
        <v>146.13846153846151</v>
      </c>
      <c r="H1695" s="27" t="str">
        <f t="shared" si="93"/>
        <v>POSITIVO</v>
      </c>
      <c r="J1695" s="17">
        <f t="shared" si="94"/>
        <v>135.69999999999999</v>
      </c>
    </row>
    <row r="1696" spans="2:10">
      <c r="B1696" t="s">
        <v>1778</v>
      </c>
      <c r="C1696" s="30" t="s">
        <v>27</v>
      </c>
      <c r="D1696" s="13">
        <v>83.7</v>
      </c>
      <c r="E1696" s="13">
        <v>130</v>
      </c>
      <c r="G1696" s="17">
        <f t="shared" si="92"/>
        <v>128.76923076923077</v>
      </c>
      <c r="H1696" s="27" t="str">
        <f t="shared" si="93"/>
        <v>POSITIVO</v>
      </c>
      <c r="J1696" s="17">
        <f t="shared" si="94"/>
        <v>119.57142857142858</v>
      </c>
    </row>
    <row r="1697" spans="1:10">
      <c r="B1697" t="s">
        <v>1396</v>
      </c>
      <c r="C1697" s="24" t="s">
        <v>46</v>
      </c>
      <c r="D1697" s="25">
        <v>1.1499999999999999</v>
      </c>
      <c r="E1697" s="26">
        <v>1.85</v>
      </c>
      <c r="G1697" s="17">
        <f t="shared" si="92"/>
        <v>1.7692307692307689</v>
      </c>
      <c r="H1697" s="27" t="str">
        <f t="shared" si="93"/>
        <v>POSITIVO</v>
      </c>
      <c r="J1697" s="17">
        <f t="shared" si="94"/>
        <v>1.6428571428571428</v>
      </c>
    </row>
    <row r="1698" spans="1:10">
      <c r="B1698" t="s">
        <v>1779</v>
      </c>
      <c r="C1698" s="30" t="s">
        <v>27</v>
      </c>
      <c r="D1698" s="13">
        <v>68.53</v>
      </c>
      <c r="E1698" s="13">
        <v>106</v>
      </c>
      <c r="G1698" s="17">
        <f t="shared" si="92"/>
        <v>105.43076923076923</v>
      </c>
      <c r="H1698" s="27" t="str">
        <f t="shared" si="93"/>
        <v>POSITIVO</v>
      </c>
      <c r="J1698" s="17">
        <f t="shared" si="94"/>
        <v>97.9</v>
      </c>
    </row>
    <row r="1699" spans="1:10">
      <c r="B1699" t="s">
        <v>1214</v>
      </c>
      <c r="C1699" s="30" t="s">
        <v>27</v>
      </c>
      <c r="D1699" s="13">
        <v>17.440000000000001</v>
      </c>
      <c r="E1699" s="13">
        <v>27.9</v>
      </c>
      <c r="G1699" s="17">
        <f t="shared" si="92"/>
        <v>26.830769230769231</v>
      </c>
      <c r="H1699" s="27" t="str">
        <f t="shared" si="93"/>
        <v>POSITIVO</v>
      </c>
      <c r="J1699" s="17">
        <f t="shared" si="94"/>
        <v>24.914285714285718</v>
      </c>
    </row>
    <row r="1700" spans="1:10">
      <c r="B1700" t="s">
        <v>1137</v>
      </c>
      <c r="C1700" s="30" t="s">
        <v>27</v>
      </c>
      <c r="D1700" s="13">
        <v>51.34</v>
      </c>
      <c r="E1700" s="13">
        <v>79.900000000000006</v>
      </c>
      <c r="G1700" s="17">
        <f t="shared" si="92"/>
        <v>78.984615384615381</v>
      </c>
      <c r="H1700" s="27" t="str">
        <f t="shared" si="93"/>
        <v>POSITIVO</v>
      </c>
      <c r="J1700" s="17">
        <f t="shared" si="94"/>
        <v>73.342857142857156</v>
      </c>
    </row>
    <row r="1701" spans="1:10">
      <c r="B1701" t="s">
        <v>931</v>
      </c>
      <c r="C1701" s="30" t="s">
        <v>27</v>
      </c>
      <c r="D1701" s="13">
        <v>13.9</v>
      </c>
      <c r="E1701" s="13">
        <v>22</v>
      </c>
      <c r="G1701" s="17">
        <f t="shared" si="92"/>
        <v>21.384615384615383</v>
      </c>
      <c r="H1701" s="27" t="str">
        <f t="shared" si="93"/>
        <v>POSITIVO</v>
      </c>
      <c r="J1701" s="17">
        <f t="shared" si="94"/>
        <v>19.857142857142858</v>
      </c>
    </row>
    <row r="1702" spans="1:10">
      <c r="B1702" t="s">
        <v>674</v>
      </c>
      <c r="C1702" s="24" t="s">
        <v>27</v>
      </c>
      <c r="D1702" s="25">
        <v>31.39</v>
      </c>
      <c r="E1702" s="26">
        <v>53</v>
      </c>
      <c r="G1702" s="17">
        <f t="shared" si="92"/>
        <v>48.292307692307695</v>
      </c>
      <c r="H1702" s="27" t="str">
        <f t="shared" si="93"/>
        <v>POSITIVO</v>
      </c>
      <c r="J1702" s="17">
        <f t="shared" si="94"/>
        <v>44.842857142857149</v>
      </c>
    </row>
    <row r="1703" spans="1:10">
      <c r="B1703" t="s">
        <v>675</v>
      </c>
      <c r="C1703" s="24" t="s">
        <v>46</v>
      </c>
      <c r="D1703" s="25">
        <v>0.26</v>
      </c>
      <c r="E1703" s="25">
        <v>0.4</v>
      </c>
      <c r="G1703" s="17">
        <f t="shared" si="92"/>
        <v>0.4</v>
      </c>
      <c r="H1703" s="27" t="str">
        <f t="shared" si="93"/>
        <v>POSITIVO</v>
      </c>
      <c r="J1703" s="17">
        <f t="shared" si="94"/>
        <v>0.37142857142857144</v>
      </c>
    </row>
    <row r="1704" spans="1:10">
      <c r="A1704" s="61" t="s">
        <v>2476</v>
      </c>
      <c r="B1704" t="s">
        <v>2475</v>
      </c>
      <c r="C1704" s="30" t="s">
        <v>27</v>
      </c>
      <c r="D1704" s="13">
        <v>37.1</v>
      </c>
      <c r="E1704" s="13">
        <v>58</v>
      </c>
      <c r="G1704" s="17">
        <f t="shared" si="92"/>
        <v>57.07692307692308</v>
      </c>
      <c r="H1704" s="27" t="str">
        <f t="shared" si="93"/>
        <v>POSITIVO</v>
      </c>
      <c r="J1704" s="17">
        <f t="shared" si="94"/>
        <v>53.000000000000007</v>
      </c>
    </row>
    <row r="1705" spans="1:10">
      <c r="B1705" t="s">
        <v>968</v>
      </c>
      <c r="C1705" s="24" t="s">
        <v>27</v>
      </c>
      <c r="D1705" s="25">
        <v>13.98</v>
      </c>
      <c r="E1705" s="26">
        <v>22.6</v>
      </c>
      <c r="G1705" s="17">
        <f t="shared" si="92"/>
        <v>21.507692307692306</v>
      </c>
      <c r="H1705" s="27" t="str">
        <f t="shared" si="93"/>
        <v>POSITIVO</v>
      </c>
      <c r="J1705" s="17">
        <f t="shared" si="94"/>
        <v>19.971428571428572</v>
      </c>
    </row>
    <row r="1706" spans="1:10">
      <c r="B1706" t="s">
        <v>969</v>
      </c>
      <c r="C1706" s="24" t="s">
        <v>27</v>
      </c>
      <c r="D1706" s="25">
        <v>13.98</v>
      </c>
      <c r="E1706" s="26">
        <v>22.6</v>
      </c>
      <c r="G1706" s="17">
        <f t="shared" si="92"/>
        <v>21.507692307692306</v>
      </c>
      <c r="H1706" s="27" t="str">
        <f t="shared" si="93"/>
        <v>POSITIVO</v>
      </c>
      <c r="J1706" s="17">
        <f t="shared" si="94"/>
        <v>19.971428571428572</v>
      </c>
    </row>
    <row r="1707" spans="1:10">
      <c r="B1707" t="s">
        <v>676</v>
      </c>
      <c r="C1707" s="24" t="s">
        <v>27</v>
      </c>
      <c r="D1707" s="25">
        <v>130.19999999999999</v>
      </c>
      <c r="E1707" s="25">
        <v>205</v>
      </c>
      <c r="G1707" s="17">
        <f t="shared" si="92"/>
        <v>200.30769230769229</v>
      </c>
      <c r="H1707" s="27" t="str">
        <f t="shared" si="93"/>
        <v>POSITIVO</v>
      </c>
      <c r="J1707" s="17">
        <f t="shared" si="94"/>
        <v>186</v>
      </c>
    </row>
    <row r="1708" spans="1:10">
      <c r="B1708" t="s">
        <v>677</v>
      </c>
      <c r="C1708" s="24" t="s">
        <v>27</v>
      </c>
      <c r="D1708" s="25">
        <v>54.59</v>
      </c>
      <c r="E1708" s="25">
        <v>84.5</v>
      </c>
      <c r="G1708" s="17">
        <f t="shared" si="92"/>
        <v>83.984615384615381</v>
      </c>
      <c r="H1708" s="27" t="str">
        <f t="shared" si="93"/>
        <v>POSITIVO</v>
      </c>
      <c r="J1708" s="17">
        <f t="shared" si="94"/>
        <v>77.985714285714295</v>
      </c>
    </row>
    <row r="1709" spans="1:10">
      <c r="B1709" t="s">
        <v>678</v>
      </c>
      <c r="C1709" s="24" t="s">
        <v>27</v>
      </c>
      <c r="D1709" s="25">
        <v>39</v>
      </c>
      <c r="E1709" s="26">
        <v>61</v>
      </c>
      <c r="G1709" s="17">
        <f t="shared" si="92"/>
        <v>60</v>
      </c>
      <c r="H1709" s="27" t="str">
        <f t="shared" si="93"/>
        <v>POSITIVO</v>
      </c>
      <c r="J1709" s="17">
        <f t="shared" si="94"/>
        <v>55.714285714285715</v>
      </c>
    </row>
    <row r="1710" spans="1:10">
      <c r="B1710" t="s">
        <v>679</v>
      </c>
      <c r="C1710" s="24" t="s">
        <v>27</v>
      </c>
      <c r="D1710" s="25">
        <v>164.7</v>
      </c>
      <c r="E1710" s="25">
        <v>195</v>
      </c>
      <c r="G1710" s="17">
        <f t="shared" si="92"/>
        <v>253.38461538461536</v>
      </c>
      <c r="H1710" s="27" t="str">
        <f t="shared" si="93"/>
        <v>NEGATIVO</v>
      </c>
      <c r="J1710" s="17">
        <f t="shared" si="94"/>
        <v>235.28571428571428</v>
      </c>
    </row>
    <row r="1711" spans="1:10">
      <c r="B1711" t="s">
        <v>1286</v>
      </c>
      <c r="C1711" s="30" t="s">
        <v>27</v>
      </c>
      <c r="D1711" s="13">
        <v>9.48</v>
      </c>
      <c r="E1711" s="13">
        <v>15</v>
      </c>
      <c r="G1711" s="17">
        <f t="shared" ref="G1711:G1773" si="95">(D1711/65%)</f>
        <v>14.584615384615384</v>
      </c>
      <c r="H1711" s="27" t="str">
        <f t="shared" ref="H1711:H1773" si="96">IF(E1711&gt;=G1711,"POSITIVO","NEGATIVO")</f>
        <v>POSITIVO</v>
      </c>
      <c r="J1711" s="17">
        <f t="shared" ref="J1711:J1773" si="97">D1711/70%</f>
        <v>13.542857142857144</v>
      </c>
    </row>
    <row r="1712" spans="1:10">
      <c r="B1712" t="s">
        <v>1285</v>
      </c>
      <c r="C1712" s="30" t="s">
        <v>27</v>
      </c>
      <c r="D1712" s="13">
        <v>10.6</v>
      </c>
      <c r="E1712" s="13">
        <v>17</v>
      </c>
      <c r="G1712" s="17">
        <f t="shared" si="95"/>
        <v>16.307692307692307</v>
      </c>
      <c r="H1712" s="27" t="str">
        <f t="shared" si="96"/>
        <v>POSITIVO</v>
      </c>
      <c r="J1712" s="17">
        <f t="shared" si="97"/>
        <v>15.142857142857144</v>
      </c>
    </row>
    <row r="1713" spans="1:10">
      <c r="B1713" t="s">
        <v>817</v>
      </c>
      <c r="C1713" s="24" t="s">
        <v>27</v>
      </c>
      <c r="D1713" s="25">
        <v>9.9</v>
      </c>
      <c r="E1713" s="26">
        <v>15</v>
      </c>
      <c r="G1713" s="17">
        <f t="shared" si="95"/>
        <v>15.23076923076923</v>
      </c>
      <c r="H1713" s="27" t="str">
        <f t="shared" si="96"/>
        <v>NEGATIVO</v>
      </c>
      <c r="J1713" s="17">
        <f t="shared" si="97"/>
        <v>14.142857142857144</v>
      </c>
    </row>
    <row r="1714" spans="1:10">
      <c r="B1714" t="s">
        <v>818</v>
      </c>
      <c r="C1714" s="24" t="s">
        <v>27</v>
      </c>
      <c r="D1714" s="25">
        <v>11.2</v>
      </c>
      <c r="E1714" s="26">
        <v>17</v>
      </c>
      <c r="G1714" s="17">
        <f t="shared" si="95"/>
        <v>17.23076923076923</v>
      </c>
      <c r="H1714" s="27" t="str">
        <f t="shared" si="96"/>
        <v>NEGATIVO</v>
      </c>
      <c r="J1714" s="17">
        <f t="shared" si="97"/>
        <v>16</v>
      </c>
    </row>
    <row r="1715" spans="1:10">
      <c r="B1715" t="s">
        <v>819</v>
      </c>
      <c r="C1715" s="24" t="s">
        <v>27</v>
      </c>
      <c r="D1715" s="25">
        <v>13.25</v>
      </c>
      <c r="E1715" s="26">
        <v>21</v>
      </c>
      <c r="G1715" s="17">
        <f t="shared" si="95"/>
        <v>20.384615384615383</v>
      </c>
      <c r="H1715" s="27" t="str">
        <f t="shared" si="96"/>
        <v>POSITIVO</v>
      </c>
      <c r="J1715" s="17">
        <f t="shared" si="97"/>
        <v>18.928571428571431</v>
      </c>
    </row>
    <row r="1716" spans="1:10">
      <c r="B1716" t="s">
        <v>1721</v>
      </c>
      <c r="C1716" s="24" t="s">
        <v>27</v>
      </c>
      <c r="D1716" s="25">
        <v>15.8</v>
      </c>
      <c r="E1716" s="26">
        <v>24.5</v>
      </c>
      <c r="G1716" s="17">
        <f t="shared" si="95"/>
        <v>24.307692307692307</v>
      </c>
      <c r="H1716" s="27" t="str">
        <f t="shared" si="96"/>
        <v>POSITIVO</v>
      </c>
      <c r="J1716" s="17">
        <f t="shared" si="97"/>
        <v>22.571428571428573</v>
      </c>
    </row>
    <row r="1717" spans="1:10">
      <c r="B1717" t="s">
        <v>1079</v>
      </c>
      <c r="C1717" s="24" t="s">
        <v>27</v>
      </c>
      <c r="D1717" s="25">
        <v>16.8</v>
      </c>
      <c r="E1717" s="26">
        <v>25.9</v>
      </c>
      <c r="G1717" s="17">
        <f t="shared" si="95"/>
        <v>25.846153846153847</v>
      </c>
      <c r="H1717" s="27" t="str">
        <f t="shared" si="96"/>
        <v>POSITIVO</v>
      </c>
      <c r="J1717" s="17">
        <f t="shared" si="97"/>
        <v>24.000000000000004</v>
      </c>
    </row>
    <row r="1718" spans="1:10">
      <c r="A1718" s="61" t="s">
        <v>2011</v>
      </c>
      <c r="B1718" t="s">
        <v>2010</v>
      </c>
      <c r="C1718" s="30" t="s">
        <v>27</v>
      </c>
      <c r="D1718" s="13">
        <v>25</v>
      </c>
      <c r="E1718" s="13">
        <v>38.9</v>
      </c>
      <c r="G1718" s="17">
        <f t="shared" si="95"/>
        <v>38.46153846153846</v>
      </c>
      <c r="H1718" s="27" t="str">
        <f t="shared" si="96"/>
        <v>POSITIVO</v>
      </c>
      <c r="J1718" s="17">
        <f t="shared" si="97"/>
        <v>35.714285714285715</v>
      </c>
    </row>
    <row r="1719" spans="1:10">
      <c r="B1719" t="s">
        <v>680</v>
      </c>
      <c r="C1719" s="24" t="s">
        <v>27</v>
      </c>
      <c r="D1719" s="25">
        <v>80.7</v>
      </c>
      <c r="E1719" s="26">
        <v>123.5</v>
      </c>
      <c r="G1719" s="17">
        <f t="shared" si="95"/>
        <v>124.15384615384616</v>
      </c>
      <c r="H1719" s="27" t="str">
        <f t="shared" si="96"/>
        <v>NEGATIVO</v>
      </c>
      <c r="J1719" s="17">
        <f t="shared" si="97"/>
        <v>115.28571428571429</v>
      </c>
    </row>
    <row r="1720" spans="1:10">
      <c r="B1720" t="s">
        <v>681</v>
      </c>
      <c r="C1720" s="24" t="s">
        <v>27</v>
      </c>
      <c r="D1720" s="25">
        <v>17</v>
      </c>
      <c r="E1720" s="26">
        <v>23</v>
      </c>
      <c r="G1720" s="17">
        <f t="shared" si="95"/>
        <v>26.153846153846153</v>
      </c>
      <c r="H1720" s="27" t="str">
        <f t="shared" si="96"/>
        <v>NEGATIVO</v>
      </c>
      <c r="J1720" s="17">
        <f t="shared" si="97"/>
        <v>24.285714285714288</v>
      </c>
    </row>
    <row r="1721" spans="1:10">
      <c r="B1721" t="s">
        <v>682</v>
      </c>
      <c r="C1721" s="24" t="s">
        <v>27</v>
      </c>
      <c r="D1721" s="25">
        <v>22.98</v>
      </c>
      <c r="E1721" s="26">
        <v>36</v>
      </c>
      <c r="G1721" s="17">
        <f t="shared" si="95"/>
        <v>35.353846153846156</v>
      </c>
      <c r="H1721" s="27" t="str">
        <f t="shared" si="96"/>
        <v>POSITIVO</v>
      </c>
      <c r="J1721" s="17">
        <f t="shared" si="97"/>
        <v>32.828571428571429</v>
      </c>
    </row>
    <row r="1722" spans="1:10">
      <c r="B1722" t="s">
        <v>683</v>
      </c>
      <c r="C1722" s="24" t="s">
        <v>27</v>
      </c>
      <c r="D1722" s="25">
        <v>2.2999999999999998</v>
      </c>
      <c r="E1722" s="26">
        <v>5</v>
      </c>
      <c r="G1722" s="17">
        <f t="shared" si="95"/>
        <v>3.5384615384615379</v>
      </c>
      <c r="H1722" s="27" t="str">
        <f t="shared" si="96"/>
        <v>POSITIVO</v>
      </c>
      <c r="J1722" s="17">
        <f t="shared" si="97"/>
        <v>3.2857142857142856</v>
      </c>
    </row>
    <row r="1723" spans="1:10">
      <c r="B1723" t="s">
        <v>684</v>
      </c>
      <c r="C1723" s="24" t="s">
        <v>27</v>
      </c>
      <c r="D1723" s="25">
        <v>17.600000000000001</v>
      </c>
      <c r="E1723" s="26">
        <v>27.8</v>
      </c>
      <c r="G1723" s="17">
        <f t="shared" si="95"/>
        <v>27.076923076923077</v>
      </c>
      <c r="H1723" s="27" t="str">
        <f t="shared" si="96"/>
        <v>POSITIVO</v>
      </c>
      <c r="J1723" s="17">
        <f t="shared" si="97"/>
        <v>25.142857142857146</v>
      </c>
    </row>
    <row r="1724" spans="1:10">
      <c r="B1724" t="s">
        <v>685</v>
      </c>
      <c r="C1724" s="24" t="s">
        <v>27</v>
      </c>
      <c r="D1724" s="25">
        <v>27.8</v>
      </c>
      <c r="E1724" s="26">
        <v>44</v>
      </c>
      <c r="G1724" s="17">
        <f t="shared" si="95"/>
        <v>42.769230769230766</v>
      </c>
      <c r="H1724" s="27" t="str">
        <f t="shared" si="96"/>
        <v>POSITIVO</v>
      </c>
      <c r="J1724" s="17">
        <f t="shared" si="97"/>
        <v>39.714285714285715</v>
      </c>
    </row>
    <row r="1725" spans="1:10">
      <c r="B1725" t="s">
        <v>686</v>
      </c>
      <c r="C1725" s="24" t="s">
        <v>46</v>
      </c>
      <c r="D1725" s="25">
        <v>32.9</v>
      </c>
      <c r="E1725" s="26">
        <v>55</v>
      </c>
      <c r="G1725" s="17">
        <f t="shared" si="95"/>
        <v>50.615384615384613</v>
      </c>
      <c r="H1725" s="27" t="str">
        <f t="shared" si="96"/>
        <v>POSITIVO</v>
      </c>
      <c r="J1725" s="17">
        <f t="shared" si="97"/>
        <v>47</v>
      </c>
    </row>
    <row r="1726" spans="1:10">
      <c r="B1726" t="s">
        <v>687</v>
      </c>
      <c r="C1726" s="24" t="s">
        <v>27</v>
      </c>
      <c r="D1726" s="25">
        <v>0.48</v>
      </c>
      <c r="E1726" s="26">
        <v>0.9</v>
      </c>
      <c r="G1726" s="17">
        <f t="shared" si="95"/>
        <v>0.73846153846153839</v>
      </c>
      <c r="H1726" s="27" t="str">
        <f t="shared" si="96"/>
        <v>POSITIVO</v>
      </c>
      <c r="J1726" s="17">
        <f t="shared" si="97"/>
        <v>0.68571428571428572</v>
      </c>
    </row>
    <row r="1727" spans="1:10">
      <c r="A1727" s="61" t="s">
        <v>2520</v>
      </c>
      <c r="B1727" t="s">
        <v>2519</v>
      </c>
      <c r="C1727" s="30" t="s">
        <v>27</v>
      </c>
      <c r="D1727" s="13">
        <v>3</v>
      </c>
      <c r="E1727" s="13">
        <v>8</v>
      </c>
      <c r="G1727" s="17">
        <f t="shared" si="95"/>
        <v>4.615384615384615</v>
      </c>
      <c r="H1727" s="27" t="str">
        <f t="shared" si="96"/>
        <v>POSITIVO</v>
      </c>
      <c r="J1727" s="17">
        <f t="shared" si="97"/>
        <v>4.2857142857142856</v>
      </c>
    </row>
    <row r="1728" spans="1:10">
      <c r="A1728" s="61" t="s">
        <v>2522</v>
      </c>
      <c r="B1728" t="s">
        <v>2521</v>
      </c>
      <c r="C1728" s="30" t="s">
        <v>27</v>
      </c>
      <c r="E1728" s="13">
        <v>6</v>
      </c>
      <c r="G1728" s="17">
        <f t="shared" si="95"/>
        <v>0</v>
      </c>
      <c r="H1728" s="27" t="str">
        <f t="shared" si="96"/>
        <v>POSITIVO</v>
      </c>
      <c r="J1728" s="17">
        <f t="shared" si="97"/>
        <v>0</v>
      </c>
    </row>
    <row r="1729" spans="2:10">
      <c r="B1729" t="s">
        <v>1962</v>
      </c>
      <c r="C1729" s="30" t="s">
        <v>27</v>
      </c>
      <c r="D1729" s="13">
        <v>9.99</v>
      </c>
      <c r="E1729" s="13">
        <v>36</v>
      </c>
      <c r="G1729" s="17">
        <f t="shared" si="95"/>
        <v>15.36923076923077</v>
      </c>
      <c r="H1729" s="27" t="str">
        <f t="shared" si="96"/>
        <v>POSITIVO</v>
      </c>
      <c r="J1729" s="17">
        <f t="shared" si="97"/>
        <v>14.271428571428572</v>
      </c>
    </row>
    <row r="1730" spans="2:10">
      <c r="B1730" t="s">
        <v>1961</v>
      </c>
      <c r="C1730" s="30" t="s">
        <v>27</v>
      </c>
      <c r="D1730" s="13">
        <v>9.99</v>
      </c>
      <c r="E1730" s="13">
        <v>18</v>
      </c>
      <c r="G1730" s="17">
        <f t="shared" si="95"/>
        <v>15.36923076923077</v>
      </c>
      <c r="H1730" s="27" t="str">
        <f t="shared" si="96"/>
        <v>POSITIVO</v>
      </c>
      <c r="J1730" s="17">
        <f t="shared" si="97"/>
        <v>14.271428571428572</v>
      </c>
    </row>
    <row r="1731" spans="2:10">
      <c r="B1731" t="s">
        <v>1960</v>
      </c>
      <c r="C1731" s="30" t="s">
        <v>27</v>
      </c>
      <c r="D1731" s="13">
        <v>5.99</v>
      </c>
      <c r="E1731" s="13">
        <v>12</v>
      </c>
      <c r="G1731" s="17">
        <f t="shared" si="95"/>
        <v>9.2153846153846146</v>
      </c>
      <c r="H1731" s="27" t="str">
        <f t="shared" si="96"/>
        <v>POSITIVO</v>
      </c>
      <c r="J1731" s="17">
        <f t="shared" si="97"/>
        <v>8.5571428571428587</v>
      </c>
    </row>
    <row r="1732" spans="2:10">
      <c r="B1732" t="s">
        <v>1685</v>
      </c>
      <c r="C1732" s="30" t="s">
        <v>27</v>
      </c>
      <c r="D1732" s="13">
        <v>10.5</v>
      </c>
      <c r="E1732" s="13">
        <v>16.899999999999999</v>
      </c>
      <c r="G1732" s="17">
        <f t="shared" si="95"/>
        <v>16.153846153846153</v>
      </c>
      <c r="H1732" s="27" t="str">
        <f t="shared" si="96"/>
        <v>POSITIVO</v>
      </c>
      <c r="J1732" s="17">
        <f t="shared" si="97"/>
        <v>15.000000000000002</v>
      </c>
    </row>
    <row r="1733" spans="2:10">
      <c r="B1733" t="s">
        <v>2355</v>
      </c>
      <c r="C1733" s="30" t="s">
        <v>27</v>
      </c>
      <c r="D1733" s="13">
        <v>10.96</v>
      </c>
      <c r="E1733" s="13">
        <v>16.899999999999999</v>
      </c>
      <c r="G1733" s="17">
        <f t="shared" si="95"/>
        <v>16.861538461538462</v>
      </c>
      <c r="H1733" s="27" t="str">
        <f t="shared" si="96"/>
        <v>POSITIVO</v>
      </c>
      <c r="J1733" s="17">
        <f t="shared" si="97"/>
        <v>15.65714285714286</v>
      </c>
    </row>
    <row r="1734" spans="2:10">
      <c r="B1734" t="s">
        <v>2354</v>
      </c>
      <c r="C1734" s="30" t="s">
        <v>27</v>
      </c>
      <c r="D1734" s="13">
        <v>13.72</v>
      </c>
      <c r="E1734" s="13">
        <v>21.5</v>
      </c>
      <c r="G1734" s="17">
        <f t="shared" si="95"/>
        <v>21.107692307692307</v>
      </c>
      <c r="H1734" s="27" t="str">
        <f t="shared" si="96"/>
        <v>POSITIVO</v>
      </c>
      <c r="J1734" s="17">
        <f t="shared" si="97"/>
        <v>19.600000000000001</v>
      </c>
    </row>
    <row r="1735" spans="2:10">
      <c r="B1735" t="s">
        <v>2353</v>
      </c>
      <c r="C1735" s="30" t="s">
        <v>27</v>
      </c>
      <c r="D1735" s="13">
        <v>17.68</v>
      </c>
      <c r="E1735" s="13">
        <v>27.9</v>
      </c>
      <c r="G1735" s="17">
        <f t="shared" si="95"/>
        <v>27.2</v>
      </c>
      <c r="H1735" s="27" t="str">
        <f t="shared" si="96"/>
        <v>POSITIVO</v>
      </c>
      <c r="J1735" s="17">
        <f t="shared" si="97"/>
        <v>25.25714285714286</v>
      </c>
    </row>
    <row r="1736" spans="2:10">
      <c r="B1736" t="s">
        <v>879</v>
      </c>
      <c r="C1736" s="30" t="s">
        <v>27</v>
      </c>
      <c r="D1736" s="34">
        <v>15.5</v>
      </c>
      <c r="E1736" s="13">
        <v>24.8</v>
      </c>
      <c r="G1736" s="17">
        <f t="shared" si="95"/>
        <v>23.846153846153847</v>
      </c>
      <c r="H1736" s="27" t="str">
        <f t="shared" si="96"/>
        <v>POSITIVO</v>
      </c>
      <c r="J1736" s="17">
        <f t="shared" si="97"/>
        <v>22.142857142857146</v>
      </c>
    </row>
    <row r="1737" spans="2:10">
      <c r="B1737" t="s">
        <v>688</v>
      </c>
      <c r="C1737" s="24" t="s">
        <v>27</v>
      </c>
      <c r="D1737" s="25">
        <v>6.48</v>
      </c>
      <c r="E1737" s="26">
        <v>9.5</v>
      </c>
      <c r="G1737" s="17">
        <f t="shared" si="95"/>
        <v>9.9692307692307693</v>
      </c>
      <c r="H1737" s="27" t="str">
        <f t="shared" si="96"/>
        <v>NEGATIVO</v>
      </c>
      <c r="J1737" s="17">
        <f t="shared" si="97"/>
        <v>9.257142857142858</v>
      </c>
    </row>
    <row r="1738" spans="2:10">
      <c r="B1738" t="s">
        <v>1662</v>
      </c>
      <c r="C1738" s="30" t="s">
        <v>27</v>
      </c>
      <c r="D1738" s="13">
        <v>6.6</v>
      </c>
      <c r="E1738" s="13">
        <v>12.5</v>
      </c>
      <c r="G1738" s="17">
        <f t="shared" si="95"/>
        <v>10.153846153846153</v>
      </c>
      <c r="H1738" s="27" t="str">
        <f t="shared" si="96"/>
        <v>POSITIVO</v>
      </c>
      <c r="J1738" s="17">
        <f t="shared" si="97"/>
        <v>9.4285714285714288</v>
      </c>
    </row>
    <row r="1739" spans="2:10">
      <c r="B1739" t="s">
        <v>689</v>
      </c>
      <c r="C1739" s="24" t="s">
        <v>27</v>
      </c>
      <c r="D1739" s="25">
        <v>2.9</v>
      </c>
      <c r="E1739" s="26">
        <v>5</v>
      </c>
      <c r="G1739" s="17">
        <f t="shared" si="95"/>
        <v>4.4615384615384617</v>
      </c>
      <c r="H1739" s="27" t="str">
        <f t="shared" si="96"/>
        <v>POSITIVO</v>
      </c>
      <c r="J1739" s="17">
        <f t="shared" si="97"/>
        <v>4.1428571428571432</v>
      </c>
    </row>
    <row r="1740" spans="2:10">
      <c r="B1740" t="s">
        <v>1835</v>
      </c>
      <c r="C1740" s="30" t="s">
        <v>27</v>
      </c>
      <c r="D1740" s="13">
        <v>8.9700000000000006</v>
      </c>
      <c r="E1740" s="13">
        <v>13.9</v>
      </c>
      <c r="G1740" s="17">
        <f t="shared" si="95"/>
        <v>13.8</v>
      </c>
      <c r="H1740" s="27" t="str">
        <f t="shared" si="96"/>
        <v>POSITIVO</v>
      </c>
      <c r="J1740" s="17">
        <f t="shared" si="97"/>
        <v>12.814285714285717</v>
      </c>
    </row>
    <row r="1741" spans="2:10">
      <c r="B1741" t="s">
        <v>1795</v>
      </c>
      <c r="C1741" s="30" t="s">
        <v>27</v>
      </c>
      <c r="D1741" s="13">
        <v>0.54</v>
      </c>
      <c r="E1741" s="13">
        <v>2</v>
      </c>
      <c r="G1741" s="17">
        <f t="shared" si="95"/>
        <v>0.83076923076923082</v>
      </c>
      <c r="H1741" s="27" t="str">
        <f t="shared" si="96"/>
        <v>POSITIVO</v>
      </c>
      <c r="J1741" s="17">
        <f t="shared" si="97"/>
        <v>0.77142857142857157</v>
      </c>
    </row>
    <row r="1742" spans="2:10">
      <c r="B1742" t="s">
        <v>1793</v>
      </c>
      <c r="C1742" s="30" t="s">
        <v>27</v>
      </c>
      <c r="D1742" s="13">
        <v>2.13</v>
      </c>
      <c r="E1742" s="13">
        <v>3.5</v>
      </c>
      <c r="G1742" s="17">
        <f t="shared" si="95"/>
        <v>3.2769230769230768</v>
      </c>
      <c r="H1742" s="27" t="str">
        <f t="shared" si="96"/>
        <v>POSITIVO</v>
      </c>
      <c r="J1742" s="17">
        <f t="shared" si="97"/>
        <v>3.0428571428571427</v>
      </c>
    </row>
    <row r="1743" spans="2:10">
      <c r="B1743" t="s">
        <v>1794</v>
      </c>
      <c r="C1743" s="30" t="s">
        <v>27</v>
      </c>
      <c r="D1743" s="13">
        <v>6.61</v>
      </c>
      <c r="E1743" s="13">
        <v>10.5</v>
      </c>
      <c r="G1743" s="17">
        <f t="shared" si="95"/>
        <v>10.169230769230769</v>
      </c>
      <c r="H1743" s="27" t="str">
        <f t="shared" si="96"/>
        <v>POSITIVO</v>
      </c>
      <c r="J1743" s="17">
        <f t="shared" si="97"/>
        <v>9.4428571428571431</v>
      </c>
    </row>
    <row r="1744" spans="2:10">
      <c r="B1744" t="s">
        <v>1650</v>
      </c>
      <c r="C1744" s="30" t="s">
        <v>27</v>
      </c>
      <c r="D1744" s="13">
        <v>299.89999999999998</v>
      </c>
      <c r="E1744" s="13">
        <v>430</v>
      </c>
      <c r="G1744" s="17">
        <f t="shared" si="95"/>
        <v>461.38461538461536</v>
      </c>
      <c r="H1744" s="27" t="str">
        <f t="shared" si="96"/>
        <v>NEGATIVO</v>
      </c>
      <c r="J1744" s="17">
        <f t="shared" si="97"/>
        <v>428.42857142857144</v>
      </c>
    </row>
    <row r="1745" spans="2:10">
      <c r="B1745" t="s">
        <v>1864</v>
      </c>
      <c r="C1745" s="24" t="s">
        <v>27</v>
      </c>
      <c r="D1745" s="25">
        <v>269.5</v>
      </c>
      <c r="E1745" s="26">
        <v>430</v>
      </c>
      <c r="G1745" s="17">
        <f t="shared" si="95"/>
        <v>414.61538461538458</v>
      </c>
      <c r="H1745" s="27" t="str">
        <f t="shared" si="96"/>
        <v>POSITIVO</v>
      </c>
      <c r="J1745" s="17">
        <f t="shared" si="97"/>
        <v>385</v>
      </c>
    </row>
    <row r="1746" spans="2:10">
      <c r="B1746" t="s">
        <v>834</v>
      </c>
      <c r="C1746" s="24" t="s">
        <v>27</v>
      </c>
      <c r="D1746" s="25">
        <v>156.05000000000001</v>
      </c>
      <c r="E1746" s="25">
        <v>230</v>
      </c>
      <c r="G1746" s="17">
        <f t="shared" si="95"/>
        <v>240.07692307692309</v>
      </c>
      <c r="H1746" s="27" t="str">
        <f t="shared" si="96"/>
        <v>NEGATIVO</v>
      </c>
      <c r="J1746" s="17">
        <f t="shared" si="97"/>
        <v>222.92857142857144</v>
      </c>
    </row>
    <row r="1747" spans="2:10">
      <c r="B1747" t="s">
        <v>1798</v>
      </c>
      <c r="C1747" s="30" t="s">
        <v>27</v>
      </c>
      <c r="D1747" s="13">
        <v>12.55</v>
      </c>
      <c r="E1747" s="13">
        <v>19.5</v>
      </c>
      <c r="G1747" s="17">
        <f t="shared" si="95"/>
        <v>19.307692307692307</v>
      </c>
      <c r="H1747" s="27" t="str">
        <f t="shared" si="96"/>
        <v>POSITIVO</v>
      </c>
      <c r="J1747" s="17">
        <f t="shared" si="97"/>
        <v>17.928571428571431</v>
      </c>
    </row>
    <row r="1748" spans="2:10">
      <c r="B1748" t="s">
        <v>1799</v>
      </c>
      <c r="C1748" s="30" t="s">
        <v>27</v>
      </c>
      <c r="D1748" s="13">
        <v>14.07</v>
      </c>
      <c r="E1748" s="13">
        <v>21.9</v>
      </c>
      <c r="G1748" s="17">
        <f t="shared" si="95"/>
        <v>21.646153846153847</v>
      </c>
      <c r="H1748" s="27" t="str">
        <f t="shared" si="96"/>
        <v>POSITIVO</v>
      </c>
      <c r="J1748" s="17">
        <f t="shared" si="97"/>
        <v>20.100000000000001</v>
      </c>
    </row>
    <row r="1749" spans="2:10">
      <c r="B1749" t="s">
        <v>690</v>
      </c>
      <c r="C1749" s="24" t="s">
        <v>27</v>
      </c>
      <c r="D1749" s="25">
        <v>9.76</v>
      </c>
      <c r="E1749" s="26">
        <v>16</v>
      </c>
      <c r="G1749" s="17">
        <f t="shared" si="95"/>
        <v>15.015384615384615</v>
      </c>
      <c r="H1749" s="27" t="str">
        <f t="shared" si="96"/>
        <v>POSITIVO</v>
      </c>
      <c r="J1749" s="17">
        <f t="shared" si="97"/>
        <v>13.942857142857143</v>
      </c>
    </row>
    <row r="1750" spans="2:10">
      <c r="B1750" t="s">
        <v>691</v>
      </c>
      <c r="C1750" s="24" t="s">
        <v>27</v>
      </c>
      <c r="D1750" s="25">
        <v>12.33</v>
      </c>
      <c r="E1750" s="26">
        <v>20</v>
      </c>
      <c r="G1750" s="17">
        <f t="shared" si="95"/>
        <v>18.969230769230769</v>
      </c>
      <c r="H1750" s="27" t="str">
        <f t="shared" si="96"/>
        <v>POSITIVO</v>
      </c>
      <c r="J1750" s="17">
        <f t="shared" si="97"/>
        <v>17.614285714285714</v>
      </c>
    </row>
    <row r="1751" spans="2:10">
      <c r="B1751" t="s">
        <v>1703</v>
      </c>
      <c r="C1751" s="30" t="s">
        <v>27</v>
      </c>
      <c r="D1751" s="13">
        <v>17.52</v>
      </c>
      <c r="E1751" s="13">
        <v>27.9</v>
      </c>
      <c r="G1751" s="17">
        <f t="shared" si="95"/>
        <v>26.953846153846154</v>
      </c>
      <c r="H1751" s="27" t="str">
        <f t="shared" si="96"/>
        <v>POSITIVO</v>
      </c>
      <c r="J1751" s="17">
        <f t="shared" si="97"/>
        <v>25.028571428571428</v>
      </c>
    </row>
    <row r="1752" spans="2:10">
      <c r="B1752" t="s">
        <v>692</v>
      </c>
      <c r="C1752" s="24" t="s">
        <v>27</v>
      </c>
      <c r="D1752" s="25">
        <v>12.6</v>
      </c>
      <c r="E1752" s="26">
        <v>18.5</v>
      </c>
      <c r="G1752" s="17">
        <f t="shared" si="95"/>
        <v>19.384615384615383</v>
      </c>
      <c r="H1752" s="27" t="str">
        <f t="shared" si="96"/>
        <v>NEGATIVO</v>
      </c>
      <c r="J1752" s="17">
        <f t="shared" si="97"/>
        <v>18</v>
      </c>
    </row>
    <row r="1753" spans="2:10">
      <c r="B1753" t="s">
        <v>693</v>
      </c>
      <c r="C1753" s="24" t="s">
        <v>27</v>
      </c>
      <c r="D1753" s="25">
        <v>16.48</v>
      </c>
      <c r="E1753" s="26">
        <v>24</v>
      </c>
      <c r="G1753" s="17">
        <f t="shared" si="95"/>
        <v>25.353846153846153</v>
      </c>
      <c r="H1753" s="27" t="str">
        <f t="shared" si="96"/>
        <v>NEGATIVO</v>
      </c>
      <c r="J1753" s="17">
        <f t="shared" si="97"/>
        <v>23.542857142857144</v>
      </c>
    </row>
    <row r="1754" spans="2:10">
      <c r="B1754" t="s">
        <v>694</v>
      </c>
      <c r="C1754" s="24" t="s">
        <v>27</v>
      </c>
      <c r="D1754" s="25">
        <v>9.33</v>
      </c>
      <c r="E1754" s="26">
        <v>13.8</v>
      </c>
      <c r="G1754" s="17">
        <f t="shared" si="95"/>
        <v>14.353846153846153</v>
      </c>
      <c r="H1754" s="27" t="str">
        <f t="shared" si="96"/>
        <v>NEGATIVO</v>
      </c>
      <c r="J1754" s="17">
        <f t="shared" si="97"/>
        <v>13.328571428571429</v>
      </c>
    </row>
    <row r="1755" spans="2:10">
      <c r="B1755" t="s">
        <v>1134</v>
      </c>
      <c r="C1755" s="24" t="s">
        <v>27</v>
      </c>
      <c r="D1755" s="25">
        <v>84.3</v>
      </c>
      <c r="E1755" s="26">
        <v>130</v>
      </c>
      <c r="G1755" s="17">
        <f t="shared" si="95"/>
        <v>129.69230769230768</v>
      </c>
      <c r="H1755" s="27" t="str">
        <f t="shared" si="96"/>
        <v>POSITIVO</v>
      </c>
      <c r="J1755" s="17">
        <f t="shared" si="97"/>
        <v>120.42857142857143</v>
      </c>
    </row>
    <row r="1756" spans="2:10">
      <c r="B1756" t="s">
        <v>1135</v>
      </c>
      <c r="C1756" s="24" t="s">
        <v>27</v>
      </c>
      <c r="D1756" s="25">
        <v>28.45</v>
      </c>
      <c r="E1756" s="26">
        <v>44.9</v>
      </c>
      <c r="G1756" s="17">
        <f t="shared" si="95"/>
        <v>43.769230769230766</v>
      </c>
      <c r="H1756" s="27" t="str">
        <f t="shared" si="96"/>
        <v>POSITIVO</v>
      </c>
      <c r="J1756" s="17">
        <f t="shared" si="97"/>
        <v>40.642857142857146</v>
      </c>
    </row>
    <row r="1757" spans="2:10">
      <c r="B1757" t="s">
        <v>695</v>
      </c>
      <c r="C1757" s="24" t="s">
        <v>27</v>
      </c>
      <c r="D1757" s="25">
        <v>53.56</v>
      </c>
      <c r="E1757" s="26">
        <v>85</v>
      </c>
      <c r="G1757" s="17">
        <f t="shared" si="95"/>
        <v>82.4</v>
      </c>
      <c r="H1757" s="27" t="str">
        <f t="shared" si="96"/>
        <v>POSITIVO</v>
      </c>
      <c r="J1757" s="17">
        <f t="shared" si="97"/>
        <v>76.51428571428572</v>
      </c>
    </row>
    <row r="1758" spans="2:10">
      <c r="B1758" t="s">
        <v>1921</v>
      </c>
      <c r="C1758" s="30" t="s">
        <v>27</v>
      </c>
      <c r="D1758" s="13">
        <v>14.09</v>
      </c>
      <c r="E1758" s="13">
        <v>21.9</v>
      </c>
      <c r="G1758" s="17">
        <f t="shared" si="95"/>
        <v>21.676923076923075</v>
      </c>
      <c r="H1758" s="27" t="str">
        <f t="shared" si="96"/>
        <v>POSITIVO</v>
      </c>
      <c r="J1758" s="17">
        <f t="shared" si="97"/>
        <v>20.12857142857143</v>
      </c>
    </row>
    <row r="1759" spans="2:10">
      <c r="B1759" t="s">
        <v>1046</v>
      </c>
      <c r="C1759" s="24" t="s">
        <v>27</v>
      </c>
      <c r="D1759" s="25">
        <v>41.43</v>
      </c>
      <c r="E1759" s="26">
        <v>65</v>
      </c>
      <c r="G1759" s="17">
        <f t="shared" si="95"/>
        <v>63.738461538461536</v>
      </c>
      <c r="H1759" s="27" t="str">
        <f t="shared" si="96"/>
        <v>POSITIVO</v>
      </c>
      <c r="J1759" s="17">
        <f t="shared" si="97"/>
        <v>59.18571428571429</v>
      </c>
    </row>
    <row r="1760" spans="2:10">
      <c r="B1760" t="s">
        <v>696</v>
      </c>
      <c r="C1760" s="24" t="s">
        <v>27</v>
      </c>
      <c r="D1760" s="25">
        <v>139.99</v>
      </c>
      <c r="E1760" s="26">
        <v>214</v>
      </c>
      <c r="G1760" s="17">
        <f t="shared" si="95"/>
        <v>215.36923076923077</v>
      </c>
      <c r="H1760" s="27" t="str">
        <f t="shared" si="96"/>
        <v>NEGATIVO</v>
      </c>
      <c r="J1760" s="17">
        <f t="shared" si="97"/>
        <v>199.98571428571432</v>
      </c>
    </row>
    <row r="1761" spans="1:10">
      <c r="B1761" t="s">
        <v>697</v>
      </c>
      <c r="C1761" s="24" t="s">
        <v>27</v>
      </c>
      <c r="D1761" s="25">
        <v>36.69</v>
      </c>
      <c r="E1761" s="26">
        <v>58</v>
      </c>
      <c r="G1761" s="17">
        <f t="shared" si="95"/>
        <v>56.446153846153841</v>
      </c>
      <c r="H1761" s="27" t="str">
        <f t="shared" si="96"/>
        <v>POSITIVO</v>
      </c>
      <c r="J1761" s="17">
        <f t="shared" si="97"/>
        <v>52.414285714285711</v>
      </c>
    </row>
    <row r="1762" spans="1:10">
      <c r="B1762" t="s">
        <v>2379</v>
      </c>
      <c r="C1762" s="24" t="s">
        <v>27</v>
      </c>
      <c r="D1762" s="25">
        <v>12.05</v>
      </c>
      <c r="E1762" s="26">
        <v>20</v>
      </c>
      <c r="G1762" s="17">
        <f t="shared" si="95"/>
        <v>18.53846153846154</v>
      </c>
      <c r="H1762" s="27" t="str">
        <f t="shared" si="96"/>
        <v>POSITIVO</v>
      </c>
      <c r="J1762" s="17">
        <f t="shared" si="97"/>
        <v>17.214285714285715</v>
      </c>
    </row>
    <row r="1763" spans="1:10">
      <c r="B1763" t="s">
        <v>698</v>
      </c>
      <c r="C1763" s="24" t="s">
        <v>27</v>
      </c>
      <c r="D1763" s="25">
        <v>58.63</v>
      </c>
      <c r="E1763" s="26">
        <v>90.5</v>
      </c>
      <c r="G1763" s="17">
        <f t="shared" si="95"/>
        <v>90.2</v>
      </c>
      <c r="H1763" s="27" t="str">
        <f t="shared" si="96"/>
        <v>POSITIVO</v>
      </c>
      <c r="J1763" s="17">
        <f t="shared" si="97"/>
        <v>83.757142857142867</v>
      </c>
    </row>
    <row r="1764" spans="1:10">
      <c r="B1764" t="s">
        <v>1388</v>
      </c>
      <c r="C1764" s="30" t="s">
        <v>27</v>
      </c>
      <c r="D1764" s="13">
        <v>8.1999999999999993</v>
      </c>
      <c r="E1764" s="13">
        <v>12</v>
      </c>
      <c r="G1764" s="17">
        <f t="shared" si="95"/>
        <v>12.615384615384613</v>
      </c>
      <c r="H1764" s="27" t="str">
        <f t="shared" si="96"/>
        <v>NEGATIVO</v>
      </c>
      <c r="J1764" s="17">
        <f t="shared" si="97"/>
        <v>11.714285714285714</v>
      </c>
    </row>
    <row r="1765" spans="1:10">
      <c r="B1765" t="s">
        <v>1340</v>
      </c>
      <c r="C1765" s="24" t="s">
        <v>27</v>
      </c>
      <c r="D1765" s="25">
        <v>8.24</v>
      </c>
      <c r="E1765" s="26">
        <v>13</v>
      </c>
      <c r="G1765" s="17">
        <f t="shared" si="95"/>
        <v>12.676923076923076</v>
      </c>
      <c r="H1765" s="27" t="str">
        <f t="shared" si="96"/>
        <v>POSITIVO</v>
      </c>
      <c r="J1765" s="17">
        <f t="shared" si="97"/>
        <v>11.771428571428572</v>
      </c>
    </row>
    <row r="1766" spans="1:10">
      <c r="B1766" t="s">
        <v>699</v>
      </c>
      <c r="C1766" s="24" t="s">
        <v>46</v>
      </c>
      <c r="D1766" s="25">
        <v>69.489999999999995</v>
      </c>
      <c r="E1766" s="26">
        <v>108</v>
      </c>
      <c r="G1766" s="17">
        <f t="shared" si="95"/>
        <v>106.9076923076923</v>
      </c>
      <c r="H1766" s="27" t="str">
        <f t="shared" si="96"/>
        <v>POSITIVO</v>
      </c>
      <c r="J1766" s="17">
        <f t="shared" si="97"/>
        <v>99.271428571428572</v>
      </c>
    </row>
    <row r="1767" spans="1:10">
      <c r="B1767" t="s">
        <v>1737</v>
      </c>
      <c r="C1767" s="30" t="s">
        <v>46</v>
      </c>
      <c r="D1767" s="13">
        <v>20.5</v>
      </c>
      <c r="E1767" s="13">
        <v>35</v>
      </c>
      <c r="G1767" s="17">
        <f t="shared" si="95"/>
        <v>31.538461538461537</v>
      </c>
      <c r="H1767" s="27" t="str">
        <f t="shared" si="96"/>
        <v>POSITIVO</v>
      </c>
      <c r="J1767" s="17">
        <f t="shared" si="97"/>
        <v>29.285714285714288</v>
      </c>
    </row>
    <row r="1768" spans="1:10">
      <c r="B1768" t="s">
        <v>1589</v>
      </c>
      <c r="C1768" s="24" t="s">
        <v>46</v>
      </c>
      <c r="D1768" s="25">
        <v>20.89</v>
      </c>
      <c r="E1768" s="26">
        <v>35</v>
      </c>
      <c r="G1768" s="17">
        <f t="shared" si="95"/>
        <v>32.138461538461542</v>
      </c>
      <c r="H1768" s="27" t="str">
        <f t="shared" si="96"/>
        <v>POSITIVO</v>
      </c>
      <c r="J1768" s="17">
        <f t="shared" si="97"/>
        <v>29.842857142857145</v>
      </c>
    </row>
    <row r="1769" spans="1:10">
      <c r="B1769" t="s">
        <v>700</v>
      </c>
      <c r="C1769" s="24" t="s">
        <v>46</v>
      </c>
      <c r="D1769" s="25">
        <v>43.9</v>
      </c>
      <c r="E1769" s="26">
        <v>68</v>
      </c>
      <c r="G1769" s="17">
        <f t="shared" si="95"/>
        <v>67.538461538461533</v>
      </c>
      <c r="H1769" s="27" t="str">
        <f t="shared" si="96"/>
        <v>POSITIVO</v>
      </c>
      <c r="J1769" s="17">
        <f t="shared" si="97"/>
        <v>62.714285714285715</v>
      </c>
    </row>
    <row r="1770" spans="1:10">
      <c r="B1770" t="s">
        <v>701</v>
      </c>
      <c r="C1770" s="24" t="s">
        <v>46</v>
      </c>
      <c r="D1770" s="25">
        <v>15.34</v>
      </c>
      <c r="E1770" s="26">
        <v>25</v>
      </c>
      <c r="G1770" s="17">
        <f t="shared" si="95"/>
        <v>23.599999999999998</v>
      </c>
      <c r="H1770" s="27" t="str">
        <f t="shared" si="96"/>
        <v>POSITIVO</v>
      </c>
      <c r="J1770" s="17">
        <f t="shared" si="97"/>
        <v>21.914285714285715</v>
      </c>
    </row>
    <row r="1771" spans="1:10">
      <c r="B1771" t="s">
        <v>702</v>
      </c>
      <c r="C1771" s="24" t="s">
        <v>46</v>
      </c>
      <c r="D1771" s="25">
        <v>30</v>
      </c>
      <c r="E1771" s="26">
        <v>55</v>
      </c>
      <c r="G1771" s="17">
        <f t="shared" si="95"/>
        <v>46.153846153846153</v>
      </c>
      <c r="H1771" s="27" t="str">
        <f t="shared" si="96"/>
        <v>POSITIVO</v>
      </c>
      <c r="J1771" s="17">
        <f t="shared" si="97"/>
        <v>42.857142857142861</v>
      </c>
    </row>
    <row r="1772" spans="1:10">
      <c r="A1772" s="61" t="s">
        <v>2564</v>
      </c>
      <c r="B1772" t="s">
        <v>703</v>
      </c>
      <c r="C1772" s="24" t="s">
        <v>27</v>
      </c>
      <c r="D1772" s="25">
        <v>21.22</v>
      </c>
      <c r="E1772" s="26">
        <v>33</v>
      </c>
      <c r="G1772" s="17">
        <f t="shared" si="95"/>
        <v>32.646153846153844</v>
      </c>
      <c r="H1772" s="27" t="str">
        <f t="shared" si="96"/>
        <v>POSITIVO</v>
      </c>
      <c r="J1772" s="17">
        <f t="shared" si="97"/>
        <v>30.314285714285713</v>
      </c>
    </row>
    <row r="1773" spans="1:10">
      <c r="B1773" t="s">
        <v>704</v>
      </c>
      <c r="C1773" s="24" t="s">
        <v>27</v>
      </c>
      <c r="D1773" s="25">
        <v>3.1</v>
      </c>
      <c r="E1773" s="26">
        <v>4.2</v>
      </c>
      <c r="G1773" s="17">
        <f t="shared" si="95"/>
        <v>4.7692307692307692</v>
      </c>
      <c r="H1773" s="27" t="str">
        <f t="shared" si="96"/>
        <v>NEGATIVO</v>
      </c>
      <c r="J1773" s="17">
        <f t="shared" si="97"/>
        <v>4.4285714285714288</v>
      </c>
    </row>
    <row r="1774" spans="1:10">
      <c r="A1774" s="61" t="s">
        <v>2518</v>
      </c>
      <c r="B1774" t="s">
        <v>1242</v>
      </c>
      <c r="C1774" s="30" t="s">
        <v>27</v>
      </c>
      <c r="D1774" s="13">
        <v>15.99</v>
      </c>
      <c r="E1774" s="13">
        <v>25</v>
      </c>
      <c r="G1774" s="17">
        <f t="shared" ref="G1774:G1835" si="98">(D1774/65%)</f>
        <v>24.599999999999998</v>
      </c>
      <c r="H1774" s="27" t="str">
        <f t="shared" ref="H1774:H1835" si="99">IF(E1774&gt;=G1774,"POSITIVO","NEGATIVO")</f>
        <v>POSITIVO</v>
      </c>
      <c r="J1774" s="17">
        <f t="shared" ref="J1774:J1835" si="100">D1774/70%</f>
        <v>22.842857142857145</v>
      </c>
    </row>
    <row r="1775" spans="1:10">
      <c r="B1775" t="s">
        <v>705</v>
      </c>
      <c r="C1775" s="24" t="s">
        <v>27</v>
      </c>
      <c r="D1775" s="25">
        <v>4.5</v>
      </c>
      <c r="E1775" s="26">
        <v>7.5</v>
      </c>
      <c r="G1775" s="17">
        <f t="shared" si="98"/>
        <v>6.9230769230769225</v>
      </c>
      <c r="H1775" s="27" t="str">
        <f t="shared" si="99"/>
        <v>POSITIVO</v>
      </c>
      <c r="J1775" s="17">
        <f t="shared" si="100"/>
        <v>6.4285714285714288</v>
      </c>
    </row>
    <row r="1776" spans="1:10">
      <c r="A1776" s="61" t="s">
        <v>2498</v>
      </c>
      <c r="B1776" t="s">
        <v>1428</v>
      </c>
      <c r="C1776" s="30" t="s">
        <v>27</v>
      </c>
      <c r="D1776" s="13">
        <v>1.7</v>
      </c>
      <c r="E1776" s="13">
        <v>3</v>
      </c>
      <c r="G1776" s="17">
        <f t="shared" si="98"/>
        <v>2.6153846153846154</v>
      </c>
      <c r="H1776" s="27" t="str">
        <f t="shared" si="99"/>
        <v>POSITIVO</v>
      </c>
      <c r="J1776" s="17">
        <f t="shared" si="100"/>
        <v>2.4285714285714288</v>
      </c>
    </row>
    <row r="1777" spans="1:10">
      <c r="A1777" s="61" t="s">
        <v>2497</v>
      </c>
      <c r="B1777" t="s">
        <v>706</v>
      </c>
      <c r="C1777" s="24" t="s">
        <v>27</v>
      </c>
      <c r="D1777" s="25">
        <v>4.3600000000000003</v>
      </c>
      <c r="E1777" s="26">
        <v>6.8</v>
      </c>
      <c r="G1777" s="17">
        <f t="shared" si="98"/>
        <v>6.7076923076923078</v>
      </c>
      <c r="H1777" s="27" t="str">
        <f t="shared" si="99"/>
        <v>POSITIVO</v>
      </c>
      <c r="J1777" s="17">
        <f t="shared" si="100"/>
        <v>6.2285714285714295</v>
      </c>
    </row>
    <row r="1778" spans="1:10">
      <c r="A1778" s="61" t="s">
        <v>2496</v>
      </c>
      <c r="B1778" t="s">
        <v>890</v>
      </c>
      <c r="C1778" s="30" t="s">
        <v>27</v>
      </c>
      <c r="D1778" s="25">
        <v>3.1</v>
      </c>
      <c r="E1778" s="26">
        <v>4.9000000000000004</v>
      </c>
      <c r="G1778" s="17">
        <f t="shared" si="98"/>
        <v>4.7692307692307692</v>
      </c>
      <c r="H1778" s="27" t="str">
        <f t="shared" si="99"/>
        <v>POSITIVO</v>
      </c>
      <c r="J1778" s="17">
        <f t="shared" si="100"/>
        <v>4.4285714285714288</v>
      </c>
    </row>
    <row r="1779" spans="1:10">
      <c r="A1779" s="61" t="s">
        <v>2501</v>
      </c>
      <c r="B1779" t="s">
        <v>707</v>
      </c>
      <c r="C1779" s="24" t="s">
        <v>27</v>
      </c>
      <c r="D1779" s="25">
        <v>15.74</v>
      </c>
      <c r="E1779" s="26">
        <v>24.9</v>
      </c>
      <c r="G1779" s="17">
        <f t="shared" si="98"/>
        <v>24.215384615384615</v>
      </c>
      <c r="H1779" s="27" t="str">
        <f t="shared" si="99"/>
        <v>POSITIVO</v>
      </c>
      <c r="J1779" s="17">
        <f t="shared" si="100"/>
        <v>22.485714285714288</v>
      </c>
    </row>
    <row r="1780" spans="1:10">
      <c r="A1780" s="61" t="s">
        <v>2493</v>
      </c>
      <c r="B1780" t="s">
        <v>708</v>
      </c>
      <c r="C1780" s="24" t="s">
        <v>27</v>
      </c>
      <c r="D1780" s="25">
        <v>4.5</v>
      </c>
      <c r="E1780" s="26">
        <v>7.1</v>
      </c>
      <c r="G1780" s="17">
        <f t="shared" si="98"/>
        <v>6.9230769230769225</v>
      </c>
      <c r="H1780" s="27" t="str">
        <f t="shared" si="99"/>
        <v>POSITIVO</v>
      </c>
      <c r="J1780" s="17">
        <f t="shared" si="100"/>
        <v>6.4285714285714288</v>
      </c>
    </row>
    <row r="1781" spans="1:10">
      <c r="A1781" s="61" t="s">
        <v>2495</v>
      </c>
      <c r="B1781" t="s">
        <v>709</v>
      </c>
      <c r="C1781" s="24" t="s">
        <v>27</v>
      </c>
      <c r="D1781" s="25">
        <v>4.75</v>
      </c>
      <c r="E1781" s="26">
        <v>7.4</v>
      </c>
      <c r="G1781" s="17">
        <f t="shared" si="98"/>
        <v>7.3076923076923075</v>
      </c>
      <c r="H1781" s="27" t="str">
        <f t="shared" si="99"/>
        <v>POSITIVO</v>
      </c>
      <c r="J1781" s="17">
        <f t="shared" si="100"/>
        <v>6.7857142857142865</v>
      </c>
    </row>
    <row r="1782" spans="1:10">
      <c r="A1782" s="61" t="s">
        <v>2066</v>
      </c>
      <c r="B1782" t="s">
        <v>2065</v>
      </c>
      <c r="C1782" s="24" t="s">
        <v>27</v>
      </c>
      <c r="D1782" s="25">
        <v>6.9</v>
      </c>
      <c r="E1782" s="26">
        <v>10.8</v>
      </c>
      <c r="G1782" s="17">
        <f t="shared" si="98"/>
        <v>10.615384615384615</v>
      </c>
      <c r="H1782" s="27" t="str">
        <f t="shared" si="99"/>
        <v>POSITIVO</v>
      </c>
      <c r="J1782" s="17">
        <f t="shared" si="100"/>
        <v>9.8571428571428577</v>
      </c>
    </row>
    <row r="1783" spans="1:10">
      <c r="B1783" t="s">
        <v>710</v>
      </c>
      <c r="C1783" s="24" t="s">
        <v>27</v>
      </c>
      <c r="D1783" s="25">
        <v>2.1</v>
      </c>
      <c r="E1783" s="26">
        <v>4.5</v>
      </c>
      <c r="G1783" s="17">
        <f t="shared" si="98"/>
        <v>3.2307692307692308</v>
      </c>
      <c r="H1783" s="27" t="str">
        <f t="shared" si="99"/>
        <v>POSITIVO</v>
      </c>
      <c r="J1783" s="17">
        <f t="shared" si="100"/>
        <v>3.0000000000000004</v>
      </c>
    </row>
    <row r="1784" spans="1:10">
      <c r="B1784" t="s">
        <v>711</v>
      </c>
      <c r="C1784" s="24" t="s">
        <v>27</v>
      </c>
      <c r="D1784" s="25">
        <v>3</v>
      </c>
      <c r="E1784" s="26">
        <v>4.9000000000000004</v>
      </c>
      <c r="G1784" s="17">
        <f t="shared" si="98"/>
        <v>4.615384615384615</v>
      </c>
      <c r="H1784" s="27" t="str">
        <f t="shared" si="99"/>
        <v>POSITIVO</v>
      </c>
      <c r="J1784" s="17">
        <f t="shared" si="100"/>
        <v>4.2857142857142856</v>
      </c>
    </row>
    <row r="1785" spans="1:10">
      <c r="A1785" s="61" t="s">
        <v>2499</v>
      </c>
      <c r="B1785" t="s">
        <v>1429</v>
      </c>
      <c r="C1785" s="30" t="s">
        <v>27</v>
      </c>
      <c r="D1785" s="13">
        <v>2.95</v>
      </c>
      <c r="E1785" s="13">
        <v>4.8</v>
      </c>
      <c r="G1785" s="17">
        <f t="shared" si="98"/>
        <v>4.5384615384615383</v>
      </c>
      <c r="H1785" s="27" t="str">
        <f t="shared" si="99"/>
        <v>POSITIVO</v>
      </c>
      <c r="J1785" s="17">
        <f t="shared" si="100"/>
        <v>4.2142857142857144</v>
      </c>
    </row>
    <row r="1786" spans="1:10">
      <c r="A1786" s="61" t="s">
        <v>2500</v>
      </c>
      <c r="B1786" t="s">
        <v>712</v>
      </c>
      <c r="C1786" s="24" t="s">
        <v>27</v>
      </c>
      <c r="D1786" s="25">
        <v>1.5</v>
      </c>
      <c r="E1786" s="26">
        <v>2.5</v>
      </c>
      <c r="G1786" s="17">
        <f t="shared" si="98"/>
        <v>2.3076923076923075</v>
      </c>
      <c r="H1786" s="27" t="str">
        <f t="shared" si="99"/>
        <v>POSITIVO</v>
      </c>
      <c r="J1786" s="17">
        <f t="shared" si="100"/>
        <v>2.1428571428571428</v>
      </c>
    </row>
    <row r="1787" spans="1:10">
      <c r="B1787" t="s">
        <v>713</v>
      </c>
      <c r="C1787" s="24" t="s">
        <v>27</v>
      </c>
      <c r="D1787" s="25">
        <v>1.88</v>
      </c>
      <c r="E1787" s="26">
        <v>2.9</v>
      </c>
      <c r="G1787" s="17">
        <f t="shared" si="98"/>
        <v>2.8923076923076922</v>
      </c>
      <c r="H1787" s="27" t="str">
        <f t="shared" si="99"/>
        <v>POSITIVO</v>
      </c>
      <c r="J1787" s="17">
        <f t="shared" si="100"/>
        <v>2.6857142857142859</v>
      </c>
    </row>
    <row r="1788" spans="1:10">
      <c r="B1788" t="s">
        <v>994</v>
      </c>
      <c r="C1788" s="24" t="s">
        <v>27</v>
      </c>
      <c r="D1788" s="13">
        <v>2.34</v>
      </c>
      <c r="E1788" s="13">
        <v>3.6</v>
      </c>
      <c r="G1788" s="17">
        <f t="shared" si="98"/>
        <v>3.5999999999999996</v>
      </c>
      <c r="H1788" s="27" t="str">
        <f t="shared" si="99"/>
        <v>POSITIVO</v>
      </c>
      <c r="J1788" s="17">
        <f t="shared" si="100"/>
        <v>3.342857142857143</v>
      </c>
    </row>
    <row r="1789" spans="1:10">
      <c r="B1789" t="s">
        <v>993</v>
      </c>
      <c r="C1789" s="24" t="s">
        <v>27</v>
      </c>
      <c r="D1789" s="13">
        <v>2.25</v>
      </c>
      <c r="E1789" s="13">
        <v>3.5</v>
      </c>
      <c r="G1789" s="17">
        <f t="shared" si="98"/>
        <v>3.4615384615384612</v>
      </c>
      <c r="H1789" s="27" t="str">
        <f t="shared" si="99"/>
        <v>POSITIVO</v>
      </c>
      <c r="J1789" s="17">
        <f t="shared" si="100"/>
        <v>3.2142857142857144</v>
      </c>
    </row>
    <row r="1790" spans="1:10">
      <c r="A1790" s="61">
        <v>7891799441500</v>
      </c>
      <c r="B1790" t="s">
        <v>714</v>
      </c>
      <c r="C1790" s="24" t="s">
        <v>27</v>
      </c>
      <c r="D1790" s="25">
        <v>2.04</v>
      </c>
      <c r="E1790" s="26">
        <v>3.15</v>
      </c>
      <c r="G1790" s="17">
        <f t="shared" si="98"/>
        <v>3.1384615384615384</v>
      </c>
      <c r="H1790" s="27" t="str">
        <f t="shared" si="99"/>
        <v>POSITIVO</v>
      </c>
      <c r="J1790" s="17">
        <f t="shared" si="100"/>
        <v>2.9142857142857146</v>
      </c>
    </row>
    <row r="1791" spans="1:10">
      <c r="B1791" t="s">
        <v>1754</v>
      </c>
      <c r="C1791" s="30" t="s">
        <v>27</v>
      </c>
      <c r="D1791" s="13">
        <v>3.32</v>
      </c>
      <c r="E1791" s="13">
        <v>5.2</v>
      </c>
      <c r="G1791" s="17">
        <f t="shared" si="98"/>
        <v>5.1076923076923073</v>
      </c>
      <c r="H1791" s="27" t="str">
        <f t="shared" si="99"/>
        <v>POSITIVO</v>
      </c>
      <c r="J1791" s="17">
        <f t="shared" si="100"/>
        <v>4.7428571428571429</v>
      </c>
    </row>
    <row r="1792" spans="1:10">
      <c r="B1792" t="s">
        <v>715</v>
      </c>
      <c r="C1792" s="24" t="s">
        <v>27</v>
      </c>
      <c r="D1792" s="25">
        <v>4.8499999999999996</v>
      </c>
      <c r="E1792" s="26">
        <v>7.5</v>
      </c>
      <c r="G1792" s="17">
        <f t="shared" si="98"/>
        <v>7.4615384615384608</v>
      </c>
      <c r="H1792" s="27" t="str">
        <f t="shared" si="99"/>
        <v>POSITIVO</v>
      </c>
      <c r="J1792" s="17">
        <f t="shared" si="100"/>
        <v>6.9285714285714288</v>
      </c>
    </row>
    <row r="1793" spans="1:10">
      <c r="A1793" s="61">
        <v>7891799441517</v>
      </c>
      <c r="B1793" t="s">
        <v>1405</v>
      </c>
      <c r="C1793" s="30" t="s">
        <v>27</v>
      </c>
      <c r="D1793" s="13">
        <v>2.25</v>
      </c>
      <c r="E1793" s="13">
        <v>3.5</v>
      </c>
      <c r="G1793" s="17">
        <f t="shared" si="98"/>
        <v>3.4615384615384612</v>
      </c>
      <c r="H1793" s="27" t="str">
        <f t="shared" si="99"/>
        <v>POSITIVO</v>
      </c>
      <c r="J1793" s="17">
        <f t="shared" si="100"/>
        <v>3.2142857142857144</v>
      </c>
    </row>
    <row r="1794" spans="1:10">
      <c r="B1794" t="s">
        <v>1743</v>
      </c>
      <c r="C1794" s="30" t="s">
        <v>27</v>
      </c>
      <c r="D1794" s="13">
        <v>1.31</v>
      </c>
      <c r="E1794" s="13">
        <v>2.0499999999999998</v>
      </c>
      <c r="G1794" s="17">
        <f t="shared" si="98"/>
        <v>2.0153846153846153</v>
      </c>
      <c r="H1794" s="27" t="str">
        <f t="shared" si="99"/>
        <v>POSITIVO</v>
      </c>
      <c r="J1794" s="17">
        <f t="shared" si="100"/>
        <v>1.8714285714285717</v>
      </c>
    </row>
    <row r="1795" spans="1:10">
      <c r="B1795" t="s">
        <v>1310</v>
      </c>
      <c r="C1795" s="24" t="s">
        <v>27</v>
      </c>
      <c r="D1795" s="13">
        <v>1.42</v>
      </c>
      <c r="E1795" s="13">
        <v>2.2000000000000002</v>
      </c>
      <c r="G1795" s="17">
        <f t="shared" si="98"/>
        <v>2.1846153846153844</v>
      </c>
      <c r="H1795" s="27" t="str">
        <f t="shared" si="99"/>
        <v>POSITIVO</v>
      </c>
      <c r="J1795" s="17">
        <f t="shared" si="100"/>
        <v>2.0285714285714285</v>
      </c>
    </row>
    <row r="1796" spans="1:10">
      <c r="B1796" t="s">
        <v>716</v>
      </c>
      <c r="C1796" s="24" t="s">
        <v>27</v>
      </c>
      <c r="D1796" s="25">
        <v>1.48</v>
      </c>
      <c r="E1796" s="26">
        <v>2.2999999999999998</v>
      </c>
      <c r="G1796" s="17">
        <f t="shared" si="98"/>
        <v>2.2769230769230768</v>
      </c>
      <c r="H1796" s="27" t="str">
        <f t="shared" si="99"/>
        <v>POSITIVO</v>
      </c>
      <c r="J1796" s="17">
        <f t="shared" si="100"/>
        <v>2.1142857142857143</v>
      </c>
    </row>
    <row r="1797" spans="1:10">
      <c r="B1797" t="s">
        <v>1621</v>
      </c>
      <c r="C1797" s="30" t="s">
        <v>27</v>
      </c>
      <c r="D1797" s="13">
        <v>1.51</v>
      </c>
      <c r="E1797" s="13">
        <v>2.35</v>
      </c>
      <c r="G1797" s="17">
        <f t="shared" si="98"/>
        <v>2.3230769230769228</v>
      </c>
      <c r="H1797" s="27" t="str">
        <f t="shared" si="99"/>
        <v>POSITIVO</v>
      </c>
      <c r="J1797" s="17">
        <f t="shared" si="100"/>
        <v>2.1571428571428575</v>
      </c>
    </row>
    <row r="1798" spans="1:10">
      <c r="B1798" t="s">
        <v>1744</v>
      </c>
      <c r="C1798" s="30" t="s">
        <v>27</v>
      </c>
      <c r="D1798" s="13">
        <v>1.97</v>
      </c>
      <c r="E1798" s="13">
        <v>3.05</v>
      </c>
      <c r="G1798" s="17">
        <f t="shared" si="98"/>
        <v>3.0307692307692307</v>
      </c>
      <c r="H1798" s="27" t="str">
        <f t="shared" si="99"/>
        <v>POSITIVO</v>
      </c>
      <c r="J1798" s="17">
        <f t="shared" si="100"/>
        <v>2.8142857142857145</v>
      </c>
    </row>
    <row r="1799" spans="1:10">
      <c r="B1799" t="s">
        <v>1620</v>
      </c>
      <c r="C1799" s="24" t="s">
        <v>27</v>
      </c>
      <c r="D1799" s="13">
        <v>2.0099999999999998</v>
      </c>
      <c r="E1799" s="13">
        <v>3.1</v>
      </c>
      <c r="G1799" s="17">
        <f t="shared" si="98"/>
        <v>3.092307692307692</v>
      </c>
      <c r="H1799" s="27" t="str">
        <f t="shared" si="99"/>
        <v>POSITIVO</v>
      </c>
      <c r="J1799" s="17">
        <f t="shared" si="100"/>
        <v>2.8714285714285714</v>
      </c>
    </row>
    <row r="1800" spans="1:10">
      <c r="B1800" t="s">
        <v>717</v>
      </c>
      <c r="C1800" s="24" t="s">
        <v>27</v>
      </c>
      <c r="D1800" s="25">
        <v>2.14</v>
      </c>
      <c r="E1800" s="26">
        <v>3.3</v>
      </c>
      <c r="G1800" s="17">
        <f t="shared" si="98"/>
        <v>3.2923076923076926</v>
      </c>
      <c r="H1800" s="27" t="str">
        <f t="shared" si="99"/>
        <v>POSITIVO</v>
      </c>
      <c r="J1800" s="17">
        <f t="shared" si="100"/>
        <v>3.0571428571428574</v>
      </c>
    </row>
    <row r="1801" spans="1:10">
      <c r="B1801" t="s">
        <v>1745</v>
      </c>
      <c r="C1801" s="30" t="s">
        <v>27</v>
      </c>
      <c r="D1801" s="13">
        <v>2.23</v>
      </c>
      <c r="E1801" s="13">
        <v>3.45</v>
      </c>
      <c r="G1801" s="17">
        <f t="shared" si="98"/>
        <v>3.4307692307692306</v>
      </c>
      <c r="H1801" s="27" t="str">
        <f t="shared" si="99"/>
        <v>POSITIVO</v>
      </c>
      <c r="J1801" s="17">
        <f t="shared" si="100"/>
        <v>3.1857142857142859</v>
      </c>
    </row>
    <row r="1802" spans="1:10">
      <c r="B1802" t="s">
        <v>1746</v>
      </c>
      <c r="C1802" s="30" t="s">
        <v>27</v>
      </c>
      <c r="D1802" s="13">
        <v>2.58</v>
      </c>
      <c r="E1802" s="13">
        <v>4</v>
      </c>
      <c r="G1802" s="17">
        <f t="shared" si="98"/>
        <v>3.9692307692307693</v>
      </c>
      <c r="H1802" s="27" t="str">
        <f t="shared" si="99"/>
        <v>POSITIVO</v>
      </c>
      <c r="J1802" s="17">
        <f t="shared" si="100"/>
        <v>3.6857142857142859</v>
      </c>
    </row>
    <row r="1803" spans="1:10">
      <c r="B1803" t="s">
        <v>718</v>
      </c>
      <c r="C1803" s="24" t="s">
        <v>27</v>
      </c>
      <c r="D1803" s="25">
        <v>1.28</v>
      </c>
      <c r="E1803" s="26">
        <v>2</v>
      </c>
      <c r="G1803" s="17">
        <f t="shared" si="98"/>
        <v>1.9692307692307691</v>
      </c>
      <c r="H1803" s="27" t="str">
        <f t="shared" si="99"/>
        <v>POSITIVO</v>
      </c>
      <c r="J1803" s="17">
        <f t="shared" si="100"/>
        <v>1.8285714285714287</v>
      </c>
    </row>
    <row r="1804" spans="1:10">
      <c r="A1804" s="61">
        <v>7891799521929</v>
      </c>
      <c r="B1804" t="s">
        <v>718</v>
      </c>
      <c r="C1804" s="30" t="s">
        <v>27</v>
      </c>
      <c r="D1804" s="13">
        <v>1.19</v>
      </c>
      <c r="E1804" s="13">
        <v>2</v>
      </c>
      <c r="G1804" s="17">
        <f t="shared" si="98"/>
        <v>1.8307692307692307</v>
      </c>
      <c r="H1804" s="27" t="str">
        <f t="shared" si="99"/>
        <v>POSITIVO</v>
      </c>
      <c r="J1804" s="17">
        <f t="shared" si="100"/>
        <v>1.7</v>
      </c>
    </row>
    <row r="1805" spans="1:10">
      <c r="B1805" t="s">
        <v>719</v>
      </c>
      <c r="C1805" s="24" t="s">
        <v>27</v>
      </c>
      <c r="D1805" s="25">
        <v>3.89</v>
      </c>
      <c r="E1805" s="26">
        <v>6</v>
      </c>
      <c r="G1805" s="17">
        <f t="shared" si="98"/>
        <v>5.9846153846153847</v>
      </c>
      <c r="H1805" s="27" t="str">
        <f t="shared" si="99"/>
        <v>POSITIVO</v>
      </c>
      <c r="J1805" s="17">
        <f t="shared" si="100"/>
        <v>5.5571428571428578</v>
      </c>
    </row>
    <row r="1806" spans="1:10">
      <c r="B1806" t="s">
        <v>719</v>
      </c>
      <c r="C1806" s="30" t="s">
        <v>27</v>
      </c>
      <c r="D1806" s="13">
        <v>3.61</v>
      </c>
      <c r="E1806" s="13">
        <v>5.6</v>
      </c>
      <c r="G1806" s="17">
        <f t="shared" si="98"/>
        <v>5.5538461538461537</v>
      </c>
      <c r="H1806" s="27" t="str">
        <f t="shared" si="99"/>
        <v>POSITIVO</v>
      </c>
      <c r="J1806" s="17">
        <f t="shared" si="100"/>
        <v>5.1571428571428575</v>
      </c>
    </row>
    <row r="1807" spans="1:10">
      <c r="A1807" s="61" t="s">
        <v>2565</v>
      </c>
      <c r="B1807" t="s">
        <v>1619</v>
      </c>
      <c r="C1807" s="30" t="s">
        <v>27</v>
      </c>
      <c r="D1807" s="13">
        <v>11.59</v>
      </c>
      <c r="E1807" s="13">
        <v>19</v>
      </c>
      <c r="G1807" s="17">
        <f t="shared" si="98"/>
        <v>17.830769230769231</v>
      </c>
      <c r="H1807" s="27" t="str">
        <f t="shared" si="99"/>
        <v>POSITIVO</v>
      </c>
      <c r="J1807" s="17">
        <f t="shared" si="100"/>
        <v>16.557142857142857</v>
      </c>
    </row>
    <row r="1808" spans="1:10">
      <c r="B1808" t="s">
        <v>1618</v>
      </c>
      <c r="C1808" s="30" t="s">
        <v>27</v>
      </c>
      <c r="D1808" s="13">
        <v>6.88</v>
      </c>
      <c r="E1808" s="13">
        <v>10.8</v>
      </c>
      <c r="G1808" s="17">
        <f t="shared" si="98"/>
        <v>10.584615384615384</v>
      </c>
      <c r="H1808" s="27" t="str">
        <f t="shared" si="99"/>
        <v>POSITIVO</v>
      </c>
      <c r="J1808" s="17">
        <f t="shared" si="100"/>
        <v>9.8285714285714292</v>
      </c>
    </row>
    <row r="1809" spans="1:10">
      <c r="B1809" t="s">
        <v>720</v>
      </c>
      <c r="C1809" s="24" t="s">
        <v>27</v>
      </c>
      <c r="D1809" s="25">
        <v>6.66</v>
      </c>
      <c r="E1809" s="26">
        <v>10.8</v>
      </c>
      <c r="G1809" s="17">
        <f t="shared" si="98"/>
        <v>10.246153846153845</v>
      </c>
      <c r="H1809" s="27" t="str">
        <f t="shared" si="99"/>
        <v>POSITIVO</v>
      </c>
      <c r="J1809" s="17">
        <f t="shared" si="100"/>
        <v>9.5142857142857142</v>
      </c>
    </row>
    <row r="1810" spans="1:10">
      <c r="B1810" t="s">
        <v>1755</v>
      </c>
      <c r="C1810" s="30" t="s">
        <v>27</v>
      </c>
      <c r="D1810" s="13">
        <v>0.98</v>
      </c>
      <c r="E1810" s="13">
        <v>2.5</v>
      </c>
      <c r="G1810" s="17">
        <f t="shared" si="98"/>
        <v>1.5076923076923077</v>
      </c>
      <c r="H1810" s="27" t="str">
        <f t="shared" si="99"/>
        <v>POSITIVO</v>
      </c>
      <c r="J1810" s="17">
        <f t="shared" si="100"/>
        <v>1.4000000000000001</v>
      </c>
    </row>
    <row r="1811" spans="1:10">
      <c r="B1811" t="s">
        <v>721</v>
      </c>
      <c r="C1811" s="24" t="s">
        <v>27</v>
      </c>
      <c r="D1811" s="25">
        <v>13.05</v>
      </c>
      <c r="E1811" s="26">
        <v>21</v>
      </c>
      <c r="G1811" s="17">
        <f t="shared" si="98"/>
        <v>20.076923076923077</v>
      </c>
      <c r="H1811" s="27" t="str">
        <f t="shared" si="99"/>
        <v>POSITIVO</v>
      </c>
      <c r="J1811" s="17">
        <f t="shared" si="100"/>
        <v>18.642857142857146</v>
      </c>
    </row>
    <row r="1812" spans="1:10">
      <c r="A1812" s="61" t="s">
        <v>2568</v>
      </c>
      <c r="B1812" t="s">
        <v>2567</v>
      </c>
      <c r="C1812" s="24" t="s">
        <v>27</v>
      </c>
      <c r="D1812" s="25">
        <v>13.15</v>
      </c>
      <c r="E1812" s="26">
        <v>24.8</v>
      </c>
      <c r="G1812" s="17">
        <f t="shared" si="98"/>
        <v>20.23076923076923</v>
      </c>
      <c r="H1812" s="27" t="str">
        <f t="shared" si="99"/>
        <v>POSITIVO</v>
      </c>
      <c r="J1812" s="17">
        <f t="shared" si="100"/>
        <v>18.785714285714288</v>
      </c>
    </row>
    <row r="1813" spans="1:10">
      <c r="B1813" t="s">
        <v>1859</v>
      </c>
      <c r="C1813" s="24" t="s">
        <v>27</v>
      </c>
      <c r="D1813" s="25">
        <v>18.97</v>
      </c>
      <c r="E1813" s="26">
        <v>26.5</v>
      </c>
      <c r="G1813" s="17">
        <f t="shared" si="98"/>
        <v>29.18461538461538</v>
      </c>
      <c r="H1813" s="27" t="str">
        <f t="shared" si="99"/>
        <v>NEGATIVO</v>
      </c>
      <c r="J1813" s="17">
        <f t="shared" si="100"/>
        <v>27.1</v>
      </c>
    </row>
    <row r="1814" spans="1:10">
      <c r="A1814" s="61">
        <v>7891799498191</v>
      </c>
      <c r="B1814" t="s">
        <v>1860</v>
      </c>
      <c r="C1814" s="24" t="s">
        <v>27</v>
      </c>
      <c r="D1814" s="25">
        <v>14.73</v>
      </c>
      <c r="E1814" s="26">
        <v>24.5</v>
      </c>
      <c r="G1814" s="17">
        <f t="shared" si="98"/>
        <v>22.661538461538463</v>
      </c>
      <c r="H1814" s="27" t="str">
        <f t="shared" si="99"/>
        <v>POSITIVO</v>
      </c>
      <c r="J1814" s="17">
        <f t="shared" si="100"/>
        <v>21.042857142857144</v>
      </c>
    </row>
    <row r="1815" spans="1:10">
      <c r="B1815" t="s">
        <v>722</v>
      </c>
      <c r="C1815" s="24" t="s">
        <v>27</v>
      </c>
      <c r="D1815" s="25">
        <v>3.03</v>
      </c>
      <c r="E1815" s="26">
        <v>6</v>
      </c>
      <c r="G1815" s="17">
        <f t="shared" si="98"/>
        <v>4.661538461538461</v>
      </c>
      <c r="H1815" s="27" t="str">
        <f t="shared" si="99"/>
        <v>POSITIVO</v>
      </c>
      <c r="J1815" s="17">
        <f t="shared" si="100"/>
        <v>4.3285714285714283</v>
      </c>
    </row>
    <row r="1816" spans="1:10">
      <c r="B1816" t="s">
        <v>723</v>
      </c>
      <c r="C1816" s="24" t="s">
        <v>27</v>
      </c>
      <c r="D1816" s="25">
        <v>3.72</v>
      </c>
      <c r="E1816" s="26">
        <v>6</v>
      </c>
      <c r="G1816" s="17">
        <f t="shared" si="98"/>
        <v>5.7230769230769232</v>
      </c>
      <c r="H1816" s="27" t="str">
        <f t="shared" si="99"/>
        <v>POSITIVO</v>
      </c>
      <c r="J1816" s="17">
        <f t="shared" si="100"/>
        <v>5.3142857142857149</v>
      </c>
    </row>
    <row r="1817" spans="1:10">
      <c r="B1817" t="s">
        <v>724</v>
      </c>
      <c r="C1817" s="24" t="s">
        <v>27</v>
      </c>
      <c r="D1817" s="25">
        <v>3.38</v>
      </c>
      <c r="E1817" s="26">
        <v>6</v>
      </c>
      <c r="G1817" s="17">
        <f t="shared" si="98"/>
        <v>5.1999999999999993</v>
      </c>
      <c r="H1817" s="27" t="str">
        <f t="shared" si="99"/>
        <v>POSITIVO</v>
      </c>
      <c r="J1817" s="17">
        <f t="shared" si="100"/>
        <v>4.8285714285714283</v>
      </c>
    </row>
    <row r="1818" spans="1:10">
      <c r="B1818" t="s">
        <v>1861</v>
      </c>
      <c r="C1818" s="30" t="s">
        <v>27</v>
      </c>
      <c r="D1818" s="13">
        <v>18.850000000000001</v>
      </c>
      <c r="E1818" s="13">
        <v>29.9</v>
      </c>
      <c r="G1818" s="17">
        <f t="shared" si="98"/>
        <v>29</v>
      </c>
      <c r="H1818" s="27" t="str">
        <f t="shared" si="99"/>
        <v>POSITIVO</v>
      </c>
      <c r="J1818" s="17">
        <f t="shared" si="100"/>
        <v>26.928571428571431</v>
      </c>
    </row>
    <row r="1819" spans="1:10">
      <c r="B1819" t="s">
        <v>725</v>
      </c>
      <c r="C1819" s="24" t="s">
        <v>27</v>
      </c>
      <c r="D1819" s="25">
        <v>17.920000000000002</v>
      </c>
      <c r="E1819" s="26">
        <v>29</v>
      </c>
      <c r="G1819" s="17">
        <f t="shared" si="98"/>
        <v>27.569230769230771</v>
      </c>
      <c r="H1819" s="27" t="str">
        <f t="shared" si="99"/>
        <v>POSITIVO</v>
      </c>
      <c r="J1819" s="17">
        <f t="shared" si="100"/>
        <v>25.600000000000005</v>
      </c>
    </row>
    <row r="1820" spans="1:10">
      <c r="A1820" s="61" t="s">
        <v>2528</v>
      </c>
      <c r="B1820" t="s">
        <v>1858</v>
      </c>
      <c r="C1820" s="30" t="s">
        <v>27</v>
      </c>
      <c r="D1820" s="13">
        <v>3.7</v>
      </c>
      <c r="E1820" s="13">
        <v>5.7</v>
      </c>
      <c r="G1820" s="17">
        <f t="shared" si="98"/>
        <v>5.6923076923076925</v>
      </c>
      <c r="H1820" s="27" t="str">
        <f t="shared" si="99"/>
        <v>POSITIVO</v>
      </c>
      <c r="J1820" s="17">
        <f t="shared" si="100"/>
        <v>5.2857142857142865</v>
      </c>
    </row>
    <row r="1821" spans="1:10">
      <c r="A1821" s="61" t="s">
        <v>2558</v>
      </c>
      <c r="B1821" t="s">
        <v>726</v>
      </c>
      <c r="C1821" s="24" t="s">
        <v>27</v>
      </c>
      <c r="D1821" s="25">
        <v>10.98</v>
      </c>
      <c r="E1821" s="26">
        <v>18.5</v>
      </c>
      <c r="G1821" s="17">
        <f t="shared" si="98"/>
        <v>16.892307692307693</v>
      </c>
      <c r="H1821" s="27" t="str">
        <f t="shared" si="99"/>
        <v>POSITIVO</v>
      </c>
      <c r="J1821" s="17">
        <f t="shared" si="100"/>
        <v>15.685714285714287</v>
      </c>
    </row>
    <row r="1822" spans="1:10">
      <c r="A1822" s="61" t="s">
        <v>2551</v>
      </c>
      <c r="B1822" t="s">
        <v>1404</v>
      </c>
      <c r="C1822" s="30" t="s">
        <v>27</v>
      </c>
      <c r="D1822" s="13">
        <v>26.31</v>
      </c>
      <c r="E1822" s="13">
        <v>42</v>
      </c>
      <c r="G1822" s="17">
        <f t="shared" si="98"/>
        <v>40.476923076923072</v>
      </c>
      <c r="H1822" s="27" t="str">
        <f t="shared" si="99"/>
        <v>POSITIVO</v>
      </c>
      <c r="J1822" s="17">
        <f t="shared" si="100"/>
        <v>37.585714285714289</v>
      </c>
    </row>
    <row r="1823" spans="1:10">
      <c r="B1823" t="s">
        <v>1207</v>
      </c>
      <c r="C1823" s="24" t="s">
        <v>27</v>
      </c>
      <c r="D1823" s="25">
        <v>3.61</v>
      </c>
      <c r="E1823" s="26">
        <v>8</v>
      </c>
      <c r="G1823" s="17">
        <f t="shared" si="98"/>
        <v>5.5538461538461537</v>
      </c>
      <c r="H1823" s="27" t="str">
        <f t="shared" si="99"/>
        <v>POSITIVO</v>
      </c>
      <c r="J1823" s="17">
        <f t="shared" si="100"/>
        <v>5.1571428571428575</v>
      </c>
    </row>
    <row r="1824" spans="1:10">
      <c r="B1824" t="s">
        <v>1304</v>
      </c>
      <c r="C1824" s="30" t="s">
        <v>27</v>
      </c>
      <c r="D1824" s="13">
        <v>14.99</v>
      </c>
      <c r="E1824" s="13">
        <v>24.8</v>
      </c>
      <c r="G1824" s="17">
        <f t="shared" si="98"/>
        <v>23.061538461538461</v>
      </c>
      <c r="H1824" s="27" t="str">
        <f t="shared" si="99"/>
        <v>POSITIVO</v>
      </c>
      <c r="J1824" s="17">
        <f t="shared" si="100"/>
        <v>21.414285714285715</v>
      </c>
    </row>
    <row r="1825" spans="1:10">
      <c r="B1825" t="s">
        <v>727</v>
      </c>
      <c r="C1825" s="24" t="s">
        <v>27</v>
      </c>
      <c r="D1825" s="25">
        <v>5.19</v>
      </c>
      <c r="E1825" s="26">
        <v>8</v>
      </c>
      <c r="G1825" s="17">
        <f t="shared" si="98"/>
        <v>7.9846153846153847</v>
      </c>
      <c r="H1825" s="27" t="str">
        <f t="shared" si="99"/>
        <v>POSITIVO</v>
      </c>
      <c r="J1825" s="17">
        <f t="shared" si="100"/>
        <v>7.4142857142857155</v>
      </c>
    </row>
    <row r="1826" spans="1:10">
      <c r="A1826" s="61" t="s">
        <v>2553</v>
      </c>
      <c r="B1826" t="s">
        <v>728</v>
      </c>
      <c r="C1826" s="24" t="s">
        <v>27</v>
      </c>
      <c r="D1826" s="25">
        <v>7.3</v>
      </c>
      <c r="E1826" s="26">
        <v>14.5</v>
      </c>
      <c r="G1826" s="17">
        <f t="shared" si="98"/>
        <v>11.23076923076923</v>
      </c>
      <c r="H1826" s="27" t="str">
        <f t="shared" si="99"/>
        <v>POSITIVO</v>
      </c>
      <c r="J1826" s="17">
        <f t="shared" si="100"/>
        <v>10.428571428571429</v>
      </c>
    </row>
    <row r="1827" spans="1:10">
      <c r="A1827" s="61" t="s">
        <v>2554</v>
      </c>
      <c r="B1827" t="s">
        <v>729</v>
      </c>
      <c r="C1827" s="24" t="s">
        <v>27</v>
      </c>
      <c r="D1827" s="25">
        <v>22.78</v>
      </c>
      <c r="E1827" s="26">
        <v>37</v>
      </c>
      <c r="G1827" s="17">
        <f t="shared" si="98"/>
        <v>35.04615384615385</v>
      </c>
      <c r="H1827" s="27" t="str">
        <f t="shared" si="99"/>
        <v>POSITIVO</v>
      </c>
      <c r="J1827" s="17">
        <f t="shared" si="100"/>
        <v>32.542857142857144</v>
      </c>
    </row>
    <row r="1828" spans="1:10">
      <c r="B1828" t="s">
        <v>1616</v>
      </c>
      <c r="C1828" s="30" t="s">
        <v>27</v>
      </c>
      <c r="D1828" s="13">
        <v>11.12</v>
      </c>
      <c r="E1828" s="13">
        <v>18</v>
      </c>
      <c r="G1828" s="17">
        <f t="shared" si="98"/>
        <v>17.107692307692307</v>
      </c>
      <c r="H1828" s="27" t="str">
        <f t="shared" si="99"/>
        <v>POSITIVO</v>
      </c>
      <c r="J1828" s="17">
        <f t="shared" si="100"/>
        <v>15.885714285714286</v>
      </c>
    </row>
    <row r="1829" spans="1:10">
      <c r="A1829" s="61" t="s">
        <v>2566</v>
      </c>
      <c r="B1829" t="s">
        <v>730</v>
      </c>
      <c r="C1829" s="24" t="s">
        <v>27</v>
      </c>
      <c r="D1829" s="25">
        <v>28.35</v>
      </c>
      <c r="E1829" s="26">
        <v>45.5</v>
      </c>
      <c r="G1829" s="17">
        <f t="shared" si="98"/>
        <v>43.615384615384613</v>
      </c>
      <c r="H1829" s="27" t="str">
        <f t="shared" si="99"/>
        <v>POSITIVO</v>
      </c>
      <c r="J1829" s="17">
        <f t="shared" si="100"/>
        <v>40.500000000000007</v>
      </c>
    </row>
    <row r="1830" spans="1:10">
      <c r="A1830" s="61" t="s">
        <v>2556</v>
      </c>
      <c r="B1830" t="s">
        <v>2555</v>
      </c>
      <c r="C1830" s="24" t="s">
        <v>27</v>
      </c>
      <c r="D1830" s="25">
        <v>2.0699999999999998</v>
      </c>
      <c r="E1830" s="26">
        <v>3.5</v>
      </c>
      <c r="G1830" s="17">
        <f t="shared" si="98"/>
        <v>3.1846153846153844</v>
      </c>
      <c r="H1830" s="27" t="str">
        <f t="shared" si="99"/>
        <v>POSITIVO</v>
      </c>
      <c r="J1830" s="17">
        <f t="shared" si="100"/>
        <v>2.9571428571428573</v>
      </c>
    </row>
    <row r="1831" spans="1:10">
      <c r="B1831" t="s">
        <v>731</v>
      </c>
      <c r="C1831" s="24" t="s">
        <v>27</v>
      </c>
      <c r="D1831" s="25">
        <v>13.19</v>
      </c>
      <c r="E1831" s="26">
        <v>21</v>
      </c>
      <c r="G1831" s="17">
        <f t="shared" si="98"/>
        <v>20.292307692307691</v>
      </c>
      <c r="H1831" s="27" t="str">
        <f t="shared" si="99"/>
        <v>POSITIVO</v>
      </c>
      <c r="J1831" s="17">
        <f t="shared" si="100"/>
        <v>18.842857142857142</v>
      </c>
    </row>
    <row r="1832" spans="1:10">
      <c r="B1832" t="s">
        <v>820</v>
      </c>
      <c r="C1832" s="24" t="s">
        <v>27</v>
      </c>
      <c r="D1832" s="25">
        <v>21.58</v>
      </c>
      <c r="E1832" s="26">
        <v>34</v>
      </c>
      <c r="G1832" s="17">
        <f t="shared" si="98"/>
        <v>33.199999999999996</v>
      </c>
      <c r="H1832" s="27" t="str">
        <f t="shared" si="99"/>
        <v>POSITIVO</v>
      </c>
      <c r="J1832" s="17">
        <f t="shared" si="100"/>
        <v>30.828571428571429</v>
      </c>
    </row>
    <row r="1833" spans="1:10">
      <c r="B1833" t="s">
        <v>732</v>
      </c>
      <c r="C1833" s="24" t="s">
        <v>27</v>
      </c>
      <c r="D1833" s="25">
        <v>7.1</v>
      </c>
      <c r="E1833" s="26">
        <v>10.9</v>
      </c>
      <c r="G1833" s="17">
        <f t="shared" si="98"/>
        <v>10.923076923076922</v>
      </c>
      <c r="H1833" s="27" t="str">
        <f t="shared" si="99"/>
        <v>NEGATIVO</v>
      </c>
      <c r="J1833" s="17">
        <f t="shared" si="100"/>
        <v>10.142857142857142</v>
      </c>
    </row>
    <row r="1834" spans="1:10">
      <c r="B1834" t="s">
        <v>821</v>
      </c>
      <c r="C1834" s="24" t="s">
        <v>27</v>
      </c>
      <c r="D1834" s="25">
        <v>14.9</v>
      </c>
      <c r="E1834" s="26">
        <v>23.5</v>
      </c>
      <c r="G1834" s="17">
        <f t="shared" si="98"/>
        <v>22.923076923076923</v>
      </c>
      <c r="H1834" s="27" t="str">
        <f t="shared" si="99"/>
        <v>POSITIVO</v>
      </c>
      <c r="J1834" s="17">
        <f t="shared" si="100"/>
        <v>21.285714285714288</v>
      </c>
    </row>
    <row r="1835" spans="1:10">
      <c r="B1835" t="s">
        <v>822</v>
      </c>
      <c r="C1835" s="24" t="s">
        <v>27</v>
      </c>
      <c r="D1835" s="25">
        <v>28.63</v>
      </c>
      <c r="E1835" s="26">
        <v>45</v>
      </c>
      <c r="G1835" s="17">
        <f t="shared" si="98"/>
        <v>44.046153846153842</v>
      </c>
      <c r="H1835" s="27" t="str">
        <f t="shared" si="99"/>
        <v>POSITIVO</v>
      </c>
      <c r="J1835" s="17">
        <f t="shared" si="100"/>
        <v>40.9</v>
      </c>
    </row>
    <row r="1836" spans="1:10">
      <c r="B1836" t="s">
        <v>823</v>
      </c>
      <c r="C1836" s="24" t="s">
        <v>27</v>
      </c>
      <c r="D1836" s="25">
        <v>4.42</v>
      </c>
      <c r="E1836" s="26">
        <v>8</v>
      </c>
      <c r="G1836" s="17">
        <f t="shared" ref="G1836:G1899" si="101">(D1836/65%)</f>
        <v>6.8</v>
      </c>
      <c r="H1836" s="27" t="str">
        <f t="shared" ref="H1836:H1899" si="102">IF(E1836&gt;=G1836,"POSITIVO","NEGATIVO")</f>
        <v>POSITIVO</v>
      </c>
      <c r="J1836" s="17">
        <f t="shared" ref="J1836:J1899" si="103">D1836/70%</f>
        <v>6.3142857142857149</v>
      </c>
    </row>
    <row r="1837" spans="1:10">
      <c r="B1837" t="s">
        <v>733</v>
      </c>
      <c r="C1837" s="24" t="s">
        <v>27</v>
      </c>
      <c r="D1837" s="25">
        <v>6.9</v>
      </c>
      <c r="E1837" s="26">
        <v>12</v>
      </c>
      <c r="G1837" s="17">
        <f t="shared" si="101"/>
        <v>10.615384615384615</v>
      </c>
      <c r="H1837" s="27" t="str">
        <f t="shared" si="102"/>
        <v>POSITIVO</v>
      </c>
      <c r="J1837" s="17">
        <f t="shared" si="103"/>
        <v>9.8571428571428577</v>
      </c>
    </row>
    <row r="1838" spans="1:10">
      <c r="A1838" s="61">
        <v>899300010</v>
      </c>
      <c r="B1838" t="s">
        <v>734</v>
      </c>
      <c r="C1838" s="24" t="s">
        <v>27</v>
      </c>
      <c r="D1838" s="25">
        <v>7.31</v>
      </c>
      <c r="E1838" s="26">
        <v>12</v>
      </c>
      <c r="G1838" s="17">
        <f t="shared" si="101"/>
        <v>11.246153846153845</v>
      </c>
      <c r="H1838" s="27" t="str">
        <f t="shared" si="102"/>
        <v>POSITIVO</v>
      </c>
      <c r="J1838" s="17">
        <f t="shared" si="103"/>
        <v>10.442857142857143</v>
      </c>
    </row>
    <row r="1839" spans="1:10">
      <c r="B1839" t="s">
        <v>735</v>
      </c>
      <c r="C1839" s="24" t="s">
        <v>27</v>
      </c>
      <c r="D1839" s="25">
        <v>8.99</v>
      </c>
      <c r="E1839" s="26">
        <v>14</v>
      </c>
      <c r="G1839" s="17">
        <f t="shared" si="101"/>
        <v>13.830769230769231</v>
      </c>
      <c r="H1839" s="27" t="str">
        <f t="shared" si="102"/>
        <v>POSITIVO</v>
      </c>
      <c r="J1839" s="17">
        <f t="shared" si="103"/>
        <v>12.842857142857143</v>
      </c>
    </row>
    <row r="1840" spans="1:10">
      <c r="B1840" t="s">
        <v>1747</v>
      </c>
      <c r="C1840" s="30" t="s">
        <v>27</v>
      </c>
      <c r="D1840" s="13">
        <v>17.41</v>
      </c>
      <c r="E1840" s="13">
        <v>26.9</v>
      </c>
      <c r="G1840" s="17">
        <f t="shared" si="101"/>
        <v>26.784615384615385</v>
      </c>
      <c r="H1840" s="27" t="str">
        <f t="shared" si="102"/>
        <v>POSITIVO</v>
      </c>
      <c r="J1840" s="17">
        <f t="shared" si="103"/>
        <v>24.871428571428574</v>
      </c>
    </row>
    <row r="1841" spans="1:10">
      <c r="B1841" t="s">
        <v>1305</v>
      </c>
      <c r="C1841" s="30" t="s">
        <v>27</v>
      </c>
      <c r="D1841" s="13">
        <v>18.39</v>
      </c>
      <c r="E1841" s="13">
        <v>29.9</v>
      </c>
      <c r="G1841" s="17">
        <f t="shared" si="101"/>
        <v>28.292307692307691</v>
      </c>
      <c r="H1841" s="27" t="str">
        <f t="shared" si="102"/>
        <v>POSITIVO</v>
      </c>
      <c r="J1841" s="17">
        <f t="shared" si="103"/>
        <v>26.271428571428572</v>
      </c>
    </row>
    <row r="1842" spans="1:10">
      <c r="B1842" t="s">
        <v>1306</v>
      </c>
      <c r="C1842" s="30" t="s">
        <v>27</v>
      </c>
      <c r="D1842" s="13">
        <v>20.63</v>
      </c>
      <c r="E1842" s="13">
        <v>32</v>
      </c>
      <c r="G1842" s="17">
        <f t="shared" si="101"/>
        <v>31.738461538461536</v>
      </c>
      <c r="H1842" s="27" t="str">
        <f t="shared" si="102"/>
        <v>POSITIVO</v>
      </c>
      <c r="J1842" s="17">
        <f t="shared" si="103"/>
        <v>29.471428571428572</v>
      </c>
    </row>
    <row r="1843" spans="1:10">
      <c r="B1843" t="s">
        <v>2561</v>
      </c>
      <c r="C1843" s="30" t="s">
        <v>27</v>
      </c>
      <c r="D1843" s="13">
        <v>52.64</v>
      </c>
      <c r="E1843" s="13">
        <v>65</v>
      </c>
      <c r="G1843" s="17">
        <f t="shared" si="101"/>
        <v>80.984615384615381</v>
      </c>
      <c r="H1843" s="27" t="str">
        <f t="shared" si="102"/>
        <v>NEGATIVO</v>
      </c>
      <c r="J1843" s="17">
        <f t="shared" si="103"/>
        <v>75.2</v>
      </c>
    </row>
    <row r="1844" spans="1:10">
      <c r="A1844" s="61" t="s">
        <v>2560</v>
      </c>
      <c r="B1844" t="s">
        <v>2559</v>
      </c>
      <c r="C1844" s="30" t="s">
        <v>27</v>
      </c>
      <c r="D1844" s="13">
        <v>41.39</v>
      </c>
      <c r="E1844" s="13">
        <v>55</v>
      </c>
      <c r="G1844" s="17">
        <f t="shared" si="101"/>
        <v>63.676923076923075</v>
      </c>
      <c r="H1844" s="27" t="str">
        <f t="shared" si="102"/>
        <v>NEGATIVO</v>
      </c>
      <c r="J1844" s="17">
        <f t="shared" si="103"/>
        <v>59.128571428571433</v>
      </c>
    </row>
    <row r="1845" spans="1:10">
      <c r="B1845" t="s">
        <v>1209</v>
      </c>
      <c r="C1845" s="30" t="s">
        <v>27</v>
      </c>
      <c r="D1845" s="13">
        <v>14</v>
      </c>
      <c r="E1845" s="13">
        <v>24</v>
      </c>
      <c r="G1845" s="17">
        <f t="shared" si="101"/>
        <v>21.538461538461537</v>
      </c>
      <c r="H1845" s="27" t="str">
        <f t="shared" si="102"/>
        <v>POSITIVO</v>
      </c>
      <c r="J1845" s="17">
        <f t="shared" si="103"/>
        <v>20</v>
      </c>
    </row>
    <row r="1846" spans="1:10">
      <c r="A1846" s="61" t="s">
        <v>2563</v>
      </c>
      <c r="B1846" t="s">
        <v>736</v>
      </c>
      <c r="C1846" s="24" t="s">
        <v>27</v>
      </c>
      <c r="D1846" s="25">
        <v>27.86</v>
      </c>
      <c r="E1846" s="26">
        <v>44</v>
      </c>
      <c r="G1846" s="17">
        <f t="shared" si="101"/>
        <v>42.861538461538458</v>
      </c>
      <c r="H1846" s="27" t="str">
        <f t="shared" si="102"/>
        <v>POSITIVO</v>
      </c>
      <c r="J1846" s="17">
        <f t="shared" si="103"/>
        <v>39.800000000000004</v>
      </c>
    </row>
    <row r="1847" spans="1:10">
      <c r="B1847" t="s">
        <v>737</v>
      </c>
      <c r="C1847" s="24" t="s">
        <v>27</v>
      </c>
      <c r="D1847" s="25">
        <v>15.25</v>
      </c>
      <c r="E1847" s="26">
        <v>26</v>
      </c>
      <c r="G1847" s="17">
        <f t="shared" si="101"/>
        <v>23.46153846153846</v>
      </c>
      <c r="H1847" s="27" t="str">
        <f t="shared" si="102"/>
        <v>POSITIVO</v>
      </c>
      <c r="J1847" s="17">
        <f t="shared" si="103"/>
        <v>21.785714285714288</v>
      </c>
    </row>
    <row r="1848" spans="1:10">
      <c r="B1848" t="s">
        <v>824</v>
      </c>
      <c r="C1848" s="24" t="s">
        <v>27</v>
      </c>
      <c r="D1848" s="25">
        <v>2.72</v>
      </c>
      <c r="E1848" s="26">
        <v>7</v>
      </c>
      <c r="G1848" s="17">
        <f t="shared" si="101"/>
        <v>4.1846153846153848</v>
      </c>
      <c r="H1848" s="27" t="str">
        <f t="shared" si="102"/>
        <v>POSITIVO</v>
      </c>
      <c r="J1848" s="17">
        <f t="shared" si="103"/>
        <v>3.8857142857142861</v>
      </c>
    </row>
    <row r="1849" spans="1:10">
      <c r="B1849" t="s">
        <v>738</v>
      </c>
      <c r="C1849" s="24" t="s">
        <v>27</v>
      </c>
      <c r="D1849" s="25">
        <v>15.9</v>
      </c>
      <c r="E1849" s="26">
        <v>26.9</v>
      </c>
      <c r="G1849" s="17">
        <f t="shared" si="101"/>
        <v>24.46153846153846</v>
      </c>
      <c r="H1849" s="27" t="str">
        <f t="shared" si="102"/>
        <v>POSITIVO</v>
      </c>
      <c r="J1849" s="17">
        <f t="shared" si="103"/>
        <v>22.714285714285715</v>
      </c>
    </row>
    <row r="1850" spans="1:10">
      <c r="A1850" s="61" t="s">
        <v>2552</v>
      </c>
      <c r="B1850" t="s">
        <v>1211</v>
      </c>
      <c r="C1850" s="30" t="s">
        <v>27</v>
      </c>
      <c r="D1850" s="13">
        <v>17.38</v>
      </c>
      <c r="E1850" s="13">
        <v>27</v>
      </c>
      <c r="G1850" s="17">
        <f t="shared" si="101"/>
        <v>26.738461538461536</v>
      </c>
      <c r="H1850" s="27" t="str">
        <f t="shared" si="102"/>
        <v>POSITIVO</v>
      </c>
      <c r="J1850" s="17">
        <f t="shared" si="103"/>
        <v>24.828571428571429</v>
      </c>
    </row>
    <row r="1851" spans="1:10">
      <c r="A1851" s="61">
        <v>7891799475895</v>
      </c>
      <c r="B1851" t="s">
        <v>1993</v>
      </c>
      <c r="C1851" s="30" t="s">
        <v>27</v>
      </c>
      <c r="D1851" s="13">
        <v>5.53</v>
      </c>
      <c r="E1851" s="13">
        <v>15</v>
      </c>
      <c r="G1851" s="17">
        <f t="shared" si="101"/>
        <v>8.5076923076923077</v>
      </c>
      <c r="H1851" s="27" t="str">
        <f t="shared" si="102"/>
        <v>POSITIVO</v>
      </c>
      <c r="J1851" s="17">
        <f t="shared" si="103"/>
        <v>7.9000000000000012</v>
      </c>
    </row>
    <row r="1852" spans="1:10">
      <c r="A1852" s="61">
        <v>7891799491833</v>
      </c>
      <c r="B1852" t="s">
        <v>1992</v>
      </c>
      <c r="C1852" s="30" t="s">
        <v>27</v>
      </c>
      <c r="D1852" s="13">
        <v>8.4499999999999993</v>
      </c>
      <c r="E1852" s="13">
        <v>25</v>
      </c>
      <c r="G1852" s="17">
        <f t="shared" si="101"/>
        <v>12.999999999999998</v>
      </c>
      <c r="H1852" s="27" t="str">
        <f t="shared" si="102"/>
        <v>POSITIVO</v>
      </c>
      <c r="J1852" s="17">
        <f t="shared" si="103"/>
        <v>12.071428571428571</v>
      </c>
    </row>
    <row r="1853" spans="1:10">
      <c r="A1853" s="61">
        <v>4065746509039</v>
      </c>
      <c r="B1853" t="s">
        <v>1991</v>
      </c>
      <c r="C1853" s="30" t="s">
        <v>27</v>
      </c>
      <c r="D1853" s="13">
        <v>14.82</v>
      </c>
      <c r="E1853" s="13">
        <v>25</v>
      </c>
      <c r="G1853" s="17">
        <f t="shared" si="101"/>
        <v>22.8</v>
      </c>
      <c r="H1853" s="27" t="str">
        <f t="shared" si="102"/>
        <v>POSITIVO</v>
      </c>
      <c r="J1853" s="17">
        <f t="shared" si="103"/>
        <v>21.171428571428574</v>
      </c>
    </row>
    <row r="1854" spans="1:10">
      <c r="B1854" t="s">
        <v>739</v>
      </c>
      <c r="C1854" s="24" t="s">
        <v>27</v>
      </c>
      <c r="D1854" s="25">
        <v>12.85</v>
      </c>
      <c r="E1854" s="26">
        <v>19.899999999999999</v>
      </c>
      <c r="G1854" s="17">
        <f t="shared" si="101"/>
        <v>19.769230769230766</v>
      </c>
      <c r="H1854" s="27" t="str">
        <f t="shared" si="102"/>
        <v>POSITIVO</v>
      </c>
      <c r="J1854" s="17">
        <f t="shared" si="103"/>
        <v>18.357142857142858</v>
      </c>
    </row>
    <row r="1855" spans="1:10">
      <c r="B1855" t="s">
        <v>740</v>
      </c>
      <c r="C1855" s="24" t="s">
        <v>27</v>
      </c>
      <c r="D1855" s="25">
        <v>35.72</v>
      </c>
      <c r="E1855" s="26">
        <v>55.9</v>
      </c>
      <c r="G1855" s="17">
        <f t="shared" si="101"/>
        <v>54.95384615384615</v>
      </c>
      <c r="H1855" s="27" t="str">
        <f t="shared" si="102"/>
        <v>POSITIVO</v>
      </c>
      <c r="J1855" s="17">
        <f t="shared" si="103"/>
        <v>51.028571428571432</v>
      </c>
    </row>
    <row r="1856" spans="1:10">
      <c r="B1856" t="s">
        <v>740</v>
      </c>
      <c r="C1856" s="30" t="s">
        <v>27</v>
      </c>
      <c r="D1856" s="13">
        <v>22.17</v>
      </c>
      <c r="E1856" s="13">
        <v>36.9</v>
      </c>
      <c r="G1856" s="17">
        <f t="shared" si="101"/>
        <v>34.107692307692311</v>
      </c>
      <c r="H1856" s="27" t="str">
        <f t="shared" si="102"/>
        <v>POSITIVO</v>
      </c>
      <c r="J1856" s="17">
        <f t="shared" si="103"/>
        <v>31.671428571428574</v>
      </c>
    </row>
    <row r="1857" spans="1:10">
      <c r="A1857" s="61" t="s">
        <v>2557</v>
      </c>
      <c r="B1857" t="s">
        <v>741</v>
      </c>
      <c r="C1857" s="24" t="s">
        <v>27</v>
      </c>
      <c r="D1857" s="25">
        <v>13.01</v>
      </c>
      <c r="E1857" s="26">
        <v>21</v>
      </c>
      <c r="G1857" s="17">
        <f t="shared" si="101"/>
        <v>20.015384615384615</v>
      </c>
      <c r="H1857" s="27" t="str">
        <f t="shared" si="102"/>
        <v>POSITIVO</v>
      </c>
      <c r="J1857" s="17">
        <f t="shared" si="103"/>
        <v>18.585714285714285</v>
      </c>
    </row>
    <row r="1858" spans="1:10">
      <c r="B1858" t="s">
        <v>1857</v>
      </c>
      <c r="C1858" s="30" t="s">
        <v>27</v>
      </c>
      <c r="D1858" s="13">
        <v>10.99</v>
      </c>
      <c r="E1858" s="13">
        <v>17.5</v>
      </c>
      <c r="G1858" s="17">
        <f t="shared" si="101"/>
        <v>16.907692307692308</v>
      </c>
      <c r="H1858" s="27" t="str">
        <f t="shared" si="102"/>
        <v>POSITIVO</v>
      </c>
      <c r="J1858" s="17">
        <f t="shared" si="103"/>
        <v>15.700000000000001</v>
      </c>
    </row>
    <row r="1859" spans="1:10">
      <c r="B1859" t="s">
        <v>742</v>
      </c>
      <c r="C1859" s="24" t="s">
        <v>27</v>
      </c>
      <c r="D1859" s="25">
        <v>17.46</v>
      </c>
      <c r="E1859" s="26">
        <v>27</v>
      </c>
      <c r="G1859" s="17">
        <f t="shared" si="101"/>
        <v>26.861538461538462</v>
      </c>
      <c r="H1859" s="27" t="str">
        <f t="shared" si="102"/>
        <v>POSITIVO</v>
      </c>
      <c r="J1859" s="17">
        <f t="shared" si="103"/>
        <v>24.942857142857147</v>
      </c>
    </row>
    <row r="1860" spans="1:10">
      <c r="B1860" t="s">
        <v>743</v>
      </c>
      <c r="C1860" s="24" t="s">
        <v>27</v>
      </c>
      <c r="D1860" s="25">
        <v>14.57</v>
      </c>
      <c r="E1860" s="26">
        <v>23</v>
      </c>
      <c r="G1860" s="17">
        <f t="shared" si="101"/>
        <v>22.415384615384614</v>
      </c>
      <c r="H1860" s="27" t="str">
        <f t="shared" si="102"/>
        <v>POSITIVO</v>
      </c>
      <c r="J1860" s="17">
        <f t="shared" si="103"/>
        <v>20.814285714285717</v>
      </c>
    </row>
    <row r="1861" spans="1:10">
      <c r="B1861" t="s">
        <v>744</v>
      </c>
      <c r="C1861" s="24" t="s">
        <v>27</v>
      </c>
      <c r="D1861" s="25">
        <v>6.65</v>
      </c>
      <c r="E1861" s="26">
        <v>12</v>
      </c>
      <c r="G1861" s="17">
        <f t="shared" si="101"/>
        <v>10.230769230769232</v>
      </c>
      <c r="H1861" s="27" t="str">
        <f t="shared" si="102"/>
        <v>POSITIVO</v>
      </c>
      <c r="J1861" s="17">
        <f t="shared" si="103"/>
        <v>9.5000000000000018</v>
      </c>
    </row>
    <row r="1862" spans="1:10">
      <c r="E1862" s="26">
        <v>0</v>
      </c>
      <c r="G1862" s="17">
        <f t="shared" si="101"/>
        <v>0</v>
      </c>
      <c r="H1862" s="27" t="str">
        <f t="shared" si="102"/>
        <v>POSITIVO</v>
      </c>
      <c r="J1862" s="17">
        <f t="shared" si="103"/>
        <v>0</v>
      </c>
    </row>
    <row r="1863" spans="1:10">
      <c r="E1863" s="26">
        <v>0</v>
      </c>
      <c r="G1863" s="17">
        <f t="shared" si="101"/>
        <v>0</v>
      </c>
      <c r="H1863" s="27" t="str">
        <f t="shared" si="102"/>
        <v>POSITIVO</v>
      </c>
      <c r="J1863" s="17">
        <f t="shared" si="103"/>
        <v>0</v>
      </c>
    </row>
    <row r="1864" spans="1:10">
      <c r="E1864" s="26">
        <v>0</v>
      </c>
      <c r="G1864" s="17">
        <f t="shared" si="101"/>
        <v>0</v>
      </c>
      <c r="H1864" s="27" t="str">
        <f t="shared" si="102"/>
        <v>POSITIVO</v>
      </c>
      <c r="J1864" s="17">
        <f t="shared" si="103"/>
        <v>0</v>
      </c>
    </row>
    <row r="1865" spans="1:10">
      <c r="E1865" s="26">
        <v>0</v>
      </c>
      <c r="G1865" s="17">
        <f t="shared" si="101"/>
        <v>0</v>
      </c>
      <c r="H1865" s="27" t="str">
        <f t="shared" si="102"/>
        <v>POSITIVO</v>
      </c>
      <c r="J1865" s="17">
        <f t="shared" si="103"/>
        <v>0</v>
      </c>
    </row>
    <row r="1866" spans="1:10">
      <c r="E1866" s="26">
        <v>0</v>
      </c>
      <c r="G1866" s="17">
        <f t="shared" si="101"/>
        <v>0</v>
      </c>
      <c r="H1866" s="27" t="str">
        <f t="shared" si="102"/>
        <v>POSITIVO</v>
      </c>
      <c r="J1866" s="17">
        <f t="shared" si="103"/>
        <v>0</v>
      </c>
    </row>
    <row r="1867" spans="1:10">
      <c r="E1867" s="26">
        <v>0</v>
      </c>
      <c r="G1867" s="17">
        <f t="shared" si="101"/>
        <v>0</v>
      </c>
      <c r="H1867" s="27" t="str">
        <f t="shared" si="102"/>
        <v>POSITIVO</v>
      </c>
      <c r="J1867" s="17">
        <f t="shared" si="103"/>
        <v>0</v>
      </c>
    </row>
    <row r="1868" spans="1:10">
      <c r="E1868" s="26">
        <v>0</v>
      </c>
      <c r="G1868" s="17">
        <f t="shared" si="101"/>
        <v>0</v>
      </c>
      <c r="H1868" s="27" t="str">
        <f t="shared" si="102"/>
        <v>POSITIVO</v>
      </c>
      <c r="J1868" s="17">
        <f t="shared" si="103"/>
        <v>0</v>
      </c>
    </row>
    <row r="1869" spans="1:10">
      <c r="E1869" s="26">
        <v>0</v>
      </c>
      <c r="G1869" s="17">
        <f t="shared" si="101"/>
        <v>0</v>
      </c>
      <c r="H1869" s="27" t="str">
        <f t="shared" si="102"/>
        <v>POSITIVO</v>
      </c>
      <c r="J1869" s="17">
        <f t="shared" si="103"/>
        <v>0</v>
      </c>
    </row>
    <row r="1870" spans="1:10">
      <c r="E1870" s="26">
        <v>0</v>
      </c>
      <c r="G1870" s="17">
        <f t="shared" si="101"/>
        <v>0</v>
      </c>
      <c r="H1870" s="27" t="str">
        <f t="shared" si="102"/>
        <v>POSITIVO</v>
      </c>
      <c r="J1870" s="17">
        <f t="shared" si="103"/>
        <v>0</v>
      </c>
    </row>
    <row r="1871" spans="1:10">
      <c r="E1871" s="26">
        <v>0</v>
      </c>
      <c r="G1871" s="17">
        <f t="shared" si="101"/>
        <v>0</v>
      </c>
      <c r="H1871" s="27" t="str">
        <f t="shared" si="102"/>
        <v>POSITIVO</v>
      </c>
      <c r="J1871" s="17">
        <f t="shared" si="103"/>
        <v>0</v>
      </c>
    </row>
    <row r="1872" spans="1:10">
      <c r="E1872" s="26">
        <v>0</v>
      </c>
      <c r="G1872" s="17">
        <f t="shared" si="101"/>
        <v>0</v>
      </c>
      <c r="H1872" s="27" t="str">
        <f t="shared" si="102"/>
        <v>POSITIVO</v>
      </c>
      <c r="J1872" s="17">
        <f t="shared" si="103"/>
        <v>0</v>
      </c>
    </row>
    <row r="1873" spans="5:10">
      <c r="E1873" s="26">
        <v>0</v>
      </c>
      <c r="G1873" s="17">
        <f t="shared" si="101"/>
        <v>0</v>
      </c>
      <c r="H1873" s="27" t="str">
        <f t="shared" si="102"/>
        <v>POSITIVO</v>
      </c>
      <c r="J1873" s="17">
        <f t="shared" si="103"/>
        <v>0</v>
      </c>
    </row>
    <row r="1874" spans="5:10">
      <c r="E1874" s="26">
        <v>0</v>
      </c>
      <c r="G1874" s="17">
        <f t="shared" si="101"/>
        <v>0</v>
      </c>
      <c r="H1874" s="27" t="str">
        <f t="shared" si="102"/>
        <v>POSITIVO</v>
      </c>
      <c r="J1874" s="17">
        <f t="shared" si="103"/>
        <v>0</v>
      </c>
    </row>
    <row r="1875" spans="5:10">
      <c r="E1875" s="26">
        <v>0</v>
      </c>
      <c r="G1875" s="17">
        <f t="shared" si="101"/>
        <v>0</v>
      </c>
      <c r="H1875" s="27" t="str">
        <f t="shared" si="102"/>
        <v>POSITIVO</v>
      </c>
      <c r="J1875" s="17">
        <f t="shared" si="103"/>
        <v>0</v>
      </c>
    </row>
    <row r="1876" spans="5:10">
      <c r="E1876" s="26">
        <v>0</v>
      </c>
      <c r="G1876" s="17">
        <f t="shared" si="101"/>
        <v>0</v>
      </c>
      <c r="H1876" s="27" t="str">
        <f t="shared" si="102"/>
        <v>POSITIVO</v>
      </c>
      <c r="J1876" s="17">
        <f t="shared" si="103"/>
        <v>0</v>
      </c>
    </row>
    <row r="1877" spans="5:10">
      <c r="E1877" s="26">
        <v>0</v>
      </c>
      <c r="G1877" s="17">
        <f t="shared" si="101"/>
        <v>0</v>
      </c>
      <c r="H1877" s="27" t="str">
        <f t="shared" si="102"/>
        <v>POSITIVO</v>
      </c>
      <c r="J1877" s="17">
        <f t="shared" si="103"/>
        <v>0</v>
      </c>
    </row>
    <row r="1878" spans="5:10">
      <c r="E1878" s="26">
        <v>0</v>
      </c>
      <c r="G1878" s="17">
        <f t="shared" si="101"/>
        <v>0</v>
      </c>
      <c r="H1878" s="27" t="str">
        <f t="shared" si="102"/>
        <v>POSITIVO</v>
      </c>
      <c r="J1878" s="17">
        <f t="shared" si="103"/>
        <v>0</v>
      </c>
    </row>
    <row r="1879" spans="5:10">
      <c r="E1879" s="26">
        <v>0</v>
      </c>
      <c r="G1879" s="17">
        <f t="shared" si="101"/>
        <v>0</v>
      </c>
      <c r="H1879" s="27" t="str">
        <f t="shared" si="102"/>
        <v>POSITIVO</v>
      </c>
      <c r="J1879" s="17">
        <f t="shared" si="103"/>
        <v>0</v>
      </c>
    </row>
    <row r="1880" spans="5:10">
      <c r="E1880" s="26">
        <v>0</v>
      </c>
      <c r="G1880" s="17">
        <f t="shared" si="101"/>
        <v>0</v>
      </c>
      <c r="H1880" s="27" t="str">
        <f t="shared" si="102"/>
        <v>POSITIVO</v>
      </c>
      <c r="J1880" s="17">
        <f t="shared" si="103"/>
        <v>0</v>
      </c>
    </row>
    <row r="1881" spans="5:10">
      <c r="E1881" s="26">
        <v>0</v>
      </c>
      <c r="G1881" s="17">
        <f t="shared" si="101"/>
        <v>0</v>
      </c>
      <c r="H1881" s="27" t="str">
        <f t="shared" si="102"/>
        <v>POSITIVO</v>
      </c>
      <c r="J1881" s="17">
        <f t="shared" si="103"/>
        <v>0</v>
      </c>
    </row>
    <row r="1882" spans="5:10">
      <c r="E1882" s="26">
        <v>0</v>
      </c>
      <c r="G1882" s="17">
        <f t="shared" si="101"/>
        <v>0</v>
      </c>
      <c r="H1882" s="27" t="str">
        <f t="shared" si="102"/>
        <v>POSITIVO</v>
      </c>
      <c r="J1882" s="17">
        <f t="shared" si="103"/>
        <v>0</v>
      </c>
    </row>
    <row r="1883" spans="5:10">
      <c r="E1883" s="26">
        <v>0</v>
      </c>
      <c r="G1883" s="17">
        <f t="shared" si="101"/>
        <v>0</v>
      </c>
      <c r="H1883" s="27" t="str">
        <f t="shared" si="102"/>
        <v>POSITIVO</v>
      </c>
      <c r="J1883" s="17">
        <f t="shared" si="103"/>
        <v>0</v>
      </c>
    </row>
    <row r="1884" spans="5:10">
      <c r="E1884" s="26">
        <v>0</v>
      </c>
      <c r="G1884" s="17">
        <f t="shared" si="101"/>
        <v>0</v>
      </c>
      <c r="H1884" s="27" t="str">
        <f t="shared" si="102"/>
        <v>POSITIVO</v>
      </c>
      <c r="J1884" s="17">
        <f t="shared" si="103"/>
        <v>0</v>
      </c>
    </row>
    <row r="1885" spans="5:10">
      <c r="E1885" s="26">
        <v>0</v>
      </c>
      <c r="G1885" s="17">
        <f t="shared" si="101"/>
        <v>0</v>
      </c>
      <c r="H1885" s="27" t="str">
        <f t="shared" si="102"/>
        <v>POSITIVO</v>
      </c>
      <c r="J1885" s="17">
        <f t="shared" si="103"/>
        <v>0</v>
      </c>
    </row>
    <row r="1886" spans="5:10">
      <c r="E1886" s="26">
        <v>0</v>
      </c>
      <c r="G1886" s="17">
        <f t="shared" si="101"/>
        <v>0</v>
      </c>
      <c r="H1886" s="27" t="str">
        <f t="shared" si="102"/>
        <v>POSITIVO</v>
      </c>
      <c r="J1886" s="17">
        <f t="shared" si="103"/>
        <v>0</v>
      </c>
    </row>
    <row r="1887" spans="5:10">
      <c r="E1887" s="26">
        <v>0</v>
      </c>
      <c r="G1887" s="17">
        <f t="shared" si="101"/>
        <v>0</v>
      </c>
      <c r="H1887" s="27" t="str">
        <f t="shared" si="102"/>
        <v>POSITIVO</v>
      </c>
      <c r="J1887" s="17">
        <f t="shared" si="103"/>
        <v>0</v>
      </c>
    </row>
    <row r="1888" spans="5:10">
      <c r="E1888" s="26">
        <v>0</v>
      </c>
      <c r="G1888" s="17">
        <f t="shared" si="101"/>
        <v>0</v>
      </c>
      <c r="H1888" s="27" t="str">
        <f t="shared" si="102"/>
        <v>POSITIVO</v>
      </c>
      <c r="J1888" s="17">
        <f t="shared" si="103"/>
        <v>0</v>
      </c>
    </row>
    <row r="1889" spans="5:10">
      <c r="E1889" s="26">
        <v>0</v>
      </c>
      <c r="G1889" s="17">
        <f t="shared" si="101"/>
        <v>0</v>
      </c>
      <c r="H1889" s="27" t="str">
        <f t="shared" si="102"/>
        <v>POSITIVO</v>
      </c>
      <c r="J1889" s="17">
        <f t="shared" si="103"/>
        <v>0</v>
      </c>
    </row>
    <row r="1890" spans="5:10">
      <c r="E1890" s="26">
        <v>0</v>
      </c>
      <c r="G1890" s="17">
        <f t="shared" si="101"/>
        <v>0</v>
      </c>
      <c r="H1890" s="27" t="str">
        <f t="shared" si="102"/>
        <v>POSITIVO</v>
      </c>
      <c r="J1890" s="17">
        <f t="shared" si="103"/>
        <v>0</v>
      </c>
    </row>
    <row r="1891" spans="5:10">
      <c r="E1891" s="26">
        <v>0</v>
      </c>
      <c r="G1891" s="17">
        <f t="shared" si="101"/>
        <v>0</v>
      </c>
      <c r="H1891" s="27" t="str">
        <f t="shared" si="102"/>
        <v>POSITIVO</v>
      </c>
      <c r="J1891" s="17">
        <f t="shared" si="103"/>
        <v>0</v>
      </c>
    </row>
    <row r="1892" spans="5:10">
      <c r="E1892" s="26">
        <v>0</v>
      </c>
      <c r="G1892" s="17">
        <f t="shared" si="101"/>
        <v>0</v>
      </c>
      <c r="H1892" s="27" t="str">
        <f t="shared" si="102"/>
        <v>POSITIVO</v>
      </c>
      <c r="J1892" s="17">
        <f t="shared" si="103"/>
        <v>0</v>
      </c>
    </row>
    <row r="1893" spans="5:10">
      <c r="E1893" s="26">
        <v>0</v>
      </c>
      <c r="G1893" s="17">
        <f t="shared" si="101"/>
        <v>0</v>
      </c>
      <c r="H1893" s="27" t="str">
        <f t="shared" si="102"/>
        <v>POSITIVO</v>
      </c>
      <c r="J1893" s="17">
        <f t="shared" si="103"/>
        <v>0</v>
      </c>
    </row>
    <row r="1894" spans="5:10">
      <c r="E1894" s="26">
        <v>0</v>
      </c>
      <c r="G1894" s="17">
        <f t="shared" si="101"/>
        <v>0</v>
      </c>
      <c r="H1894" s="27" t="str">
        <f t="shared" si="102"/>
        <v>POSITIVO</v>
      </c>
      <c r="J1894" s="17">
        <f t="shared" si="103"/>
        <v>0</v>
      </c>
    </row>
    <row r="1895" spans="5:10">
      <c r="E1895" s="26">
        <v>0</v>
      </c>
      <c r="G1895" s="17">
        <f t="shared" si="101"/>
        <v>0</v>
      </c>
      <c r="H1895" s="27" t="str">
        <f t="shared" si="102"/>
        <v>POSITIVO</v>
      </c>
      <c r="J1895" s="17">
        <f t="shared" si="103"/>
        <v>0</v>
      </c>
    </row>
    <row r="1896" spans="5:10">
      <c r="E1896" s="26">
        <v>0</v>
      </c>
      <c r="G1896" s="17">
        <f t="shared" si="101"/>
        <v>0</v>
      </c>
      <c r="H1896" s="27" t="str">
        <f t="shared" si="102"/>
        <v>POSITIVO</v>
      </c>
      <c r="J1896" s="17">
        <f t="shared" si="103"/>
        <v>0</v>
      </c>
    </row>
    <row r="1897" spans="5:10">
      <c r="E1897" s="26">
        <v>0</v>
      </c>
      <c r="G1897" s="17">
        <f t="shared" si="101"/>
        <v>0</v>
      </c>
      <c r="H1897" s="27" t="str">
        <f t="shared" si="102"/>
        <v>POSITIVO</v>
      </c>
      <c r="J1897" s="17">
        <f t="shared" si="103"/>
        <v>0</v>
      </c>
    </row>
    <row r="1898" spans="5:10">
      <c r="E1898" s="26">
        <v>0</v>
      </c>
      <c r="G1898" s="17">
        <f t="shared" si="101"/>
        <v>0</v>
      </c>
      <c r="H1898" s="27" t="str">
        <f t="shared" si="102"/>
        <v>POSITIVO</v>
      </c>
      <c r="J1898" s="17">
        <f t="shared" si="103"/>
        <v>0</v>
      </c>
    </row>
    <row r="1899" spans="5:10">
      <c r="E1899" s="26">
        <v>0</v>
      </c>
      <c r="G1899" s="17">
        <f t="shared" si="101"/>
        <v>0</v>
      </c>
      <c r="H1899" s="27" t="str">
        <f t="shared" si="102"/>
        <v>POSITIVO</v>
      </c>
      <c r="J1899" s="17">
        <f t="shared" si="103"/>
        <v>0</v>
      </c>
    </row>
    <row r="1900" spans="5:10">
      <c r="E1900" s="26">
        <v>0</v>
      </c>
      <c r="G1900" s="17">
        <f t="shared" ref="G1900:G1963" si="104">(D1900/65%)</f>
        <v>0</v>
      </c>
      <c r="H1900" s="27" t="str">
        <f t="shared" ref="H1900:H1960" si="105">IF(E1900&gt;=G1900,"POSITIVO","NEGATIVO")</f>
        <v>POSITIVO</v>
      </c>
      <c r="J1900" s="17">
        <f t="shared" ref="J1900:J1963" si="106">D1900/70%</f>
        <v>0</v>
      </c>
    </row>
    <row r="1901" spans="5:10">
      <c r="E1901" s="26">
        <v>0</v>
      </c>
      <c r="G1901" s="17">
        <f t="shared" si="104"/>
        <v>0</v>
      </c>
      <c r="H1901" s="27" t="str">
        <f t="shared" si="105"/>
        <v>POSITIVO</v>
      </c>
      <c r="J1901" s="17">
        <f t="shared" si="106"/>
        <v>0</v>
      </c>
    </row>
    <row r="1902" spans="5:10">
      <c r="E1902" s="26">
        <v>0</v>
      </c>
      <c r="G1902" s="17">
        <f t="shared" si="104"/>
        <v>0</v>
      </c>
      <c r="H1902" s="27" t="str">
        <f t="shared" si="105"/>
        <v>POSITIVO</v>
      </c>
      <c r="J1902" s="17">
        <f t="shared" si="106"/>
        <v>0</v>
      </c>
    </row>
    <row r="1903" spans="5:10">
      <c r="E1903" s="26">
        <v>0</v>
      </c>
      <c r="G1903" s="17">
        <f t="shared" si="104"/>
        <v>0</v>
      </c>
      <c r="H1903" s="27" t="str">
        <f t="shared" si="105"/>
        <v>POSITIVO</v>
      </c>
      <c r="J1903" s="17">
        <f t="shared" si="106"/>
        <v>0</v>
      </c>
    </row>
    <row r="1904" spans="5:10">
      <c r="E1904" s="26">
        <v>0</v>
      </c>
      <c r="G1904" s="17">
        <f t="shared" si="104"/>
        <v>0</v>
      </c>
      <c r="H1904" s="27" t="str">
        <f t="shared" si="105"/>
        <v>POSITIVO</v>
      </c>
      <c r="J1904" s="17">
        <f t="shared" si="106"/>
        <v>0</v>
      </c>
    </row>
    <row r="1905" spans="5:10">
      <c r="E1905" s="26">
        <v>0</v>
      </c>
      <c r="G1905" s="17">
        <f t="shared" si="104"/>
        <v>0</v>
      </c>
      <c r="H1905" s="27" t="str">
        <f t="shared" si="105"/>
        <v>POSITIVO</v>
      </c>
      <c r="J1905" s="17">
        <f t="shared" si="106"/>
        <v>0</v>
      </c>
    </row>
    <row r="1906" spans="5:10">
      <c r="E1906" s="26">
        <v>0</v>
      </c>
      <c r="G1906" s="17">
        <f t="shared" si="104"/>
        <v>0</v>
      </c>
      <c r="H1906" s="27" t="str">
        <f t="shared" si="105"/>
        <v>POSITIVO</v>
      </c>
      <c r="J1906" s="17">
        <f t="shared" si="106"/>
        <v>0</v>
      </c>
    </row>
    <row r="1907" spans="5:10">
      <c r="E1907" s="26">
        <v>0</v>
      </c>
      <c r="G1907" s="17">
        <f t="shared" si="104"/>
        <v>0</v>
      </c>
      <c r="H1907" s="27" t="str">
        <f t="shared" si="105"/>
        <v>POSITIVO</v>
      </c>
      <c r="J1907" s="17">
        <f t="shared" si="106"/>
        <v>0</v>
      </c>
    </row>
    <row r="1908" spans="5:10">
      <c r="E1908" s="26">
        <v>0</v>
      </c>
      <c r="G1908" s="17">
        <f t="shared" si="104"/>
        <v>0</v>
      </c>
      <c r="H1908" s="27" t="str">
        <f t="shared" si="105"/>
        <v>POSITIVO</v>
      </c>
      <c r="J1908" s="17">
        <f t="shared" si="106"/>
        <v>0</v>
      </c>
    </row>
    <row r="1909" spans="5:10">
      <c r="E1909" s="26">
        <v>0</v>
      </c>
      <c r="G1909" s="17">
        <f t="shared" si="104"/>
        <v>0</v>
      </c>
      <c r="H1909" s="27" t="str">
        <f t="shared" si="105"/>
        <v>POSITIVO</v>
      </c>
      <c r="J1909" s="17">
        <f t="shared" si="106"/>
        <v>0</v>
      </c>
    </row>
    <row r="1910" spans="5:10">
      <c r="E1910" s="26">
        <v>0</v>
      </c>
      <c r="G1910" s="17">
        <f t="shared" si="104"/>
        <v>0</v>
      </c>
      <c r="H1910" s="27" t="str">
        <f t="shared" si="105"/>
        <v>POSITIVO</v>
      </c>
      <c r="J1910" s="17">
        <f t="shared" si="106"/>
        <v>0</v>
      </c>
    </row>
    <row r="1911" spans="5:10">
      <c r="E1911" s="26">
        <v>0</v>
      </c>
      <c r="G1911" s="17">
        <f t="shared" si="104"/>
        <v>0</v>
      </c>
      <c r="H1911" s="27" t="str">
        <f t="shared" si="105"/>
        <v>POSITIVO</v>
      </c>
      <c r="J1911" s="17">
        <f t="shared" si="106"/>
        <v>0</v>
      </c>
    </row>
    <row r="1912" spans="5:10">
      <c r="E1912" s="26">
        <v>0</v>
      </c>
      <c r="G1912" s="17">
        <f t="shared" si="104"/>
        <v>0</v>
      </c>
      <c r="H1912" s="27" t="str">
        <f t="shared" si="105"/>
        <v>POSITIVO</v>
      </c>
      <c r="J1912" s="17">
        <f t="shared" si="106"/>
        <v>0</v>
      </c>
    </row>
    <row r="1913" spans="5:10">
      <c r="E1913" s="26">
        <v>0</v>
      </c>
      <c r="G1913" s="17">
        <f t="shared" si="104"/>
        <v>0</v>
      </c>
      <c r="H1913" s="27" t="str">
        <f t="shared" si="105"/>
        <v>POSITIVO</v>
      </c>
      <c r="J1913" s="17">
        <f t="shared" si="106"/>
        <v>0</v>
      </c>
    </row>
    <row r="1914" spans="5:10">
      <c r="E1914" s="26">
        <v>0</v>
      </c>
      <c r="G1914" s="17">
        <f t="shared" si="104"/>
        <v>0</v>
      </c>
      <c r="H1914" s="27" t="str">
        <f t="shared" si="105"/>
        <v>POSITIVO</v>
      </c>
      <c r="J1914" s="17">
        <f t="shared" si="106"/>
        <v>0</v>
      </c>
    </row>
    <row r="1915" spans="5:10">
      <c r="E1915" s="26">
        <v>0</v>
      </c>
      <c r="G1915" s="17">
        <f t="shared" si="104"/>
        <v>0</v>
      </c>
      <c r="H1915" s="27" t="str">
        <f t="shared" si="105"/>
        <v>POSITIVO</v>
      </c>
      <c r="J1915" s="17">
        <f t="shared" si="106"/>
        <v>0</v>
      </c>
    </row>
    <row r="1916" spans="5:10">
      <c r="E1916" s="26">
        <v>0</v>
      </c>
      <c r="G1916" s="17">
        <f t="shared" si="104"/>
        <v>0</v>
      </c>
      <c r="H1916" s="27" t="str">
        <f t="shared" si="105"/>
        <v>POSITIVO</v>
      </c>
      <c r="J1916" s="17">
        <f t="shared" si="106"/>
        <v>0</v>
      </c>
    </row>
    <row r="1917" spans="5:10">
      <c r="E1917" s="26">
        <v>0</v>
      </c>
      <c r="G1917" s="17">
        <f t="shared" si="104"/>
        <v>0</v>
      </c>
      <c r="H1917" s="27" t="str">
        <f t="shared" si="105"/>
        <v>POSITIVO</v>
      </c>
      <c r="J1917" s="17">
        <f t="shared" si="106"/>
        <v>0</v>
      </c>
    </row>
    <row r="1918" spans="5:10">
      <c r="E1918" s="26">
        <v>0</v>
      </c>
      <c r="G1918" s="17">
        <f t="shared" si="104"/>
        <v>0</v>
      </c>
      <c r="H1918" s="27" t="str">
        <f t="shared" si="105"/>
        <v>POSITIVO</v>
      </c>
      <c r="J1918" s="17">
        <f t="shared" si="106"/>
        <v>0</v>
      </c>
    </row>
    <row r="1919" spans="5:10">
      <c r="E1919" s="26">
        <v>0</v>
      </c>
      <c r="G1919" s="17">
        <f t="shared" si="104"/>
        <v>0</v>
      </c>
      <c r="H1919" s="27" t="str">
        <f t="shared" si="105"/>
        <v>POSITIVO</v>
      </c>
      <c r="J1919" s="17">
        <f t="shared" si="106"/>
        <v>0</v>
      </c>
    </row>
    <row r="1920" spans="5:10">
      <c r="E1920" s="26">
        <v>0</v>
      </c>
      <c r="G1920" s="17">
        <f t="shared" si="104"/>
        <v>0</v>
      </c>
      <c r="H1920" s="27" t="str">
        <f t="shared" si="105"/>
        <v>POSITIVO</v>
      </c>
      <c r="J1920" s="17">
        <f t="shared" si="106"/>
        <v>0</v>
      </c>
    </row>
    <row r="1921" spans="5:10">
      <c r="E1921" s="26">
        <v>0</v>
      </c>
      <c r="G1921" s="17">
        <f t="shared" si="104"/>
        <v>0</v>
      </c>
      <c r="H1921" s="27" t="str">
        <f t="shared" si="105"/>
        <v>POSITIVO</v>
      </c>
      <c r="J1921" s="17">
        <f t="shared" si="106"/>
        <v>0</v>
      </c>
    </row>
    <row r="1922" spans="5:10">
      <c r="E1922" s="26">
        <v>0</v>
      </c>
      <c r="G1922" s="17">
        <f t="shared" si="104"/>
        <v>0</v>
      </c>
      <c r="H1922" s="27" t="str">
        <f t="shared" si="105"/>
        <v>POSITIVO</v>
      </c>
      <c r="J1922" s="17">
        <f t="shared" si="106"/>
        <v>0</v>
      </c>
    </row>
    <row r="1923" spans="5:10">
      <c r="E1923" s="26">
        <v>0</v>
      </c>
      <c r="G1923" s="17">
        <f t="shared" si="104"/>
        <v>0</v>
      </c>
      <c r="H1923" s="27" t="str">
        <f t="shared" si="105"/>
        <v>POSITIVO</v>
      </c>
      <c r="J1923" s="17">
        <f t="shared" si="106"/>
        <v>0</v>
      </c>
    </row>
    <row r="1924" spans="5:10">
      <c r="E1924" s="26">
        <v>0</v>
      </c>
      <c r="G1924" s="17">
        <f t="shared" si="104"/>
        <v>0</v>
      </c>
      <c r="H1924" s="27" t="str">
        <f t="shared" si="105"/>
        <v>POSITIVO</v>
      </c>
      <c r="J1924" s="17">
        <f t="shared" si="106"/>
        <v>0</v>
      </c>
    </row>
    <row r="1925" spans="5:10">
      <c r="E1925" s="26">
        <v>0</v>
      </c>
      <c r="G1925" s="17">
        <f t="shared" si="104"/>
        <v>0</v>
      </c>
      <c r="H1925" s="27" t="str">
        <f t="shared" si="105"/>
        <v>POSITIVO</v>
      </c>
      <c r="J1925" s="17">
        <f t="shared" si="106"/>
        <v>0</v>
      </c>
    </row>
    <row r="1926" spans="5:10">
      <c r="E1926" s="26">
        <v>0</v>
      </c>
      <c r="G1926" s="17">
        <f t="shared" si="104"/>
        <v>0</v>
      </c>
      <c r="H1926" s="27" t="str">
        <f t="shared" si="105"/>
        <v>POSITIVO</v>
      </c>
      <c r="J1926" s="17">
        <f t="shared" si="106"/>
        <v>0</v>
      </c>
    </row>
    <row r="1927" spans="5:10">
      <c r="E1927" s="26">
        <v>0</v>
      </c>
      <c r="G1927" s="17">
        <f t="shared" si="104"/>
        <v>0</v>
      </c>
      <c r="H1927" s="27" t="str">
        <f t="shared" si="105"/>
        <v>POSITIVO</v>
      </c>
      <c r="J1927" s="17">
        <f t="shared" si="106"/>
        <v>0</v>
      </c>
    </row>
    <row r="1928" spans="5:10">
      <c r="E1928" s="26">
        <v>0</v>
      </c>
      <c r="G1928" s="17">
        <f t="shared" si="104"/>
        <v>0</v>
      </c>
      <c r="H1928" s="27" t="str">
        <f t="shared" si="105"/>
        <v>POSITIVO</v>
      </c>
      <c r="J1928" s="17">
        <f t="shared" si="106"/>
        <v>0</v>
      </c>
    </row>
    <row r="1929" spans="5:10">
      <c r="E1929" s="26">
        <v>0</v>
      </c>
      <c r="G1929" s="17">
        <f t="shared" si="104"/>
        <v>0</v>
      </c>
      <c r="H1929" s="27" t="str">
        <f t="shared" si="105"/>
        <v>POSITIVO</v>
      </c>
      <c r="J1929" s="17">
        <f t="shared" si="106"/>
        <v>0</v>
      </c>
    </row>
    <row r="1930" spans="5:10">
      <c r="E1930" s="26">
        <v>0</v>
      </c>
      <c r="G1930" s="17">
        <f t="shared" si="104"/>
        <v>0</v>
      </c>
      <c r="H1930" s="27" t="str">
        <f t="shared" si="105"/>
        <v>POSITIVO</v>
      </c>
      <c r="J1930" s="17">
        <f t="shared" si="106"/>
        <v>0</v>
      </c>
    </row>
    <row r="1931" spans="5:10">
      <c r="E1931" s="26">
        <v>0</v>
      </c>
      <c r="G1931" s="17">
        <f t="shared" si="104"/>
        <v>0</v>
      </c>
      <c r="H1931" s="27" t="str">
        <f t="shared" si="105"/>
        <v>POSITIVO</v>
      </c>
      <c r="J1931" s="17">
        <f t="shared" si="106"/>
        <v>0</v>
      </c>
    </row>
    <row r="1932" spans="5:10">
      <c r="E1932" s="26">
        <v>0</v>
      </c>
      <c r="G1932" s="17">
        <f t="shared" si="104"/>
        <v>0</v>
      </c>
      <c r="H1932" s="27" t="str">
        <f t="shared" si="105"/>
        <v>POSITIVO</v>
      </c>
      <c r="J1932" s="17">
        <f t="shared" si="106"/>
        <v>0</v>
      </c>
    </row>
    <row r="1933" spans="5:10">
      <c r="E1933" s="26">
        <v>0</v>
      </c>
      <c r="G1933" s="17">
        <f t="shared" si="104"/>
        <v>0</v>
      </c>
      <c r="H1933" s="27" t="str">
        <f t="shared" si="105"/>
        <v>POSITIVO</v>
      </c>
      <c r="J1933" s="17">
        <f t="shared" si="106"/>
        <v>0</v>
      </c>
    </row>
    <row r="1934" spans="5:10">
      <c r="E1934" s="26">
        <v>0</v>
      </c>
      <c r="G1934" s="17">
        <f t="shared" si="104"/>
        <v>0</v>
      </c>
      <c r="H1934" s="27" t="str">
        <f t="shared" si="105"/>
        <v>POSITIVO</v>
      </c>
      <c r="J1934" s="17">
        <f t="shared" si="106"/>
        <v>0</v>
      </c>
    </row>
    <row r="1935" spans="5:10">
      <c r="E1935" s="26">
        <v>0</v>
      </c>
      <c r="G1935" s="17">
        <f t="shared" si="104"/>
        <v>0</v>
      </c>
      <c r="H1935" s="27" t="str">
        <f t="shared" si="105"/>
        <v>POSITIVO</v>
      </c>
      <c r="J1935" s="17">
        <f t="shared" si="106"/>
        <v>0</v>
      </c>
    </row>
    <row r="1936" spans="5:10">
      <c r="E1936" s="26">
        <v>0</v>
      </c>
      <c r="G1936" s="17">
        <f t="shared" si="104"/>
        <v>0</v>
      </c>
      <c r="H1936" s="27" t="str">
        <f t="shared" si="105"/>
        <v>POSITIVO</v>
      </c>
      <c r="J1936" s="17">
        <f t="shared" si="106"/>
        <v>0</v>
      </c>
    </row>
    <row r="1937" spans="5:10">
      <c r="E1937" s="26">
        <v>0</v>
      </c>
      <c r="G1937" s="17">
        <f t="shared" si="104"/>
        <v>0</v>
      </c>
      <c r="H1937" s="27" t="str">
        <f t="shared" si="105"/>
        <v>POSITIVO</v>
      </c>
      <c r="J1937" s="17">
        <f t="shared" si="106"/>
        <v>0</v>
      </c>
    </row>
    <row r="1938" spans="5:10">
      <c r="E1938" s="26">
        <v>0</v>
      </c>
      <c r="G1938" s="17">
        <f t="shared" si="104"/>
        <v>0</v>
      </c>
      <c r="H1938" s="27" t="str">
        <f t="shared" si="105"/>
        <v>POSITIVO</v>
      </c>
      <c r="J1938" s="17">
        <f t="shared" si="106"/>
        <v>0</v>
      </c>
    </row>
    <row r="1939" spans="5:10">
      <c r="E1939" s="26">
        <v>0</v>
      </c>
      <c r="G1939" s="17">
        <f t="shared" si="104"/>
        <v>0</v>
      </c>
      <c r="H1939" s="27" t="str">
        <f t="shared" si="105"/>
        <v>POSITIVO</v>
      </c>
      <c r="J1939" s="17">
        <f t="shared" si="106"/>
        <v>0</v>
      </c>
    </row>
    <row r="1940" spans="5:10">
      <c r="E1940" s="26">
        <v>0</v>
      </c>
      <c r="G1940" s="17">
        <f t="shared" si="104"/>
        <v>0</v>
      </c>
      <c r="H1940" s="27" t="str">
        <f t="shared" si="105"/>
        <v>POSITIVO</v>
      </c>
      <c r="J1940" s="17">
        <f t="shared" si="106"/>
        <v>0</v>
      </c>
    </row>
    <row r="1941" spans="5:10">
      <c r="E1941" s="26">
        <v>0</v>
      </c>
      <c r="G1941" s="17">
        <f t="shared" si="104"/>
        <v>0</v>
      </c>
      <c r="H1941" s="27" t="str">
        <f t="shared" si="105"/>
        <v>POSITIVO</v>
      </c>
      <c r="J1941" s="17">
        <f t="shared" si="106"/>
        <v>0</v>
      </c>
    </row>
    <row r="1942" spans="5:10">
      <c r="E1942" s="26">
        <v>0</v>
      </c>
      <c r="G1942" s="17">
        <f t="shared" si="104"/>
        <v>0</v>
      </c>
      <c r="H1942" s="27" t="str">
        <f t="shared" si="105"/>
        <v>POSITIVO</v>
      </c>
      <c r="J1942" s="17">
        <f t="shared" si="106"/>
        <v>0</v>
      </c>
    </row>
    <row r="1943" spans="5:10">
      <c r="E1943" s="26">
        <v>0</v>
      </c>
      <c r="G1943" s="17">
        <f t="shared" si="104"/>
        <v>0</v>
      </c>
      <c r="H1943" s="27" t="str">
        <f t="shared" si="105"/>
        <v>POSITIVO</v>
      </c>
      <c r="J1943" s="17">
        <f t="shared" si="106"/>
        <v>0</v>
      </c>
    </row>
    <row r="1944" spans="5:10">
      <c r="E1944" s="26">
        <v>0</v>
      </c>
      <c r="G1944" s="17">
        <f t="shared" si="104"/>
        <v>0</v>
      </c>
      <c r="H1944" s="27" t="str">
        <f t="shared" si="105"/>
        <v>POSITIVO</v>
      </c>
      <c r="J1944" s="17">
        <f t="shared" si="106"/>
        <v>0</v>
      </c>
    </row>
    <row r="1945" spans="5:10">
      <c r="E1945" s="26">
        <v>0</v>
      </c>
      <c r="G1945" s="17">
        <f t="shared" si="104"/>
        <v>0</v>
      </c>
      <c r="H1945" s="27" t="str">
        <f t="shared" si="105"/>
        <v>POSITIVO</v>
      </c>
      <c r="J1945" s="17">
        <f t="shared" si="106"/>
        <v>0</v>
      </c>
    </row>
    <row r="1946" spans="5:10">
      <c r="E1946" s="26">
        <v>0</v>
      </c>
      <c r="G1946" s="17">
        <f t="shared" si="104"/>
        <v>0</v>
      </c>
      <c r="H1946" s="27" t="str">
        <f t="shared" si="105"/>
        <v>POSITIVO</v>
      </c>
      <c r="J1946" s="17">
        <f t="shared" si="106"/>
        <v>0</v>
      </c>
    </row>
    <row r="1947" spans="5:10">
      <c r="E1947" s="26">
        <v>0</v>
      </c>
      <c r="G1947" s="17">
        <f t="shared" si="104"/>
        <v>0</v>
      </c>
      <c r="H1947" s="27" t="str">
        <f t="shared" si="105"/>
        <v>POSITIVO</v>
      </c>
      <c r="J1947" s="17">
        <f t="shared" si="106"/>
        <v>0</v>
      </c>
    </row>
    <row r="1948" spans="5:10">
      <c r="E1948" s="26">
        <v>0</v>
      </c>
      <c r="G1948" s="17">
        <f t="shared" si="104"/>
        <v>0</v>
      </c>
      <c r="H1948" s="27" t="str">
        <f t="shared" si="105"/>
        <v>POSITIVO</v>
      </c>
      <c r="J1948" s="17">
        <f t="shared" si="106"/>
        <v>0</v>
      </c>
    </row>
    <row r="1949" spans="5:10">
      <c r="E1949" s="26">
        <v>0</v>
      </c>
      <c r="G1949" s="17">
        <f t="shared" si="104"/>
        <v>0</v>
      </c>
      <c r="H1949" s="27" t="str">
        <f t="shared" si="105"/>
        <v>POSITIVO</v>
      </c>
      <c r="J1949" s="17">
        <f t="shared" si="106"/>
        <v>0</v>
      </c>
    </row>
    <row r="1950" spans="5:10">
      <c r="E1950" s="26">
        <v>0</v>
      </c>
      <c r="G1950" s="17">
        <f t="shared" si="104"/>
        <v>0</v>
      </c>
      <c r="H1950" s="27" t="str">
        <f t="shared" si="105"/>
        <v>POSITIVO</v>
      </c>
      <c r="J1950" s="17">
        <f t="shared" si="106"/>
        <v>0</v>
      </c>
    </row>
    <row r="1951" spans="5:10">
      <c r="E1951" s="26">
        <v>0</v>
      </c>
      <c r="G1951" s="17">
        <f t="shared" si="104"/>
        <v>0</v>
      </c>
      <c r="H1951" s="27" t="str">
        <f t="shared" si="105"/>
        <v>POSITIVO</v>
      </c>
      <c r="J1951" s="17">
        <f t="shared" si="106"/>
        <v>0</v>
      </c>
    </row>
    <row r="1952" spans="5:10">
      <c r="E1952" s="26">
        <v>0</v>
      </c>
      <c r="G1952" s="17">
        <f t="shared" si="104"/>
        <v>0</v>
      </c>
      <c r="H1952" s="27" t="str">
        <f t="shared" si="105"/>
        <v>POSITIVO</v>
      </c>
      <c r="J1952" s="17">
        <f t="shared" si="106"/>
        <v>0</v>
      </c>
    </row>
    <row r="1953" spans="5:10">
      <c r="E1953" s="26">
        <v>0</v>
      </c>
      <c r="G1953" s="17">
        <f t="shared" si="104"/>
        <v>0</v>
      </c>
      <c r="H1953" s="27" t="str">
        <f t="shared" si="105"/>
        <v>POSITIVO</v>
      </c>
      <c r="J1953" s="17">
        <f t="shared" si="106"/>
        <v>0</v>
      </c>
    </row>
    <row r="1954" spans="5:10">
      <c r="E1954" s="26">
        <v>0</v>
      </c>
      <c r="G1954" s="17">
        <f t="shared" si="104"/>
        <v>0</v>
      </c>
      <c r="H1954" s="27" t="str">
        <f t="shared" si="105"/>
        <v>POSITIVO</v>
      </c>
      <c r="J1954" s="17">
        <f t="shared" si="106"/>
        <v>0</v>
      </c>
    </row>
    <row r="1955" spans="5:10">
      <c r="E1955" s="26">
        <v>0</v>
      </c>
      <c r="G1955" s="17">
        <f t="shared" si="104"/>
        <v>0</v>
      </c>
      <c r="H1955" s="27" t="str">
        <f t="shared" si="105"/>
        <v>POSITIVO</v>
      </c>
      <c r="J1955" s="17">
        <f t="shared" si="106"/>
        <v>0</v>
      </c>
    </row>
    <row r="1956" spans="5:10">
      <c r="E1956" s="26">
        <v>0</v>
      </c>
      <c r="G1956" s="17">
        <f t="shared" si="104"/>
        <v>0</v>
      </c>
      <c r="H1956" s="27" t="str">
        <f t="shared" si="105"/>
        <v>POSITIVO</v>
      </c>
      <c r="J1956" s="17">
        <f t="shared" si="106"/>
        <v>0</v>
      </c>
    </row>
    <row r="1957" spans="5:10">
      <c r="E1957" s="26">
        <v>0</v>
      </c>
      <c r="G1957" s="17">
        <f t="shared" si="104"/>
        <v>0</v>
      </c>
      <c r="H1957" s="27" t="str">
        <f t="shared" si="105"/>
        <v>POSITIVO</v>
      </c>
      <c r="J1957" s="17">
        <f t="shared" si="106"/>
        <v>0</v>
      </c>
    </row>
    <row r="1958" spans="5:10">
      <c r="E1958" s="26">
        <v>0</v>
      </c>
      <c r="G1958" s="17">
        <f t="shared" si="104"/>
        <v>0</v>
      </c>
      <c r="H1958" s="27" t="str">
        <f t="shared" si="105"/>
        <v>POSITIVO</v>
      </c>
      <c r="J1958" s="17">
        <f t="shared" si="106"/>
        <v>0</v>
      </c>
    </row>
    <row r="1959" spans="5:10">
      <c r="E1959" s="26">
        <v>0</v>
      </c>
      <c r="G1959" s="17">
        <f t="shared" si="104"/>
        <v>0</v>
      </c>
      <c r="H1959" s="27" t="str">
        <f t="shared" si="105"/>
        <v>POSITIVO</v>
      </c>
      <c r="J1959" s="17">
        <f t="shared" si="106"/>
        <v>0</v>
      </c>
    </row>
    <row r="1960" spans="5:10">
      <c r="E1960" s="26">
        <v>0</v>
      </c>
      <c r="G1960" s="17">
        <f t="shared" si="104"/>
        <v>0</v>
      </c>
      <c r="H1960" s="27" t="str">
        <f t="shared" si="105"/>
        <v>POSITIVO</v>
      </c>
      <c r="J1960" s="17">
        <f t="shared" si="106"/>
        <v>0</v>
      </c>
    </row>
    <row r="1961" spans="5:10">
      <c r="E1961" s="26">
        <v>0</v>
      </c>
      <c r="G1961" s="17">
        <f t="shared" si="104"/>
        <v>0</v>
      </c>
      <c r="H1961" s="27"/>
      <c r="J1961" s="17">
        <f t="shared" si="106"/>
        <v>0</v>
      </c>
    </row>
    <row r="1962" spans="5:10">
      <c r="E1962" s="26">
        <v>0</v>
      </c>
      <c r="G1962" s="17">
        <f t="shared" si="104"/>
        <v>0</v>
      </c>
      <c r="H1962" s="27" t="str">
        <f t="shared" ref="H1962:H2003" si="107">IF(E1962&gt;=G1962,"POSITIVO","NEGATIVO")</f>
        <v>POSITIVO</v>
      </c>
      <c r="J1962" s="17">
        <f t="shared" si="106"/>
        <v>0</v>
      </c>
    </row>
    <row r="1963" spans="5:10">
      <c r="E1963" s="26">
        <v>0</v>
      </c>
      <c r="G1963" s="17">
        <f t="shared" si="104"/>
        <v>0</v>
      </c>
      <c r="H1963" s="27" t="str">
        <f t="shared" si="107"/>
        <v>POSITIVO</v>
      </c>
      <c r="J1963" s="17">
        <f t="shared" si="106"/>
        <v>0</v>
      </c>
    </row>
    <row r="1964" spans="5:10">
      <c r="E1964" s="26">
        <v>0</v>
      </c>
      <c r="G1964" s="17">
        <f t="shared" ref="G1964:G2003" si="108">(D1964/65%)</f>
        <v>0</v>
      </c>
      <c r="H1964" s="27" t="str">
        <f t="shared" si="107"/>
        <v>POSITIVO</v>
      </c>
      <c r="J1964" s="17">
        <f t="shared" ref="J1964:J2003" si="109">D1964/70%</f>
        <v>0</v>
      </c>
    </row>
    <row r="1965" spans="5:10">
      <c r="E1965" s="26">
        <v>0</v>
      </c>
      <c r="G1965" s="17">
        <f t="shared" si="108"/>
        <v>0</v>
      </c>
      <c r="H1965" s="27" t="str">
        <f t="shared" si="107"/>
        <v>POSITIVO</v>
      </c>
      <c r="J1965" s="17">
        <f t="shared" si="109"/>
        <v>0</v>
      </c>
    </row>
    <row r="1966" spans="5:10">
      <c r="E1966" s="26">
        <v>0</v>
      </c>
      <c r="G1966" s="17">
        <f t="shared" si="108"/>
        <v>0</v>
      </c>
      <c r="H1966" s="27" t="str">
        <f t="shared" si="107"/>
        <v>POSITIVO</v>
      </c>
      <c r="J1966" s="17">
        <f t="shared" si="109"/>
        <v>0</v>
      </c>
    </row>
    <row r="1967" spans="5:10">
      <c r="E1967" s="26">
        <v>0</v>
      </c>
      <c r="G1967" s="17">
        <f t="shared" si="108"/>
        <v>0</v>
      </c>
      <c r="H1967" s="27" t="str">
        <f t="shared" si="107"/>
        <v>POSITIVO</v>
      </c>
      <c r="J1967" s="17">
        <f t="shared" si="109"/>
        <v>0</v>
      </c>
    </row>
    <row r="1968" spans="5:10">
      <c r="E1968" s="26">
        <v>0</v>
      </c>
      <c r="G1968" s="17">
        <f t="shared" si="108"/>
        <v>0</v>
      </c>
      <c r="H1968" s="27" t="str">
        <f t="shared" si="107"/>
        <v>POSITIVO</v>
      </c>
      <c r="J1968" s="17">
        <f t="shared" si="109"/>
        <v>0</v>
      </c>
    </row>
    <row r="1969" spans="5:10">
      <c r="E1969" s="26">
        <v>0</v>
      </c>
      <c r="G1969" s="17">
        <f t="shared" si="108"/>
        <v>0</v>
      </c>
      <c r="H1969" s="27" t="str">
        <f t="shared" si="107"/>
        <v>POSITIVO</v>
      </c>
      <c r="J1969" s="17">
        <f t="shared" si="109"/>
        <v>0</v>
      </c>
    </row>
    <row r="1970" spans="5:10">
      <c r="E1970" s="26">
        <v>0</v>
      </c>
      <c r="G1970" s="17">
        <f t="shared" si="108"/>
        <v>0</v>
      </c>
      <c r="H1970" s="27" t="str">
        <f t="shared" si="107"/>
        <v>POSITIVO</v>
      </c>
      <c r="J1970" s="17">
        <f t="shared" si="109"/>
        <v>0</v>
      </c>
    </row>
    <row r="1971" spans="5:10">
      <c r="E1971" s="26">
        <v>0</v>
      </c>
      <c r="G1971" s="17">
        <f t="shared" si="108"/>
        <v>0</v>
      </c>
      <c r="H1971" s="27" t="str">
        <f t="shared" si="107"/>
        <v>POSITIVO</v>
      </c>
      <c r="J1971" s="17">
        <f t="shared" si="109"/>
        <v>0</v>
      </c>
    </row>
    <row r="1972" spans="5:10">
      <c r="E1972" s="26">
        <v>0</v>
      </c>
      <c r="G1972" s="17">
        <f t="shared" si="108"/>
        <v>0</v>
      </c>
      <c r="H1972" s="27" t="str">
        <f t="shared" si="107"/>
        <v>POSITIVO</v>
      </c>
      <c r="J1972" s="17">
        <f t="shared" si="109"/>
        <v>0</v>
      </c>
    </row>
    <row r="1973" spans="5:10">
      <c r="E1973" s="26">
        <v>0</v>
      </c>
      <c r="G1973" s="17">
        <f t="shared" si="108"/>
        <v>0</v>
      </c>
      <c r="H1973" s="27" t="str">
        <f t="shared" si="107"/>
        <v>POSITIVO</v>
      </c>
      <c r="J1973" s="17">
        <f t="shared" si="109"/>
        <v>0</v>
      </c>
    </row>
    <row r="1974" spans="5:10">
      <c r="E1974" s="26">
        <v>0</v>
      </c>
      <c r="G1974" s="17">
        <f t="shared" si="108"/>
        <v>0</v>
      </c>
      <c r="H1974" s="27" t="str">
        <f t="shared" si="107"/>
        <v>POSITIVO</v>
      </c>
      <c r="J1974" s="17">
        <f t="shared" si="109"/>
        <v>0</v>
      </c>
    </row>
    <row r="1975" spans="5:10">
      <c r="E1975" s="26">
        <v>0</v>
      </c>
      <c r="G1975" s="17">
        <f t="shared" si="108"/>
        <v>0</v>
      </c>
      <c r="H1975" s="27" t="str">
        <f t="shared" si="107"/>
        <v>POSITIVO</v>
      </c>
      <c r="J1975" s="17">
        <f t="shared" si="109"/>
        <v>0</v>
      </c>
    </row>
    <row r="1976" spans="5:10">
      <c r="E1976" s="26">
        <v>0</v>
      </c>
      <c r="G1976" s="17">
        <f t="shared" si="108"/>
        <v>0</v>
      </c>
      <c r="H1976" s="27" t="str">
        <f t="shared" si="107"/>
        <v>POSITIVO</v>
      </c>
      <c r="J1976" s="17">
        <f t="shared" si="109"/>
        <v>0</v>
      </c>
    </row>
    <row r="1977" spans="5:10">
      <c r="E1977" s="26">
        <v>0</v>
      </c>
      <c r="G1977" s="17">
        <f t="shared" si="108"/>
        <v>0</v>
      </c>
      <c r="H1977" s="27" t="str">
        <f t="shared" si="107"/>
        <v>POSITIVO</v>
      </c>
      <c r="J1977" s="17">
        <f t="shared" si="109"/>
        <v>0</v>
      </c>
    </row>
    <row r="1978" spans="5:10">
      <c r="E1978" s="26">
        <v>0</v>
      </c>
      <c r="G1978" s="17">
        <f t="shared" si="108"/>
        <v>0</v>
      </c>
      <c r="H1978" s="27" t="str">
        <f t="shared" si="107"/>
        <v>POSITIVO</v>
      </c>
      <c r="J1978" s="17">
        <f t="shared" si="109"/>
        <v>0</v>
      </c>
    </row>
    <row r="1979" spans="5:10">
      <c r="E1979" s="26">
        <v>0</v>
      </c>
      <c r="G1979" s="17">
        <f t="shared" si="108"/>
        <v>0</v>
      </c>
      <c r="H1979" s="27" t="str">
        <f t="shared" si="107"/>
        <v>POSITIVO</v>
      </c>
      <c r="J1979" s="17">
        <f t="shared" si="109"/>
        <v>0</v>
      </c>
    </row>
    <row r="1980" spans="5:10">
      <c r="E1980" s="26">
        <v>0</v>
      </c>
      <c r="G1980" s="17">
        <f t="shared" si="108"/>
        <v>0</v>
      </c>
      <c r="H1980" s="27" t="str">
        <f t="shared" si="107"/>
        <v>POSITIVO</v>
      </c>
      <c r="J1980" s="17">
        <f t="shared" si="109"/>
        <v>0</v>
      </c>
    </row>
    <row r="1981" spans="5:10">
      <c r="E1981" s="26">
        <v>0</v>
      </c>
      <c r="G1981" s="17">
        <f t="shared" si="108"/>
        <v>0</v>
      </c>
      <c r="H1981" s="27" t="str">
        <f t="shared" si="107"/>
        <v>POSITIVO</v>
      </c>
      <c r="J1981" s="17">
        <f t="shared" si="109"/>
        <v>0</v>
      </c>
    </row>
    <row r="1982" spans="5:10">
      <c r="E1982" s="26">
        <v>0</v>
      </c>
      <c r="G1982" s="17">
        <f t="shared" si="108"/>
        <v>0</v>
      </c>
      <c r="H1982" s="27" t="str">
        <f t="shared" si="107"/>
        <v>POSITIVO</v>
      </c>
      <c r="J1982" s="17">
        <f t="shared" si="109"/>
        <v>0</v>
      </c>
    </row>
    <row r="1983" spans="5:10">
      <c r="E1983" s="26">
        <v>0</v>
      </c>
      <c r="G1983" s="17">
        <f t="shared" si="108"/>
        <v>0</v>
      </c>
      <c r="H1983" s="27" t="str">
        <f t="shared" si="107"/>
        <v>POSITIVO</v>
      </c>
      <c r="J1983" s="17">
        <f t="shared" si="109"/>
        <v>0</v>
      </c>
    </row>
    <row r="1984" spans="5:10">
      <c r="E1984" s="26">
        <v>0</v>
      </c>
      <c r="G1984" s="17">
        <f t="shared" si="108"/>
        <v>0</v>
      </c>
      <c r="H1984" s="27" t="str">
        <f t="shared" si="107"/>
        <v>POSITIVO</v>
      </c>
      <c r="J1984" s="17">
        <f t="shared" si="109"/>
        <v>0</v>
      </c>
    </row>
    <row r="1985" spans="4:10">
      <c r="E1985" s="26">
        <v>0</v>
      </c>
      <c r="G1985" s="17">
        <f t="shared" si="108"/>
        <v>0</v>
      </c>
      <c r="H1985" s="27" t="str">
        <f t="shared" si="107"/>
        <v>POSITIVO</v>
      </c>
      <c r="J1985" s="17">
        <f t="shared" si="109"/>
        <v>0</v>
      </c>
    </row>
    <row r="1986" spans="4:10">
      <c r="E1986" s="26">
        <v>0</v>
      </c>
      <c r="G1986" s="17">
        <f t="shared" si="108"/>
        <v>0</v>
      </c>
      <c r="H1986" s="27" t="str">
        <f t="shared" si="107"/>
        <v>POSITIVO</v>
      </c>
      <c r="J1986" s="17">
        <f t="shared" si="109"/>
        <v>0</v>
      </c>
    </row>
    <row r="1987" spans="4:10">
      <c r="E1987" s="26">
        <v>0</v>
      </c>
      <c r="G1987" s="17">
        <f t="shared" si="108"/>
        <v>0</v>
      </c>
      <c r="H1987" s="27" t="str">
        <f t="shared" si="107"/>
        <v>POSITIVO</v>
      </c>
      <c r="J1987" s="17">
        <f t="shared" si="109"/>
        <v>0</v>
      </c>
    </row>
    <row r="1988" spans="4:10">
      <c r="E1988" s="26">
        <v>0</v>
      </c>
      <c r="G1988" s="17">
        <f t="shared" si="108"/>
        <v>0</v>
      </c>
      <c r="H1988" s="27" t="str">
        <f t="shared" si="107"/>
        <v>POSITIVO</v>
      </c>
      <c r="J1988" s="17">
        <f t="shared" si="109"/>
        <v>0</v>
      </c>
    </row>
    <row r="1989" spans="4:10">
      <c r="E1989" s="26">
        <v>0</v>
      </c>
      <c r="G1989" s="17">
        <f t="shared" si="108"/>
        <v>0</v>
      </c>
      <c r="H1989" s="27" t="str">
        <f t="shared" si="107"/>
        <v>POSITIVO</v>
      </c>
      <c r="J1989" s="17">
        <f t="shared" si="109"/>
        <v>0</v>
      </c>
    </row>
    <row r="1990" spans="4:10">
      <c r="E1990" s="26">
        <v>0</v>
      </c>
      <c r="G1990" s="17">
        <f t="shared" si="108"/>
        <v>0</v>
      </c>
      <c r="H1990" s="27" t="str">
        <f t="shared" si="107"/>
        <v>POSITIVO</v>
      </c>
      <c r="J1990" s="17">
        <f t="shared" si="109"/>
        <v>0</v>
      </c>
    </row>
    <row r="1991" spans="4:10">
      <c r="E1991" s="26">
        <v>0</v>
      </c>
      <c r="G1991" s="17">
        <f t="shared" si="108"/>
        <v>0</v>
      </c>
      <c r="H1991" s="27" t="str">
        <f t="shared" si="107"/>
        <v>POSITIVO</v>
      </c>
      <c r="J1991" s="17">
        <f t="shared" si="109"/>
        <v>0</v>
      </c>
    </row>
    <row r="1992" spans="4:10">
      <c r="D1992" s="13">
        <v>1188</v>
      </c>
      <c r="G1992" s="17">
        <f t="shared" si="108"/>
        <v>1827.6923076923076</v>
      </c>
      <c r="H1992" s="27" t="str">
        <f t="shared" si="107"/>
        <v>NEGATIVO</v>
      </c>
      <c r="J1992" s="17">
        <f t="shared" si="109"/>
        <v>1697.1428571428573</v>
      </c>
    </row>
    <row r="1993" spans="4:10">
      <c r="D1993" s="13">
        <v>295</v>
      </c>
      <c r="G1993" s="17">
        <f t="shared" si="108"/>
        <v>453.84615384615381</v>
      </c>
      <c r="H1993" s="27" t="str">
        <f t="shared" si="107"/>
        <v>NEGATIVO</v>
      </c>
      <c r="J1993" s="17">
        <f t="shared" si="109"/>
        <v>421.42857142857144</v>
      </c>
    </row>
    <row r="1994" spans="4:10">
      <c r="D1994" s="13">
        <v>72</v>
      </c>
      <c r="G1994" s="17">
        <f t="shared" si="108"/>
        <v>110.76923076923076</v>
      </c>
      <c r="H1994" s="27" t="str">
        <f t="shared" si="107"/>
        <v>NEGATIVO</v>
      </c>
      <c r="J1994" s="17">
        <f t="shared" si="109"/>
        <v>102.85714285714286</v>
      </c>
    </row>
    <row r="1995" spans="4:10">
      <c r="G1995" s="17">
        <f t="shared" si="108"/>
        <v>0</v>
      </c>
      <c r="H1995" s="27" t="str">
        <f t="shared" si="107"/>
        <v>POSITIVO</v>
      </c>
      <c r="J1995" s="17">
        <f t="shared" si="109"/>
        <v>0</v>
      </c>
    </row>
    <row r="1996" spans="4:10">
      <c r="G1996" s="17">
        <f t="shared" si="108"/>
        <v>0</v>
      </c>
      <c r="H1996" s="27" t="str">
        <f t="shared" si="107"/>
        <v>POSITIVO</v>
      </c>
      <c r="J1996" s="17">
        <f t="shared" si="109"/>
        <v>0</v>
      </c>
    </row>
    <row r="1997" spans="4:10">
      <c r="G1997" s="17">
        <f t="shared" si="108"/>
        <v>0</v>
      </c>
      <c r="H1997" s="27" t="str">
        <f t="shared" si="107"/>
        <v>POSITIVO</v>
      </c>
      <c r="J1997" s="17">
        <f t="shared" si="109"/>
        <v>0</v>
      </c>
    </row>
    <row r="1998" spans="4:10">
      <c r="G1998" s="17">
        <f t="shared" si="108"/>
        <v>0</v>
      </c>
      <c r="H1998" s="27" t="str">
        <f t="shared" si="107"/>
        <v>POSITIVO</v>
      </c>
      <c r="J1998" s="17">
        <f t="shared" si="109"/>
        <v>0</v>
      </c>
    </row>
    <row r="1999" spans="4:10">
      <c r="G1999" s="17">
        <f t="shared" si="108"/>
        <v>0</v>
      </c>
      <c r="H1999" s="27" t="str">
        <f t="shared" si="107"/>
        <v>POSITIVO</v>
      </c>
      <c r="J1999" s="17">
        <f t="shared" si="109"/>
        <v>0</v>
      </c>
    </row>
    <row r="2000" spans="4:10">
      <c r="G2000" s="17">
        <f t="shared" si="108"/>
        <v>0</v>
      </c>
      <c r="H2000" s="27" t="str">
        <f t="shared" si="107"/>
        <v>POSITIVO</v>
      </c>
      <c r="J2000" s="17">
        <f t="shared" si="109"/>
        <v>0</v>
      </c>
    </row>
    <row r="2001" spans="7:10">
      <c r="G2001" s="17">
        <f t="shared" si="108"/>
        <v>0</v>
      </c>
      <c r="H2001" s="27" t="str">
        <f t="shared" si="107"/>
        <v>POSITIVO</v>
      </c>
      <c r="J2001" s="17">
        <f t="shared" si="109"/>
        <v>0</v>
      </c>
    </row>
    <row r="2002" spans="7:10">
      <c r="G2002" s="17">
        <f t="shared" si="108"/>
        <v>0</v>
      </c>
      <c r="H2002" s="27" t="str">
        <f t="shared" si="107"/>
        <v>POSITIVO</v>
      </c>
      <c r="J2002" s="17">
        <f t="shared" si="109"/>
        <v>0</v>
      </c>
    </row>
    <row r="2003" spans="7:10">
      <c r="G2003" s="17">
        <f t="shared" si="108"/>
        <v>0</v>
      </c>
      <c r="H2003" s="27" t="str">
        <f t="shared" si="107"/>
        <v>POSITIVO</v>
      </c>
      <c r="J2003" s="17">
        <f t="shared" si="109"/>
        <v>0</v>
      </c>
    </row>
    <row r="2004" spans="7:10">
      <c r="G2004" s="17"/>
      <c r="H2004" s="27"/>
      <c r="J2004" s="17"/>
    </row>
    <row r="2005" spans="7:10">
      <c r="G2005" s="17"/>
      <c r="H2005" s="27"/>
      <c r="J2005" s="17"/>
    </row>
    <row r="2006" spans="7:10">
      <c r="G2006" s="17"/>
      <c r="H2006" s="27"/>
      <c r="J2006" s="17"/>
    </row>
    <row r="2007" spans="7:10">
      <c r="G2007" s="17"/>
      <c r="H2007" s="27"/>
      <c r="J2007" s="17"/>
    </row>
    <row r="2008" spans="7:10">
      <c r="G2008" s="17"/>
      <c r="H2008" s="27"/>
      <c r="J2008" s="17"/>
    </row>
    <row r="2009" spans="7:10">
      <c r="G2009" s="17"/>
      <c r="H2009" s="27"/>
      <c r="J2009" s="17"/>
    </row>
    <row r="2010" spans="7:10">
      <c r="G2010" s="17"/>
      <c r="H2010" s="27"/>
      <c r="J2010" s="17"/>
    </row>
    <row r="2011" spans="7:10">
      <c r="G2011" s="17"/>
      <c r="H2011" s="27"/>
      <c r="J2011" s="17"/>
    </row>
    <row r="2012" spans="7:10">
      <c r="G2012" s="17"/>
      <c r="H2012" s="27"/>
      <c r="J2012" s="17"/>
    </row>
    <row r="2013" spans="7:10">
      <c r="G2013" s="17"/>
      <c r="H2013" s="27"/>
      <c r="J2013" s="17"/>
    </row>
    <row r="2014" spans="7:10">
      <c r="G2014" s="17"/>
      <c r="H2014" s="27"/>
      <c r="J2014" s="17"/>
    </row>
    <row r="2015" spans="7:10">
      <c r="G2015" s="17"/>
      <c r="H2015" s="27"/>
      <c r="J2015" s="17"/>
    </row>
    <row r="2016" spans="7:10">
      <c r="G2016" s="17"/>
      <c r="H2016" s="27"/>
      <c r="J2016" s="17"/>
    </row>
    <row r="2017" spans="7:10">
      <c r="G2017" s="17"/>
      <c r="H2017" s="27"/>
      <c r="J2017" s="17"/>
    </row>
    <row r="2018" spans="7:10">
      <c r="G2018" s="17"/>
      <c r="H2018" s="27"/>
      <c r="J2018" s="17"/>
    </row>
    <row r="2019" spans="7:10">
      <c r="G2019" s="17"/>
      <c r="H2019" s="27"/>
      <c r="J2019" s="17"/>
    </row>
    <row r="2020" spans="7:10">
      <c r="G2020" s="17"/>
      <c r="H2020" s="27"/>
      <c r="J2020" s="17"/>
    </row>
    <row r="2021" spans="7:10">
      <c r="G2021" s="17"/>
      <c r="H2021" s="27"/>
      <c r="J2021" s="17"/>
    </row>
    <row r="2022" spans="7:10">
      <c r="G2022" s="17"/>
      <c r="H2022" s="27"/>
      <c r="J2022" s="17"/>
    </row>
    <row r="2023" spans="7:10">
      <c r="G2023" s="17"/>
      <c r="H2023" s="27"/>
      <c r="J2023" s="17"/>
    </row>
    <row r="2024" spans="7:10">
      <c r="G2024" s="17"/>
      <c r="H2024" s="27"/>
      <c r="J2024" s="17"/>
    </row>
    <row r="2025" spans="7:10">
      <c r="G2025" s="17"/>
      <c r="H2025" s="27"/>
      <c r="J2025" s="17"/>
    </row>
    <row r="2026" spans="7:10">
      <c r="G2026" s="17"/>
      <c r="H2026" s="27"/>
      <c r="J2026" s="17"/>
    </row>
    <row r="2027" spans="7:10">
      <c r="G2027" s="17"/>
      <c r="H2027" s="27"/>
      <c r="J2027" s="17"/>
    </row>
    <row r="2028" spans="7:10">
      <c r="G2028" s="17"/>
      <c r="H2028" s="27"/>
      <c r="J2028" s="17"/>
    </row>
    <row r="2029" spans="7:10">
      <c r="G2029" s="17"/>
      <c r="H2029" s="27"/>
      <c r="J2029" s="17"/>
    </row>
    <row r="2030" spans="7:10">
      <c r="G2030" s="17"/>
      <c r="H2030" s="27"/>
      <c r="J2030" s="17"/>
    </row>
    <row r="2031" spans="7:10">
      <c r="G2031" s="17"/>
      <c r="H2031" s="27"/>
      <c r="J2031" s="17"/>
    </row>
    <row r="2032" spans="7:10">
      <c r="G2032" s="17"/>
      <c r="H2032" s="27"/>
      <c r="J2032" s="17"/>
    </row>
    <row r="2033" spans="7:10">
      <c r="G2033" s="17"/>
      <c r="H2033" s="27"/>
      <c r="J2033" s="17"/>
    </row>
    <row r="2034" spans="7:10">
      <c r="G2034" s="17"/>
      <c r="H2034" s="27"/>
      <c r="J2034" s="17"/>
    </row>
    <row r="2035" spans="7:10">
      <c r="G2035" s="17"/>
      <c r="H2035" s="27"/>
      <c r="J2035" s="17"/>
    </row>
    <row r="2036" spans="7:10">
      <c r="G2036" s="17"/>
      <c r="H2036" s="27"/>
      <c r="J2036" s="17"/>
    </row>
    <row r="2037" spans="7:10">
      <c r="G2037" s="17"/>
      <c r="H2037" s="27"/>
      <c r="J2037" s="17"/>
    </row>
    <row r="2038" spans="7:10">
      <c r="G2038" s="17"/>
      <c r="H2038" s="27"/>
      <c r="J2038" s="17"/>
    </row>
    <row r="2039" spans="7:10">
      <c r="G2039" s="17"/>
      <c r="H2039" s="27"/>
      <c r="J2039" s="17"/>
    </row>
    <row r="2040" spans="7:10">
      <c r="G2040" s="17"/>
      <c r="H2040" s="27"/>
      <c r="J2040" s="17"/>
    </row>
    <row r="2041" spans="7:10">
      <c r="G2041" s="17"/>
      <c r="H2041" s="27"/>
      <c r="J2041" s="17"/>
    </row>
    <row r="2042" spans="7:10">
      <c r="G2042" s="17"/>
      <c r="H2042" s="27"/>
      <c r="J2042" s="17"/>
    </row>
    <row r="2043" spans="7:10">
      <c r="G2043" s="17"/>
      <c r="H2043" s="27"/>
      <c r="J2043" s="17"/>
    </row>
    <row r="2044" spans="7:10">
      <c r="G2044" s="17"/>
      <c r="H2044" s="27"/>
      <c r="J2044" s="17"/>
    </row>
    <row r="2045" spans="7:10">
      <c r="G2045" s="17"/>
      <c r="H2045" s="27"/>
      <c r="J2045" s="17"/>
    </row>
    <row r="2046" spans="7:10">
      <c r="G2046" s="17"/>
      <c r="H2046" s="27"/>
      <c r="J2046" s="17"/>
    </row>
    <row r="2047" spans="7:10">
      <c r="G2047" s="17"/>
      <c r="H2047" s="27"/>
      <c r="J2047" s="17"/>
    </row>
    <row r="2048" spans="7:10">
      <c r="G2048" s="17"/>
      <c r="H2048" s="27"/>
      <c r="J2048" s="17"/>
    </row>
    <row r="2049" spans="7:10">
      <c r="G2049" s="17"/>
      <c r="H2049" s="27"/>
      <c r="J2049" s="17"/>
    </row>
    <row r="2050" spans="7:10">
      <c r="G2050" s="17"/>
      <c r="H2050" s="27"/>
      <c r="J2050" s="17"/>
    </row>
    <row r="2051" spans="7:10">
      <c r="G2051" s="17"/>
      <c r="H2051" s="27"/>
      <c r="J2051" s="17"/>
    </row>
    <row r="2052" spans="7:10">
      <c r="G2052" s="17"/>
      <c r="H2052" s="27"/>
      <c r="J2052" s="17"/>
    </row>
    <row r="2053" spans="7:10">
      <c r="G2053" s="17"/>
      <c r="H2053" s="27"/>
      <c r="J2053" s="17"/>
    </row>
    <row r="2054" spans="7:10">
      <c r="G2054" s="17"/>
      <c r="H2054" s="27"/>
      <c r="J2054" s="17"/>
    </row>
    <row r="2055" spans="7:10">
      <c r="G2055" s="17"/>
      <c r="H2055" s="27"/>
      <c r="J2055" s="17"/>
    </row>
    <row r="2056" spans="7:10">
      <c r="G2056" s="17"/>
      <c r="H2056" s="27"/>
      <c r="J2056" s="17"/>
    </row>
    <row r="2057" spans="7:10">
      <c r="G2057" s="17"/>
      <c r="H2057" s="27"/>
      <c r="J2057" s="17"/>
    </row>
    <row r="2058" spans="7:10">
      <c r="G2058" s="17"/>
      <c r="H2058" s="27"/>
      <c r="J2058" s="17"/>
    </row>
    <row r="2059" spans="7:10">
      <c r="G2059" s="17"/>
      <c r="H2059" s="27"/>
      <c r="J2059" s="17"/>
    </row>
    <row r="2060" spans="7:10">
      <c r="G2060" s="17"/>
      <c r="H2060" s="27"/>
      <c r="J2060" s="17"/>
    </row>
    <row r="2061" spans="7:10">
      <c r="G2061" s="17"/>
      <c r="H2061" s="27"/>
      <c r="J2061" s="17"/>
    </row>
    <row r="2062" spans="7:10">
      <c r="G2062" s="17"/>
      <c r="H2062" s="27"/>
      <c r="J2062" s="17"/>
    </row>
    <row r="2063" spans="7:10">
      <c r="G2063" s="17"/>
      <c r="H2063" s="27"/>
      <c r="J2063" s="17"/>
    </row>
    <row r="2064" spans="7:10">
      <c r="G2064" s="17"/>
      <c r="H2064" s="27"/>
      <c r="J2064" s="17"/>
    </row>
    <row r="2065" spans="7:10">
      <c r="G2065" s="17"/>
      <c r="H2065" s="27"/>
      <c r="J2065" s="17"/>
    </row>
    <row r="2066" spans="7:10">
      <c r="G2066" s="17"/>
      <c r="H2066" s="27"/>
      <c r="J2066" s="17"/>
    </row>
    <row r="2067" spans="7:10">
      <c r="G2067" s="17"/>
      <c r="H2067" s="27"/>
      <c r="J2067" s="17"/>
    </row>
    <row r="2068" spans="7:10">
      <c r="G2068" s="17"/>
      <c r="H2068" s="27"/>
      <c r="J2068" s="17"/>
    </row>
    <row r="2069" spans="7:10">
      <c r="G2069" s="17"/>
      <c r="H2069" s="27"/>
      <c r="J2069" s="17"/>
    </row>
    <row r="2070" spans="7:10">
      <c r="G2070" s="17"/>
      <c r="H2070" s="27"/>
      <c r="J2070" s="17"/>
    </row>
    <row r="2071" spans="7:10">
      <c r="G2071" s="17"/>
      <c r="H2071" s="27"/>
      <c r="J2071" s="17"/>
    </row>
    <row r="2072" spans="7:10">
      <c r="G2072" s="17"/>
      <c r="H2072" s="27"/>
      <c r="J2072" s="17"/>
    </row>
    <row r="2073" spans="7:10">
      <c r="G2073" s="17"/>
      <c r="H2073" s="27"/>
      <c r="J2073" s="17"/>
    </row>
    <row r="2074" spans="7:10">
      <c r="G2074" s="17"/>
      <c r="H2074" s="27"/>
      <c r="J2074" s="17"/>
    </row>
    <row r="2075" spans="7:10">
      <c r="G2075" s="17"/>
      <c r="H2075" s="27"/>
      <c r="J2075" s="17"/>
    </row>
    <row r="2076" spans="7:10">
      <c r="G2076" s="17"/>
      <c r="H2076" s="27"/>
      <c r="J2076" s="17"/>
    </row>
    <row r="2077" spans="7:10">
      <c r="G2077" s="17"/>
      <c r="H2077" s="27"/>
      <c r="J2077" s="17"/>
    </row>
    <row r="2078" spans="7:10">
      <c r="G2078" s="17"/>
      <c r="H2078" s="27"/>
      <c r="J2078" s="17"/>
    </row>
    <row r="2079" spans="7:10">
      <c r="G2079" s="17"/>
      <c r="H2079" s="27"/>
      <c r="J2079" s="17"/>
    </row>
    <row r="2080" spans="7:10">
      <c r="G2080" s="17"/>
      <c r="H2080" s="27"/>
      <c r="J2080" s="17"/>
    </row>
    <row r="2081" spans="7:10">
      <c r="G2081" s="17"/>
      <c r="H2081" s="27"/>
      <c r="J2081" s="17"/>
    </row>
    <row r="2082" spans="7:10">
      <c r="G2082" s="17"/>
      <c r="H2082" s="27"/>
      <c r="J2082" s="17"/>
    </row>
    <row r="2083" spans="7:10">
      <c r="G2083" s="17"/>
      <c r="H2083" s="27"/>
      <c r="J2083" s="17"/>
    </row>
    <row r="2084" spans="7:10">
      <c r="G2084" s="17"/>
      <c r="H2084" s="27"/>
      <c r="J2084" s="17"/>
    </row>
    <row r="2085" spans="7:10">
      <c r="G2085" s="17"/>
      <c r="H2085" s="27"/>
      <c r="J2085" s="17"/>
    </row>
    <row r="2086" spans="7:10">
      <c r="G2086" s="17"/>
      <c r="H2086" s="27"/>
      <c r="J2086" s="17"/>
    </row>
    <row r="2087" spans="7:10">
      <c r="G2087" s="17"/>
      <c r="H2087" s="27"/>
      <c r="J2087" s="17"/>
    </row>
    <row r="2088" spans="7:10">
      <c r="G2088" s="17"/>
      <c r="H2088" s="27"/>
      <c r="J2088" s="17"/>
    </row>
    <row r="2089" spans="7:10">
      <c r="G2089" s="17"/>
      <c r="H2089" s="27"/>
      <c r="J2089" s="17"/>
    </row>
    <row r="2090" spans="7:10">
      <c r="G2090" s="17"/>
      <c r="H2090" s="27"/>
      <c r="J2090" s="17"/>
    </row>
    <row r="2091" spans="7:10">
      <c r="G2091" s="17"/>
      <c r="H2091" s="27"/>
      <c r="J2091" s="17"/>
    </row>
    <row r="2092" spans="7:10">
      <c r="G2092" s="17"/>
      <c r="H2092" s="27"/>
      <c r="J2092" s="17"/>
    </row>
    <row r="2093" spans="7:10">
      <c r="G2093" s="17"/>
      <c r="H2093" s="27"/>
      <c r="J2093" s="17"/>
    </row>
    <row r="2094" spans="7:10">
      <c r="G2094" s="17"/>
      <c r="H2094" s="27"/>
      <c r="J2094" s="17"/>
    </row>
    <row r="2095" spans="7:10">
      <c r="G2095" s="17"/>
      <c r="H2095" s="27"/>
      <c r="J2095" s="17"/>
    </row>
    <row r="2096" spans="7:10">
      <c r="G2096" s="17"/>
      <c r="H2096" s="27"/>
      <c r="J2096" s="17"/>
    </row>
    <row r="2097" spans="7:10">
      <c r="G2097" s="17"/>
      <c r="H2097" s="27"/>
      <c r="J2097" s="17"/>
    </row>
    <row r="2098" spans="7:10">
      <c r="G2098" s="17"/>
      <c r="H2098" s="27"/>
      <c r="J2098" s="17"/>
    </row>
    <row r="2099" spans="7:10">
      <c r="G2099" s="17"/>
      <c r="H2099" s="27"/>
      <c r="J2099" s="17"/>
    </row>
    <row r="2100" spans="7:10">
      <c r="G2100" s="17"/>
      <c r="H2100" s="27"/>
      <c r="J2100" s="17"/>
    </row>
    <row r="2101" spans="7:10">
      <c r="G2101" s="17"/>
      <c r="H2101" s="27"/>
      <c r="J2101" s="17"/>
    </row>
    <row r="2102" spans="7:10">
      <c r="G2102" s="17"/>
      <c r="H2102" s="27"/>
      <c r="J2102" s="17"/>
    </row>
    <row r="2103" spans="7:10">
      <c r="G2103" s="17"/>
      <c r="H2103" s="27"/>
      <c r="J2103" s="17"/>
    </row>
    <row r="2104" spans="7:10">
      <c r="G2104" s="17"/>
      <c r="H2104" s="27"/>
      <c r="J2104" s="17"/>
    </row>
    <row r="2105" spans="7:10">
      <c r="G2105" s="17"/>
      <c r="H2105" s="27"/>
      <c r="J2105" s="17"/>
    </row>
    <row r="2106" spans="7:10">
      <c r="G2106" s="17"/>
      <c r="H2106" s="27"/>
      <c r="J2106" s="17"/>
    </row>
    <row r="2107" spans="7:10">
      <c r="G2107" s="17"/>
      <c r="H2107" s="27"/>
      <c r="J2107" s="17"/>
    </row>
    <row r="2108" spans="7:10">
      <c r="G2108" s="17"/>
      <c r="H2108" s="27"/>
      <c r="J2108" s="17"/>
    </row>
    <row r="2109" spans="7:10">
      <c r="G2109" s="17"/>
      <c r="H2109" s="27"/>
      <c r="J2109" s="17"/>
    </row>
    <row r="2110" spans="7:10">
      <c r="G2110" s="17"/>
      <c r="H2110" s="27"/>
      <c r="J2110" s="17"/>
    </row>
    <row r="2111" spans="7:10">
      <c r="G2111" s="17"/>
      <c r="H2111" s="27"/>
      <c r="J2111" s="17"/>
    </row>
    <row r="2112" spans="7:10">
      <c r="G2112" s="17"/>
      <c r="H2112" s="27"/>
      <c r="J2112" s="17"/>
    </row>
    <row r="2113" spans="7:10">
      <c r="G2113" s="17"/>
      <c r="H2113" s="27"/>
      <c r="J2113" s="17"/>
    </row>
    <row r="2114" spans="7:10">
      <c r="G2114" s="17"/>
      <c r="H2114" s="27"/>
      <c r="J2114" s="17"/>
    </row>
    <row r="2115" spans="7:10">
      <c r="G2115" s="17"/>
      <c r="H2115" s="27"/>
      <c r="J2115" s="17"/>
    </row>
    <row r="2116" spans="7:10">
      <c r="G2116" s="17"/>
      <c r="H2116" s="27"/>
      <c r="J2116" s="17"/>
    </row>
    <row r="2117" spans="7:10">
      <c r="G2117" s="17"/>
      <c r="H2117" s="27"/>
      <c r="J2117" s="17"/>
    </row>
    <row r="2118" spans="7:10">
      <c r="G2118" s="17"/>
      <c r="H2118" s="27"/>
      <c r="J2118" s="17"/>
    </row>
    <row r="2119" spans="7:10">
      <c r="G2119" s="17"/>
      <c r="H2119" s="27"/>
      <c r="J2119" s="17"/>
    </row>
    <row r="2120" spans="7:10">
      <c r="G2120" s="17"/>
      <c r="H2120" s="27"/>
      <c r="J2120" s="17"/>
    </row>
    <row r="2121" spans="7:10">
      <c r="G2121" s="17"/>
      <c r="H2121" s="27"/>
      <c r="J2121" s="17"/>
    </row>
    <row r="2122" spans="7:10">
      <c r="G2122" s="17"/>
      <c r="H2122" s="27"/>
      <c r="J2122" s="17"/>
    </row>
    <row r="2123" spans="7:10">
      <c r="G2123" s="17"/>
      <c r="H2123" s="27"/>
      <c r="J2123" s="17"/>
    </row>
    <row r="2124" spans="7:10">
      <c r="G2124" s="17"/>
      <c r="H2124" s="27"/>
      <c r="J2124" s="17"/>
    </row>
    <row r="2125" spans="7:10">
      <c r="G2125" s="17"/>
      <c r="H2125" s="27"/>
      <c r="J2125" s="17"/>
    </row>
    <row r="2126" spans="7:10">
      <c r="G2126" s="17"/>
      <c r="H2126" s="27"/>
      <c r="J2126" s="17"/>
    </row>
    <row r="2127" spans="7:10">
      <c r="G2127" s="17"/>
      <c r="H2127" s="27"/>
      <c r="J2127" s="17"/>
    </row>
    <row r="2128" spans="7:10">
      <c r="G2128" s="17"/>
      <c r="H2128" s="27"/>
      <c r="J2128" s="17"/>
    </row>
    <row r="2129" spans="7:10">
      <c r="G2129" s="17"/>
      <c r="H2129" s="27"/>
      <c r="J2129" s="17"/>
    </row>
    <row r="2130" spans="7:10">
      <c r="G2130" s="17"/>
      <c r="H2130" s="27"/>
      <c r="J2130" s="17"/>
    </row>
    <row r="2131" spans="7:10">
      <c r="G2131" s="17"/>
      <c r="H2131" s="27"/>
      <c r="J2131" s="17"/>
    </row>
    <row r="2132" spans="7:10">
      <c r="G2132" s="17"/>
      <c r="H2132" s="27"/>
      <c r="J2132" s="17"/>
    </row>
    <row r="2133" spans="7:10">
      <c r="G2133" s="17"/>
      <c r="H2133" s="27"/>
      <c r="J2133" s="17"/>
    </row>
    <row r="2134" spans="7:10">
      <c r="G2134" s="17"/>
      <c r="H2134" s="27"/>
      <c r="J2134" s="17"/>
    </row>
    <row r="2135" spans="7:10">
      <c r="G2135" s="17"/>
      <c r="H2135" s="27"/>
      <c r="J2135" s="17"/>
    </row>
    <row r="2136" spans="7:10">
      <c r="G2136" s="17"/>
      <c r="H2136" s="27"/>
      <c r="J2136" s="17"/>
    </row>
    <row r="2137" spans="7:10">
      <c r="G2137" s="17"/>
      <c r="H2137" s="27"/>
      <c r="J2137" s="17"/>
    </row>
    <row r="2138" spans="7:10">
      <c r="G2138" s="17"/>
      <c r="H2138" s="27"/>
      <c r="J2138" s="17"/>
    </row>
    <row r="2139" spans="7:10">
      <c r="G2139" s="17"/>
      <c r="H2139" s="27"/>
      <c r="J2139" s="17"/>
    </row>
    <row r="2140" spans="7:10">
      <c r="G2140" s="17"/>
      <c r="H2140" s="27"/>
      <c r="J2140" s="17"/>
    </row>
    <row r="2141" spans="7:10">
      <c r="G2141" s="17"/>
      <c r="H2141" s="27"/>
      <c r="J2141" s="17"/>
    </row>
    <row r="2142" spans="7:10">
      <c r="G2142" s="17"/>
      <c r="H2142" s="27"/>
      <c r="J2142" s="17"/>
    </row>
    <row r="2143" spans="7:10">
      <c r="G2143" s="17"/>
      <c r="H2143" s="27"/>
      <c r="J2143" s="17"/>
    </row>
    <row r="2144" spans="7:10">
      <c r="G2144" s="17"/>
      <c r="H2144" s="27"/>
      <c r="J2144" s="17"/>
    </row>
    <row r="2145" spans="7:10">
      <c r="G2145" s="17"/>
      <c r="H2145" s="27"/>
      <c r="J2145" s="17"/>
    </row>
    <row r="2146" spans="7:10">
      <c r="G2146" s="17"/>
      <c r="H2146" s="27"/>
      <c r="J2146" s="17"/>
    </row>
    <row r="2147" spans="7:10">
      <c r="G2147" s="17"/>
      <c r="H2147" s="27"/>
      <c r="J2147" s="17"/>
    </row>
    <row r="2148" spans="7:10">
      <c r="G2148" s="17"/>
      <c r="H2148" s="27"/>
      <c r="J2148" s="17"/>
    </row>
    <row r="2149" spans="7:10">
      <c r="G2149" s="17"/>
      <c r="H2149" s="27"/>
      <c r="J2149" s="17"/>
    </row>
    <row r="2150" spans="7:10">
      <c r="G2150" s="17"/>
      <c r="H2150" s="27"/>
      <c r="J2150" s="17"/>
    </row>
    <row r="2151" spans="7:10">
      <c r="G2151" s="17"/>
      <c r="H2151" s="27"/>
      <c r="J2151" s="17"/>
    </row>
    <row r="2152" spans="7:10">
      <c r="G2152" s="17"/>
      <c r="H2152" s="27"/>
      <c r="J2152" s="17"/>
    </row>
    <row r="2153" spans="7:10">
      <c r="G2153" s="17"/>
      <c r="H2153" s="27"/>
      <c r="J2153" s="17"/>
    </row>
    <row r="2154" spans="7:10">
      <c r="G2154" s="17"/>
      <c r="H2154" s="27"/>
      <c r="J2154" s="17"/>
    </row>
    <row r="2155" spans="7:10">
      <c r="G2155" s="17"/>
      <c r="H2155" s="27"/>
      <c r="J2155" s="17"/>
    </row>
    <row r="2156" spans="7:10">
      <c r="G2156" s="17"/>
      <c r="H2156" s="27"/>
      <c r="J2156" s="17"/>
    </row>
    <row r="2157" spans="7:10">
      <c r="G2157" s="17"/>
      <c r="H2157" s="27"/>
      <c r="J2157" s="17"/>
    </row>
    <row r="2158" spans="7:10">
      <c r="G2158" s="17"/>
      <c r="H2158" s="27"/>
      <c r="J2158" s="17"/>
    </row>
    <row r="2159" spans="7:10">
      <c r="G2159" s="17"/>
      <c r="H2159" s="27"/>
      <c r="J2159" s="17"/>
    </row>
    <row r="2160" spans="7:10">
      <c r="G2160" s="17"/>
      <c r="H2160" s="27"/>
      <c r="J2160" s="17"/>
    </row>
    <row r="2161" spans="7:10">
      <c r="G2161" s="17"/>
      <c r="H2161" s="27"/>
      <c r="J2161" s="17"/>
    </row>
    <row r="2162" spans="7:10">
      <c r="G2162" s="17"/>
      <c r="H2162" s="27"/>
      <c r="J2162" s="17"/>
    </row>
    <row r="2163" spans="7:10">
      <c r="G2163" s="17"/>
      <c r="H2163" s="27"/>
      <c r="J2163" s="17"/>
    </row>
    <row r="2164" spans="7:10">
      <c r="G2164" s="17"/>
      <c r="H2164" s="27"/>
      <c r="J2164" s="17"/>
    </row>
    <row r="2165" spans="7:10">
      <c r="G2165" s="17"/>
      <c r="H2165" s="27"/>
      <c r="J2165" s="17"/>
    </row>
    <row r="2166" spans="7:10">
      <c r="G2166" s="17"/>
      <c r="H2166" s="27"/>
      <c r="J2166" s="17"/>
    </row>
    <row r="2167" spans="7:10">
      <c r="G2167" s="17"/>
      <c r="H2167" s="27"/>
      <c r="J2167" s="17"/>
    </row>
    <row r="2168" spans="7:10">
      <c r="G2168" s="17"/>
      <c r="H2168" s="27"/>
      <c r="J2168" s="17"/>
    </row>
    <row r="2169" spans="7:10">
      <c r="G2169" s="17"/>
      <c r="H2169" s="27"/>
      <c r="J2169" s="17"/>
    </row>
    <row r="2170" spans="7:10">
      <c r="G2170" s="17"/>
      <c r="H2170" s="27"/>
      <c r="J2170" s="17"/>
    </row>
    <row r="2171" spans="7:10">
      <c r="G2171" s="17"/>
      <c r="H2171" s="27"/>
      <c r="J2171" s="17"/>
    </row>
    <row r="2172" spans="7:10">
      <c r="G2172" s="17"/>
      <c r="H2172" s="27"/>
      <c r="J2172" s="17"/>
    </row>
    <row r="2173" spans="7:10">
      <c r="G2173" s="17"/>
      <c r="H2173" s="27"/>
      <c r="J2173" s="17"/>
    </row>
    <row r="2174" spans="7:10">
      <c r="G2174" s="17"/>
      <c r="H2174" s="27"/>
      <c r="J2174" s="17"/>
    </row>
    <row r="2175" spans="7:10">
      <c r="G2175" s="17"/>
      <c r="H2175" s="27"/>
      <c r="J2175" s="17"/>
    </row>
    <row r="2176" spans="7:10">
      <c r="G2176" s="17"/>
      <c r="H2176" s="27"/>
      <c r="J2176" s="17"/>
    </row>
    <row r="2177" spans="7:10">
      <c r="G2177" s="17"/>
      <c r="H2177" s="27"/>
      <c r="J2177" s="17"/>
    </row>
    <row r="2178" spans="7:10">
      <c r="G2178" s="17"/>
      <c r="H2178" s="27"/>
      <c r="J2178" s="17"/>
    </row>
    <row r="2179" spans="7:10">
      <c r="G2179" s="17"/>
      <c r="H2179" s="27"/>
      <c r="J2179" s="17"/>
    </row>
    <row r="2180" spans="7:10">
      <c r="G2180" s="17"/>
      <c r="H2180" s="27"/>
      <c r="J2180" s="17"/>
    </row>
    <row r="2181" spans="7:10">
      <c r="G2181" s="17"/>
      <c r="H2181" s="27"/>
      <c r="J2181" s="17"/>
    </row>
    <row r="2182" spans="7:10">
      <c r="G2182" s="17"/>
      <c r="H2182" s="27"/>
      <c r="J2182" s="17"/>
    </row>
  </sheetData>
  <autoFilter ref="A1:E1994" xr:uid="{925D4927-39F9-48EE-926C-1978D00ADB58}">
    <sortState xmlns:xlrd2="http://schemas.microsoft.com/office/spreadsheetml/2017/richdata2" ref="A2:E1994">
      <sortCondition ref="B1:B1994"/>
    </sortState>
  </autoFilter>
  <conditionalFormatting sqref="H1023:H1025 H1356:H1428 H705:H739 H1343:I1355 H757:H1021 H1031:I1099 H1793:I1818 H1819:H1831 H742:H754 H1832:I1902 H1903:H1935 H1100:H1342 H1779:H1792 H1936:I1961 H1962:H1977 H1429:I1778 H2:I702 H1978:I1991 H2004:I2182 H1992:H2003">
    <cfRule type="cellIs" dxfId="5" priority="3" operator="equal">
      <formula>"NEGATIVO"</formula>
    </cfRule>
    <cfRule type="cellIs" dxfId="4" priority="4" operator="equal">
      <formula>"POSITIVO"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E70F-78E5-49C3-9119-8FA8FF1E13CB}">
  <sheetPr codeName="Planilha7">
    <tabColor theme="1" tint="4.9989318521683403E-2"/>
  </sheetPr>
  <dimension ref="A1:M1000"/>
  <sheetViews>
    <sheetView showGridLines="0" zoomScale="80" zoomScaleNormal="80" workbookViewId="0">
      <selection activeCell="K9" sqref="K9"/>
    </sheetView>
  </sheetViews>
  <sheetFormatPr defaultColWidth="14.42578125" defaultRowHeight="15"/>
  <cols>
    <col min="1" max="1" width="12.140625" customWidth="1"/>
    <col min="2" max="3" width="14.7109375" customWidth="1"/>
    <col min="4" max="4" width="14.85546875" customWidth="1"/>
    <col min="5" max="5" width="12.85546875" customWidth="1"/>
    <col min="6" max="6" width="12.28515625" customWidth="1"/>
    <col min="7" max="7" width="1.85546875" customWidth="1"/>
    <col min="8" max="8" width="12.42578125" customWidth="1"/>
    <col min="9" max="9" width="13.85546875" customWidth="1"/>
    <col min="11" max="11" width="13.5703125" customWidth="1"/>
    <col min="12" max="12" width="14.140625" customWidth="1"/>
    <col min="13" max="13" width="13.42578125" customWidth="1"/>
    <col min="14" max="26" width="8.7109375" customWidth="1"/>
  </cols>
  <sheetData>
    <row r="1" spans="1:13">
      <c r="A1" s="67" t="s">
        <v>1034</v>
      </c>
      <c r="B1" s="68"/>
      <c r="C1" s="68"/>
      <c r="D1" s="68"/>
      <c r="E1" s="68"/>
      <c r="F1" s="69"/>
      <c r="H1" s="67" t="s">
        <v>904</v>
      </c>
      <c r="I1" s="68"/>
      <c r="J1" s="68"/>
      <c r="K1" s="68"/>
      <c r="L1" s="68"/>
      <c r="M1" s="69"/>
    </row>
    <row r="2" spans="1:13">
      <c r="A2" s="36"/>
      <c r="B2" s="37">
        <v>2021</v>
      </c>
      <c r="C2" s="37">
        <v>2022</v>
      </c>
      <c r="D2" s="37">
        <v>2023</v>
      </c>
      <c r="E2" s="37">
        <v>2024</v>
      </c>
      <c r="F2" s="37">
        <v>2025</v>
      </c>
      <c r="H2" s="36"/>
      <c r="I2" s="37">
        <v>2021</v>
      </c>
      <c r="J2" s="37">
        <v>2022</v>
      </c>
      <c r="K2" s="37">
        <v>2023</v>
      </c>
      <c r="L2" s="37">
        <v>2024</v>
      </c>
      <c r="M2" s="37">
        <v>2025</v>
      </c>
    </row>
    <row r="3" spans="1:13">
      <c r="A3" s="38" t="s">
        <v>905</v>
      </c>
      <c r="B3" s="39">
        <v>0</v>
      </c>
      <c r="C3" s="39">
        <v>57509.78</v>
      </c>
      <c r="D3" s="39">
        <v>86246.27</v>
      </c>
      <c r="E3" s="39"/>
      <c r="F3" s="39"/>
      <c r="H3" s="38" t="s">
        <v>905</v>
      </c>
      <c r="I3" s="39">
        <v>0</v>
      </c>
      <c r="J3" s="39">
        <v>737.74</v>
      </c>
      <c r="K3" s="39">
        <v>4376.97</v>
      </c>
      <c r="L3" s="39"/>
      <c r="M3" s="39"/>
    </row>
    <row r="4" spans="1:13">
      <c r="A4" s="38" t="s">
        <v>906</v>
      </c>
      <c r="B4" s="39">
        <v>0</v>
      </c>
      <c r="C4" s="39">
        <v>56568.11</v>
      </c>
      <c r="D4" s="45">
        <v>90679.209999999934</v>
      </c>
      <c r="E4" s="39"/>
      <c r="F4" s="39"/>
      <c r="H4" s="38" t="s">
        <v>906</v>
      </c>
      <c r="I4" s="39">
        <v>0</v>
      </c>
      <c r="J4" s="39">
        <v>3506.76</v>
      </c>
      <c r="K4" s="39">
        <v>6261.3599999999569</v>
      </c>
      <c r="L4" s="39"/>
      <c r="M4" s="39"/>
    </row>
    <row r="5" spans="1:13">
      <c r="A5" s="38" t="s">
        <v>907</v>
      </c>
      <c r="B5" s="39">
        <v>0</v>
      </c>
      <c r="C5" s="39">
        <v>67847.87</v>
      </c>
      <c r="D5" s="39">
        <v>85601.27</v>
      </c>
      <c r="E5" s="39"/>
      <c r="F5" s="39"/>
      <c r="H5" s="38" t="s">
        <v>907</v>
      </c>
      <c r="I5" s="39">
        <v>0</v>
      </c>
      <c r="J5" s="39">
        <v>3439.7</v>
      </c>
      <c r="K5" s="39">
        <v>3005.25</v>
      </c>
      <c r="L5" s="39"/>
      <c r="M5" s="39"/>
    </row>
    <row r="6" spans="1:13">
      <c r="A6" s="38" t="s">
        <v>908</v>
      </c>
      <c r="B6" s="39">
        <v>0</v>
      </c>
      <c r="C6" s="39">
        <v>70695.16</v>
      </c>
      <c r="D6" s="45">
        <v>74737.130000000019</v>
      </c>
      <c r="E6" s="39"/>
      <c r="F6" s="39"/>
      <c r="H6" s="38" t="s">
        <v>908</v>
      </c>
      <c r="I6" s="39">
        <v>0</v>
      </c>
      <c r="J6" s="39">
        <v>8695.16</v>
      </c>
      <c r="K6" s="39">
        <v>-5735.64</v>
      </c>
      <c r="L6" s="39"/>
      <c r="M6" s="39"/>
    </row>
    <row r="7" spans="1:13">
      <c r="A7" s="38" t="s">
        <v>909</v>
      </c>
      <c r="B7" s="39">
        <v>5520.96</v>
      </c>
      <c r="C7" s="39">
        <v>73935.64</v>
      </c>
      <c r="D7" s="39">
        <v>101769.26</v>
      </c>
      <c r="E7" s="39"/>
      <c r="F7" s="39"/>
      <c r="H7" s="38" t="s">
        <v>909</v>
      </c>
      <c r="I7" s="39">
        <v>0</v>
      </c>
      <c r="J7" s="39">
        <v>13593.8</v>
      </c>
      <c r="K7" s="39">
        <v>7024.43</v>
      </c>
      <c r="L7" s="39"/>
      <c r="M7" s="39"/>
    </row>
    <row r="8" spans="1:13">
      <c r="A8" s="38" t="s">
        <v>910</v>
      </c>
      <c r="B8" s="40">
        <v>50291.05</v>
      </c>
      <c r="C8" s="40">
        <v>51459.69</v>
      </c>
      <c r="D8" s="39">
        <v>95541.53</v>
      </c>
      <c r="E8" s="39"/>
      <c r="F8" s="39"/>
      <c r="H8" s="38" t="s">
        <v>910</v>
      </c>
      <c r="I8" s="40">
        <v>20387.23</v>
      </c>
      <c r="J8" s="40">
        <v>-12296.76</v>
      </c>
      <c r="K8" s="39">
        <v>1156.22</v>
      </c>
      <c r="L8" s="39"/>
      <c r="M8" s="39"/>
    </row>
    <row r="9" spans="1:13">
      <c r="A9" s="38" t="s">
        <v>911</v>
      </c>
      <c r="B9" s="40">
        <v>58669.85</v>
      </c>
      <c r="C9" s="40" t="s">
        <v>747</v>
      </c>
      <c r="D9" s="39"/>
      <c r="E9" s="39"/>
      <c r="F9" s="39"/>
      <c r="H9" s="38" t="s">
        <v>911</v>
      </c>
      <c r="I9" s="40">
        <v>12149.28</v>
      </c>
      <c r="J9" s="40">
        <v>0</v>
      </c>
      <c r="K9" s="39"/>
      <c r="L9" s="39"/>
      <c r="M9" s="39"/>
    </row>
    <row r="10" spans="1:13">
      <c r="A10" s="38" t="s">
        <v>912</v>
      </c>
      <c r="B10" s="39">
        <v>43650.3</v>
      </c>
      <c r="C10" s="39" t="s">
        <v>747</v>
      </c>
      <c r="D10" s="39"/>
      <c r="E10" s="39"/>
      <c r="F10" s="39"/>
      <c r="H10" s="38" t="s">
        <v>912</v>
      </c>
      <c r="I10" s="39">
        <v>0</v>
      </c>
      <c r="J10" s="39">
        <v>0</v>
      </c>
      <c r="K10" s="39"/>
      <c r="L10" s="39"/>
      <c r="M10" s="39"/>
    </row>
    <row r="11" spans="1:13">
      <c r="A11" s="38" t="s">
        <v>828</v>
      </c>
      <c r="B11" s="39">
        <v>47169.82</v>
      </c>
      <c r="C11" s="39">
        <v>81123.010000000009</v>
      </c>
      <c r="D11" s="39"/>
      <c r="E11" s="39"/>
      <c r="F11" s="39"/>
      <c r="H11" s="38" t="s">
        <v>828</v>
      </c>
      <c r="I11" s="40">
        <v>-5003.8</v>
      </c>
      <c r="J11" s="40">
        <v>3237.37</v>
      </c>
      <c r="K11" s="39"/>
      <c r="L11" s="39"/>
      <c r="M11" s="39"/>
    </row>
    <row r="12" spans="1:13">
      <c r="A12" s="38" t="s">
        <v>913</v>
      </c>
      <c r="B12" s="39">
        <v>55405.1</v>
      </c>
      <c r="C12" s="39">
        <v>90449.58</v>
      </c>
      <c r="D12" s="39"/>
      <c r="E12" s="39"/>
      <c r="F12" s="39"/>
      <c r="H12" s="38" t="s">
        <v>913</v>
      </c>
      <c r="I12" s="40">
        <v>-224.84</v>
      </c>
      <c r="J12" s="40">
        <v>2706.3</v>
      </c>
      <c r="K12" s="39"/>
      <c r="L12" s="39"/>
      <c r="M12" s="39"/>
    </row>
    <row r="13" spans="1:13">
      <c r="A13" s="38" t="s">
        <v>914</v>
      </c>
      <c r="B13" s="39">
        <v>57797.29</v>
      </c>
      <c r="C13" s="39">
        <v>91728.4</v>
      </c>
      <c r="D13" s="39"/>
      <c r="E13" s="39"/>
      <c r="F13" s="39"/>
      <c r="H13" s="38" t="s">
        <v>914</v>
      </c>
      <c r="I13" s="40">
        <v>8667</v>
      </c>
      <c r="J13" s="40">
        <v>6333.46</v>
      </c>
      <c r="K13" s="39"/>
      <c r="L13" s="39"/>
      <c r="M13" s="39"/>
    </row>
    <row r="14" spans="1:13">
      <c r="A14" s="38" t="s">
        <v>915</v>
      </c>
      <c r="B14" s="39">
        <v>62101.72</v>
      </c>
      <c r="C14" s="39">
        <v>88940.55</v>
      </c>
      <c r="D14" s="39"/>
      <c r="E14" s="39"/>
      <c r="F14" s="39"/>
      <c r="H14" s="38" t="s">
        <v>915</v>
      </c>
      <c r="I14" s="40">
        <v>737.74</v>
      </c>
      <c r="J14" s="40">
        <v>-987.69</v>
      </c>
      <c r="K14" s="39"/>
      <c r="L14" s="39"/>
      <c r="M14" s="39"/>
    </row>
    <row r="15" spans="1:13">
      <c r="I15" s="29"/>
      <c r="J15" s="2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H1:M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33C9-CFCC-4571-A2D8-DE8C6DC43734}">
  <sheetPr codeName="Planilha8"/>
  <dimension ref="B2:B22"/>
  <sheetViews>
    <sheetView workbookViewId="0">
      <selection activeCell="C12" sqref="C12"/>
    </sheetView>
  </sheetViews>
  <sheetFormatPr defaultRowHeight="15"/>
  <cols>
    <col min="2" max="2" width="44.42578125" bestFit="1" customWidth="1"/>
    <col min="3" max="3" width="21.7109375" customWidth="1"/>
    <col min="5" max="5" width="15.5703125" bestFit="1" customWidth="1"/>
    <col min="6" max="6" width="18.28515625" customWidth="1"/>
  </cols>
  <sheetData>
    <row r="2" spans="2:2">
      <c r="B2" t="s">
        <v>1893</v>
      </c>
    </row>
    <row r="3" spans="2:2">
      <c r="B3" t="s">
        <v>1500</v>
      </c>
    </row>
    <row r="4" spans="2:2">
      <c r="B4" t="s">
        <v>1598</v>
      </c>
    </row>
    <row r="6" spans="2:2">
      <c r="B6" t="s">
        <v>1985</v>
      </c>
    </row>
    <row r="7" spans="2:2">
      <c r="B7">
        <v>123654</v>
      </c>
    </row>
    <row r="9" spans="2:2">
      <c r="B9" t="s">
        <v>1984</v>
      </c>
    </row>
    <row r="11" spans="2:2">
      <c r="B11" s="47" t="s">
        <v>1568</v>
      </c>
    </row>
    <row r="14" spans="2:2">
      <c r="B14" t="s">
        <v>1689</v>
      </c>
    </row>
    <row r="16" spans="2:2">
      <c r="B16" t="s">
        <v>1652</v>
      </c>
    </row>
    <row r="17" spans="2:2">
      <c r="B17" t="s">
        <v>1035</v>
      </c>
    </row>
    <row r="19" spans="2:2">
      <c r="B19" t="s">
        <v>1806</v>
      </c>
    </row>
    <row r="22" spans="2:2">
      <c r="B22" t="s">
        <v>1823</v>
      </c>
    </row>
  </sheetData>
  <phoneticPr fontId="20" type="noConversion"/>
  <hyperlinks>
    <hyperlink ref="B11" r:id="rId1" xr:uid="{341DCAE8-3909-4D8F-A8B6-4709B47B50DB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9F2B-AE6B-4208-891A-E462382B0858}">
  <sheetPr codeName="Planilha9"/>
  <dimension ref="B1:E33"/>
  <sheetViews>
    <sheetView topLeftCell="A4" workbookViewId="0">
      <selection activeCell="D32" sqref="D32"/>
    </sheetView>
  </sheetViews>
  <sheetFormatPr defaultRowHeight="15"/>
  <cols>
    <col min="2" max="2" width="38.7109375" bestFit="1" customWidth="1"/>
    <col min="3" max="3" width="13.42578125" bestFit="1" customWidth="1"/>
    <col min="4" max="4" width="10.5703125" bestFit="1" customWidth="1"/>
    <col min="5" max="5" width="10.7109375" bestFit="1" customWidth="1"/>
  </cols>
  <sheetData>
    <row r="1" spans="2:5">
      <c r="B1" s="27" t="s">
        <v>1579</v>
      </c>
      <c r="C1" s="27" t="s">
        <v>21</v>
      </c>
      <c r="D1" s="27" t="s">
        <v>19</v>
      </c>
      <c r="E1" s="27" t="s">
        <v>1580</v>
      </c>
    </row>
    <row r="2" spans="2:5">
      <c r="B2" s="27" t="s">
        <v>1495</v>
      </c>
      <c r="C2" s="49">
        <v>167.11</v>
      </c>
      <c r="D2" s="50">
        <v>260</v>
      </c>
      <c r="E2" s="51">
        <f>SUM(D2/5)</f>
        <v>52</v>
      </c>
    </row>
    <row r="3" spans="2:5">
      <c r="B3" s="27" t="s">
        <v>1540</v>
      </c>
      <c r="C3" s="49">
        <v>63.99</v>
      </c>
      <c r="D3" s="50">
        <v>100</v>
      </c>
      <c r="E3" s="51">
        <f t="shared" ref="E3:E11" si="0">SUM(D3/5)</f>
        <v>20</v>
      </c>
    </row>
    <row r="4" spans="2:5">
      <c r="B4" s="27" t="s">
        <v>1541</v>
      </c>
      <c r="C4" s="49">
        <v>70.25</v>
      </c>
      <c r="D4" s="50">
        <v>110</v>
      </c>
      <c r="E4" s="51">
        <f t="shared" si="0"/>
        <v>22</v>
      </c>
    </row>
    <row r="5" spans="2:5">
      <c r="B5" s="27" t="s">
        <v>1542</v>
      </c>
      <c r="C5" s="49">
        <v>47.9</v>
      </c>
      <c r="D5" s="50">
        <v>74</v>
      </c>
      <c r="E5" s="51">
        <f t="shared" si="0"/>
        <v>14.8</v>
      </c>
    </row>
    <row r="6" spans="2:5">
      <c r="B6" s="27" t="s">
        <v>1543</v>
      </c>
      <c r="C6" s="49">
        <v>32.26</v>
      </c>
      <c r="D6" s="50">
        <v>50</v>
      </c>
      <c r="E6" s="51">
        <f t="shared" si="0"/>
        <v>10</v>
      </c>
    </row>
    <row r="7" spans="2:5">
      <c r="B7" t="s">
        <v>1574</v>
      </c>
      <c r="C7" s="48">
        <v>142.35</v>
      </c>
      <c r="D7" s="26">
        <v>225</v>
      </c>
      <c r="E7" s="13">
        <f t="shared" si="0"/>
        <v>45</v>
      </c>
    </row>
    <row r="8" spans="2:5">
      <c r="B8" t="s">
        <v>1575</v>
      </c>
      <c r="C8" s="25">
        <v>40.43</v>
      </c>
      <c r="D8" s="26">
        <v>72</v>
      </c>
      <c r="E8" s="13">
        <f t="shared" si="0"/>
        <v>14.4</v>
      </c>
    </row>
    <row r="9" spans="2:5">
      <c r="B9" t="s">
        <v>1576</v>
      </c>
      <c r="C9" s="25">
        <v>36.18</v>
      </c>
      <c r="D9" s="26">
        <v>62</v>
      </c>
      <c r="E9" s="13">
        <f t="shared" si="0"/>
        <v>12.4</v>
      </c>
    </row>
    <row r="10" spans="2:5">
      <c r="B10" t="s">
        <v>1577</v>
      </c>
      <c r="C10" s="48">
        <v>33.47</v>
      </c>
      <c r="D10" s="26">
        <v>53</v>
      </c>
      <c r="E10" s="13">
        <f t="shared" si="0"/>
        <v>10.6</v>
      </c>
    </row>
    <row r="11" spans="2:5">
      <c r="B11" t="s">
        <v>1578</v>
      </c>
      <c r="C11" s="25">
        <v>15.75</v>
      </c>
      <c r="D11" s="26">
        <v>34</v>
      </c>
      <c r="E11" s="13">
        <f t="shared" si="0"/>
        <v>6.8</v>
      </c>
    </row>
    <row r="13" spans="2:5">
      <c r="B13" s="27" t="s">
        <v>1579</v>
      </c>
      <c r="C13" s="27" t="s">
        <v>21</v>
      </c>
      <c r="D13" s="27" t="s">
        <v>19</v>
      </c>
      <c r="E13" s="27" t="s">
        <v>1580</v>
      </c>
    </row>
    <row r="14" spans="2:5">
      <c r="B14" s="27" t="s">
        <v>1581</v>
      </c>
      <c r="C14" s="52">
        <v>141.9</v>
      </c>
      <c r="D14" s="50">
        <v>219</v>
      </c>
      <c r="E14" s="51">
        <f>SUM(Tabela13[[#This Row],[VENDA]]/5)</f>
        <v>43.8</v>
      </c>
    </row>
    <row r="15" spans="2:5">
      <c r="B15" s="27" t="s">
        <v>1582</v>
      </c>
      <c r="C15" s="52">
        <v>73.900000000000006</v>
      </c>
      <c r="D15" s="50">
        <v>115</v>
      </c>
      <c r="E15" s="51">
        <f>SUM(Tabela13[[#This Row],[VENDA]]/5)</f>
        <v>23</v>
      </c>
    </row>
    <row r="16" spans="2:5">
      <c r="B16" s="27" t="s">
        <v>1583</v>
      </c>
      <c r="C16" s="52">
        <v>71.989999999999995</v>
      </c>
      <c r="D16" s="50">
        <v>103</v>
      </c>
      <c r="E16" s="51">
        <f>SUM(Tabela13[[#This Row],[VENDA]]/5)</f>
        <v>20.6</v>
      </c>
    </row>
    <row r="17" spans="2:5">
      <c r="B17" s="27" t="s">
        <v>1584</v>
      </c>
      <c r="C17" s="52">
        <v>44.9</v>
      </c>
      <c r="D17" s="50">
        <v>70</v>
      </c>
      <c r="E17" s="51">
        <f>SUM(Tabela13[[#This Row],[VENDA]]/5)</f>
        <v>14</v>
      </c>
    </row>
    <row r="18" spans="2:5">
      <c r="B18" s="27" t="s">
        <v>1585</v>
      </c>
      <c r="C18" s="52">
        <v>15.96</v>
      </c>
      <c r="D18" s="52">
        <v>28</v>
      </c>
      <c r="E18" s="51">
        <f>SUM(Tabela13[[#This Row],[VENDA]]/5)</f>
        <v>5.6</v>
      </c>
    </row>
    <row r="19" spans="2:5">
      <c r="B19" s="27" t="s">
        <v>1586</v>
      </c>
      <c r="C19" s="52">
        <v>17.5</v>
      </c>
      <c r="D19" s="50">
        <v>27</v>
      </c>
      <c r="E19" s="51">
        <f>SUM(Tabela13[[#This Row],[VENDA]]/5)</f>
        <v>5.4</v>
      </c>
    </row>
    <row r="20" spans="2:5">
      <c r="B20" t="s">
        <v>1587</v>
      </c>
      <c r="C20" s="13">
        <v>44.69</v>
      </c>
      <c r="D20" s="13">
        <v>70</v>
      </c>
      <c r="E20" s="13">
        <f>SUM(Tabela13[[#This Row],[VENDA]]/5)</f>
        <v>14</v>
      </c>
    </row>
    <row r="21" spans="2:5">
      <c r="B21" t="s">
        <v>884</v>
      </c>
      <c r="C21" s="25">
        <v>32.979999999999997</v>
      </c>
      <c r="D21" s="13">
        <v>51</v>
      </c>
      <c r="E21" s="13">
        <f>SUM(Tabela13[[#This Row],[VENDA]]/5)</f>
        <v>10.199999999999999</v>
      </c>
    </row>
    <row r="22" spans="2:5">
      <c r="B22" t="s">
        <v>1588</v>
      </c>
      <c r="C22" s="13">
        <v>12.34</v>
      </c>
      <c r="D22" s="13">
        <v>23</v>
      </c>
      <c r="E22" s="13">
        <f>SUM(Tabela13[[#This Row],[VENDA]]/5)</f>
        <v>4.5999999999999996</v>
      </c>
    </row>
    <row r="24" spans="2:5">
      <c r="B24" s="27" t="s">
        <v>1579</v>
      </c>
      <c r="C24" s="27" t="s">
        <v>21</v>
      </c>
      <c r="D24" s="27" t="s">
        <v>19</v>
      </c>
      <c r="E24" s="27" t="s">
        <v>1544</v>
      </c>
    </row>
    <row r="25" spans="2:5">
      <c r="B25" t="s">
        <v>699</v>
      </c>
      <c r="C25" s="25">
        <v>69.489999999999995</v>
      </c>
      <c r="D25" s="26">
        <v>108</v>
      </c>
      <c r="E25" s="17">
        <v>100</v>
      </c>
    </row>
    <row r="26" spans="2:5">
      <c r="B26" t="s">
        <v>700</v>
      </c>
      <c r="C26" s="25">
        <v>52.34</v>
      </c>
      <c r="D26" s="26">
        <v>90</v>
      </c>
      <c r="E26" s="53">
        <v>75</v>
      </c>
    </row>
    <row r="27" spans="2:5">
      <c r="B27" t="s">
        <v>702</v>
      </c>
      <c r="C27" s="25">
        <v>30</v>
      </c>
      <c r="D27" s="26">
        <v>55</v>
      </c>
      <c r="E27" s="53">
        <v>46</v>
      </c>
    </row>
    <row r="28" spans="2:5">
      <c r="B28" t="s">
        <v>1589</v>
      </c>
      <c r="C28" s="25">
        <v>20.89</v>
      </c>
      <c r="D28" s="26">
        <v>35</v>
      </c>
      <c r="E28" s="53">
        <v>29.9</v>
      </c>
    </row>
    <row r="29" spans="2:5">
      <c r="B29" t="s">
        <v>701</v>
      </c>
      <c r="C29" s="25">
        <v>15.34</v>
      </c>
      <c r="D29" s="26">
        <v>25</v>
      </c>
      <c r="E29" s="17">
        <v>22</v>
      </c>
    </row>
    <row r="30" spans="2:5">
      <c r="B30" t="s">
        <v>1590</v>
      </c>
      <c r="C30" s="25">
        <v>84.4</v>
      </c>
      <c r="D30" s="26">
        <v>130</v>
      </c>
      <c r="E30" s="17">
        <v>120.57142857142858</v>
      </c>
    </row>
    <row r="31" spans="2:5">
      <c r="B31" t="s">
        <v>1593</v>
      </c>
      <c r="C31" s="25">
        <v>67.7</v>
      </c>
      <c r="D31" s="26">
        <v>120</v>
      </c>
      <c r="E31" s="17">
        <v>119.14285714285715</v>
      </c>
    </row>
    <row r="32" spans="2:5">
      <c r="B32" t="s">
        <v>1592</v>
      </c>
      <c r="C32" s="25">
        <v>41.85</v>
      </c>
      <c r="D32" s="26">
        <v>80</v>
      </c>
      <c r="E32" s="13">
        <v>72</v>
      </c>
    </row>
    <row r="33" spans="2:5">
      <c r="B33" t="s">
        <v>1591</v>
      </c>
      <c r="C33" s="25">
        <v>36.1</v>
      </c>
      <c r="D33" s="26">
        <v>55</v>
      </c>
      <c r="E33" s="17">
        <v>51.571428571428577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C27763-257F-4E5A-AA16-5FAFC57CD4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Inicio</vt:lpstr>
      <vt:lpstr>Despesas</vt:lpstr>
      <vt:lpstr>Dados</vt:lpstr>
      <vt:lpstr>A Pagar</vt:lpstr>
      <vt:lpstr>Custos</vt:lpstr>
      <vt:lpstr>Tuts</vt:lpstr>
      <vt:lpstr>Dados mensais</vt:lpstr>
      <vt:lpstr>Planilha1</vt:lpstr>
      <vt:lpstr>Planilha2</vt:lpstr>
      <vt:lpstr>DATA</vt:lpstr>
      <vt:lpstr>status</vt:lpstr>
      <vt:lpstr>valor</vt:lpstr>
      <vt:lpstr>VALORES</vt:lpstr>
      <vt:lpstr>VALORVENDA</vt:lpstr>
      <vt:lpstr>vencimento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Paz</dc:creator>
  <cp:lastModifiedBy>Administrator</cp:lastModifiedBy>
  <cp:lastPrinted>2023-05-18T13:57:24Z</cp:lastPrinted>
  <dcterms:created xsi:type="dcterms:W3CDTF">2022-08-24T10:57:08Z</dcterms:created>
  <dcterms:modified xsi:type="dcterms:W3CDTF">2023-07-18T20:47:09Z</dcterms:modified>
</cp:coreProperties>
</file>